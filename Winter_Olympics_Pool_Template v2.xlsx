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4"/>
    <sheet state="visible" name="Medals" sheetId="2" r:id="rId5"/>
    <sheet state="visible" name="Entries" sheetId="3" r:id="rId6"/>
    <sheet state="visible" name="Scores" sheetId="4" r:id="rId7"/>
    <sheet state="visible" name="Countries" sheetId="5" r:id="rId8"/>
    <sheet state="visible" name="Aliases" sheetId="6" r:id="rId9"/>
    <sheet state="visible" name="MedalImport" sheetId="7" r:id="rId10"/>
    <sheet state="visible" name="Config" sheetId="8" r:id="rId11"/>
    <sheet state="visible" name="Instructions" sheetId="9" r:id="rId12"/>
  </sheets>
  <definedNames>
    <definedName name="GoldPoints">Config!$B$4</definedName>
    <definedName name="LeagueName">Config!$B$2</definedName>
    <definedName name="SilverPoints">Config!$B$5</definedName>
    <definedName name="BronzePoints">Config!$B$6</definedName>
    <definedName hidden="1" localSheetId="0" name="_xlnm._FilterDatabase">Leaderboard!$A$3:$F$3</definedName>
  </definedNames>
  <calcPr/>
  <extLst>
    <ext uri="GoogleSheetsCustomDataVersion2">
      <go:sheetsCustomData xmlns:go="http://customooxmlschemas.google.com/" r:id="rId13" roundtripDataChecksum="Im1PYAtyubQaQptQzr5rKwTqrI4XYC2A45b5CpaT+Z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ID#AAABxao_NxQ
Admin    (2026-01-14 19:32:37)
Wikipedia table structure may vary. Adjust column references in Medals sheet if needed. Expected: Rank, Country/NOC, Gold, Silver, Bronze, Total</t>
      </text>
    </comment>
  </commentList>
  <extLst>
    <ext uri="GoogleSheetsCustomDataVersion2">
      <go:sheetsCustomData xmlns:go="http://customooxmlschemas.google.com/" r:id="rId1" roundtripDataSignature="AMtx7mjTuCmlWng0v4yCd73WWtf+FiXRaw=="/>
    </ext>
  </extLst>
</comments>
</file>

<file path=xl/sharedStrings.xml><?xml version="1.0" encoding="utf-8"?>
<sst xmlns="http://schemas.openxmlformats.org/spreadsheetml/2006/main" count="563" uniqueCount="317">
  <si>
    <t>🏆 LEADERBOARD</t>
  </si>
  <si>
    <t>USA Actual Medals:</t>
  </si>
  <si>
    <t>Rank</t>
  </si>
  <si>
    <t>Player</t>
  </si>
  <si>
    <t>Total Pts</t>
  </si>
  <si>
    <t>USA Guess</t>
  </si>
  <si>
    <t>Diff</t>
  </si>
  <si>
    <t>Countries Picked</t>
  </si>
  <si>
    <t>RawName</t>
  </si>
  <si>
    <t>CanonicalName</t>
  </si>
  <si>
    <t>IOC</t>
  </si>
  <si>
    <t>Gold</t>
  </si>
  <si>
    <t>Silver</t>
  </si>
  <si>
    <t>Bronze</t>
  </si>
  <si>
    <t>Total</t>
  </si>
  <si>
    <t>MappingStatus</t>
  </si>
  <si>
    <t>Timestamp</t>
  </si>
  <si>
    <t>Email</t>
  </si>
  <si>
    <t>FirstName</t>
  </si>
  <si>
    <t>LastName</t>
  </si>
  <si>
    <t>DisplayName</t>
  </si>
  <si>
    <t>Tier1_Pick1</t>
  </si>
  <si>
    <t>Tier2_Raw</t>
  </si>
  <si>
    <t>Tier3_Pick1</t>
  </si>
  <si>
    <t>Tier4_Pick1</t>
  </si>
  <si>
    <t>Tier5_Pick1</t>
  </si>
  <si>
    <t>Tier6_Raw</t>
  </si>
  <si>
    <t>USA_TOTAL</t>
  </si>
  <si>
    <t>Tier2_Pick1</t>
  </si>
  <si>
    <t>Tier2_Pick2</t>
  </si>
  <si>
    <t>Tier6_Pick1</t>
  </si>
  <si>
    <t>Tier6_Pick2</t>
  </si>
  <si>
    <t>PlayerID</t>
  </si>
  <si>
    <t>ValidationStatus</t>
  </si>
  <si>
    <t>ValidationDetails</t>
  </si>
  <si>
    <t>bhagstrom0@gmail.com</t>
  </si>
  <si>
    <t>Brad</t>
  </si>
  <si>
    <t>Hagstrom</t>
  </si>
  <si>
    <t>Brad Hagstrom</t>
  </si>
  <si>
    <t>United States</t>
  </si>
  <si>
    <t>France, South Korea</t>
  </si>
  <si>
    <t>China</t>
  </si>
  <si>
    <t>Finland</t>
  </si>
  <si>
    <t>Great Britain</t>
  </si>
  <si>
    <t>Belgium (30), âšª Benin (1)</t>
  </si>
  <si>
    <t>PickSlot</t>
  </si>
  <si>
    <t>Tier</t>
  </si>
  <si>
    <t>CountryName</t>
  </si>
  <si>
    <t>Multiplier</t>
  </si>
  <si>
    <t>GoldPts</t>
  </si>
  <si>
    <t>SilverPts</t>
  </si>
  <si>
    <t>BronzePts</t>
  </si>
  <si>
    <t>TotalPts</t>
  </si>
  <si>
    <t>IsValid</t>
  </si>
  <si>
    <t>HasMedaled</t>
  </si>
  <si>
    <t>MedalIndicator</t>
  </si>
  <si>
    <t>TierName</t>
  </si>
  <si>
    <t>PicksInTier</t>
  </si>
  <si>
    <t>IsActive</t>
  </si>
  <si>
    <t>FormName</t>
  </si>
  <si>
    <t>Norway</t>
  </si>
  <si>
    <t>NOR</t>
  </si>
  <si>
    <t>Elite</t>
  </si>
  <si>
    <t>Germany</t>
  </si>
  <si>
    <t>GER</t>
  </si>
  <si>
    <t>USA</t>
  </si>
  <si>
    <t>Canada</t>
  </si>
  <si>
    <t>CAN</t>
  </si>
  <si>
    <t>Netherlands</t>
  </si>
  <si>
    <t>NED</t>
  </si>
  <si>
    <t>Strong</t>
  </si>
  <si>
    <t>Austria</t>
  </si>
  <si>
    <t>AUT</t>
  </si>
  <si>
    <t>Sweden</t>
  </si>
  <si>
    <t>SWE</t>
  </si>
  <si>
    <t>France</t>
  </si>
  <si>
    <t>FRA</t>
  </si>
  <si>
    <t>Switzerland</t>
  </si>
  <si>
    <t>SUI</t>
  </si>
  <si>
    <t>South Korea</t>
  </si>
  <si>
    <t>KOR</t>
  </si>
  <si>
    <t>CHN</t>
  </si>
  <si>
    <t>Competitive</t>
  </si>
  <si>
    <t>Japan</t>
  </si>
  <si>
    <t>JPN</t>
  </si>
  <si>
    <t>Italy</t>
  </si>
  <si>
    <t>ITA</t>
  </si>
  <si>
    <t>FIN</t>
  </si>
  <si>
    <t>Emerging</t>
  </si>
  <si>
    <t>Czech Republic</t>
  </si>
  <si>
    <t>CZE</t>
  </si>
  <si>
    <t>Slovenia</t>
  </si>
  <si>
    <t>SLO</t>
  </si>
  <si>
    <t>Poland</t>
  </si>
  <si>
    <t>POL</t>
  </si>
  <si>
    <t>Occasional</t>
  </si>
  <si>
    <t>GBR</t>
  </si>
  <si>
    <t>Australia</t>
  </si>
  <si>
    <t>AUS</t>
  </si>
  <si>
    <t>Slovakia</t>
  </si>
  <si>
    <t>SVK</t>
  </si>
  <si>
    <t>Latvia</t>
  </si>
  <si>
    <t>LAT</t>
  </si>
  <si>
    <t>New Zealand</t>
  </si>
  <si>
    <t>NZL</t>
  </si>
  <si>
    <t>Wildcard</t>
  </si>
  <si>
    <t>Ukraine</t>
  </si>
  <si>
    <t>UKR</t>
  </si>
  <si>
    <t>Hungary</t>
  </si>
  <si>
    <t>HUN</t>
  </si>
  <si>
    <t>Kazakhstan</t>
  </si>
  <si>
    <t>KAZ</t>
  </si>
  <si>
    <t>Croatia</t>
  </si>
  <si>
    <t>CRO</t>
  </si>
  <si>
    <t>Belgium</t>
  </si>
  <si>
    <t>BEL</t>
  </si>
  <si>
    <t>Spain</t>
  </si>
  <si>
    <t>ESP</t>
  </si>
  <si>
    <t>Estonia</t>
  </si>
  <si>
    <t>EST</t>
  </si>
  <si>
    <t>Liechtenstein</t>
  </si>
  <si>
    <t>LIE</t>
  </si>
  <si>
    <t>Andorra</t>
  </si>
  <si>
    <t>AND</t>
  </si>
  <si>
    <t>Argentina</t>
  </si>
  <si>
    <t>ARG</t>
  </si>
  <si>
    <t>Armenia</t>
  </si>
  <si>
    <t>ARM</t>
  </si>
  <si>
    <t>Azerbaijan</t>
  </si>
  <si>
    <t>AZE</t>
  </si>
  <si>
    <t>Bosnia and Herzegovina</t>
  </si>
  <si>
    <t>BIH</t>
  </si>
  <si>
    <t>Brazil</t>
  </si>
  <si>
    <t>BRA</t>
  </si>
  <si>
    <t>Bulgaria</t>
  </si>
  <si>
    <t>BUL</t>
  </si>
  <si>
    <t>Chile</t>
  </si>
  <si>
    <t>CHI</t>
  </si>
  <si>
    <t>Colombia</t>
  </si>
  <si>
    <t>COL</t>
  </si>
  <si>
    <t>Cyprus</t>
  </si>
  <si>
    <t>CYP</t>
  </si>
  <si>
    <t>Denmark</t>
  </si>
  <si>
    <t>DEN</t>
  </si>
  <si>
    <t>Georgia</t>
  </si>
  <si>
    <t>GEO</t>
  </si>
  <si>
    <t>Greece</t>
  </si>
  <si>
    <t>GRE</t>
  </si>
  <si>
    <t>Hong Kong</t>
  </si>
  <si>
    <t>HKG</t>
  </si>
  <si>
    <t>India</t>
  </si>
  <si>
    <t>IND</t>
  </si>
  <si>
    <t>Iran</t>
  </si>
  <si>
    <t>IRI</t>
  </si>
  <si>
    <t>Ireland</t>
  </si>
  <si>
    <t>IRL</t>
  </si>
  <si>
    <t>Israel</t>
  </si>
  <si>
    <t>ISR</t>
  </si>
  <si>
    <t>Jamaica</t>
  </si>
  <si>
    <t>JAM</t>
  </si>
  <si>
    <t>Kyrgyzstan</t>
  </si>
  <si>
    <t>KGZ</t>
  </si>
  <si>
    <t>Lebanon</t>
  </si>
  <si>
    <t>LBN</t>
  </si>
  <si>
    <t>Lithuania</t>
  </si>
  <si>
    <t>LTU</t>
  </si>
  <si>
    <t>Luxembourg</t>
  </si>
  <si>
    <t>LUX</t>
  </si>
  <si>
    <t>Mexico</t>
  </si>
  <si>
    <t>MEX</t>
  </si>
  <si>
    <t>Moldova</t>
  </si>
  <si>
    <t>MDA</t>
  </si>
  <si>
    <t>Mongolia</t>
  </si>
  <si>
    <t>MGL</t>
  </si>
  <si>
    <t>Montenegro</t>
  </si>
  <si>
    <t>MNE</t>
  </si>
  <si>
    <t>Morocco</t>
  </si>
  <si>
    <t>MAR</t>
  </si>
  <si>
    <t>North Macedonia</t>
  </si>
  <si>
    <t>MKD</t>
  </si>
  <si>
    <t>Pakistan</t>
  </si>
  <si>
    <t>PAK</t>
  </si>
  <si>
    <t>Peru</t>
  </si>
  <si>
    <t>PER</t>
  </si>
  <si>
    <t>Philippines</t>
  </si>
  <si>
    <t>PHI</t>
  </si>
  <si>
    <t>Portugal</t>
  </si>
  <si>
    <t>POR</t>
  </si>
  <si>
    <t>Romania</t>
  </si>
  <si>
    <t>ROU</t>
  </si>
  <si>
    <t>San Marino</t>
  </si>
  <si>
    <t>SMR</t>
  </si>
  <si>
    <t>Serbia</t>
  </si>
  <si>
    <t>SRB</t>
  </si>
  <si>
    <t>South Africa</t>
  </si>
  <si>
    <t>RSA</t>
  </si>
  <si>
    <t>Chinese Taipei</t>
  </si>
  <si>
    <t>TPE</t>
  </si>
  <si>
    <t>Thailand</t>
  </si>
  <si>
    <t>THA</t>
  </si>
  <si>
    <t>Turkey</t>
  </si>
  <si>
    <t>TUR</t>
  </si>
  <si>
    <t>Uzbekistan</t>
  </si>
  <si>
    <t>UZB</t>
  </si>
  <si>
    <t>WikipediaName</t>
  </si>
  <si>
    <t>Exclude</t>
  </si>
  <si>
    <t>United States of America</t>
  </si>
  <si>
    <t>The Netherlands</t>
  </si>
  <si>
    <t>Holland</t>
  </si>
  <si>
    <t>Korea</t>
  </si>
  <si>
    <t>Republic of Korea</t>
  </si>
  <si>
    <t>People's Republic of China</t>
  </si>
  <si>
    <t>Czechia</t>
  </si>
  <si>
    <t>United Kingdom</t>
  </si>
  <si>
    <t>Team GB</t>
  </si>
  <si>
    <t>Taiwan</t>
  </si>
  <si>
    <t>ROC</t>
  </si>
  <si>
    <t>*EXCLUDED*</t>
  </si>
  <si>
    <t>Russian Olympic Committee</t>
  </si>
  <si>
    <t>Russia</t>
  </si>
  <si>
    <t>RUS</t>
  </si>
  <si>
    <t>Belarus</t>
  </si>
  <si>
    <t>BLR</t>
  </si>
  <si>
    <t>AIN</t>
  </si>
  <si>
    <t>Individual Neutral Athletes</t>
  </si>
  <si>
    <t>Neutral Athletes</t>
  </si>
  <si>
    <t>PASTE WIKIPEDIA MEDAL TABLE STARTING IN CELL A2</t>
  </si>
  <si>
    <t>Country</t>
  </si>
  <si>
    <t>Setting</t>
  </si>
  <si>
    <t>Value</t>
  </si>
  <si>
    <t>Description</t>
  </si>
  <si>
    <t>League Name</t>
  </si>
  <si>
    <t>My League</t>
  </si>
  <si>
    <t>Change this for each league copy</t>
  </si>
  <si>
    <t>Pick Deadline</t>
  </si>
  <si>
    <t>2/6/2026 11:59 PM</t>
  </si>
  <si>
    <t>For reference only</t>
  </si>
  <si>
    <t>Gold Points</t>
  </si>
  <si>
    <t>Base points for gold medal</t>
  </si>
  <si>
    <t>Silver Points</t>
  </si>
  <si>
    <t>Base points for silver medal</t>
  </si>
  <si>
    <t>Bronze Points</t>
  </si>
  <si>
    <t>Base points for bronze medal</t>
  </si>
  <si>
    <t>🏔️ WINTER OLYMPICS POOL - ADMIN INSTRUCTIONS</t>
  </si>
  <si>
    <t>February 6, 2026 at 11:59 PM CT</t>
  </si>
  <si>
    <t>═══════════════════════════════════════════════════════════════</t>
  </si>
  <si>
    <t>📋 SETUP CHECKLIST (Do Once Per League)</t>
  </si>
  <si>
    <t>□ 1. Copy this template workbook for your league</t>
  </si>
  <si>
    <t>□ 2. Rename file (e.g., 'Olympics_Pool_Family_2026.xlsx')</t>
  </si>
  <si>
    <t>□ 3. Update Config sheet cell B2 with your league name</t>
  </si>
  <si>
    <t>□ 4. Upload to OneDrive/SharePoint</t>
  </si>
  <si>
    <t>□ 5. Create Google Form (see Form Setup section below)</t>
  </si>
  <si>
    <t>□ 6. Share Form with players before deadline</t>
  </si>
  <si>
    <t>□ 7. Share Excel view link with players</t>
  </si>
  <si>
    <t>📝 GOOGLE FORM SETUP</t>
  </si>
  <si>
    <t>Create a Google Form with these questions in order:</t>
  </si>
  <si>
    <t xml:space="preserve">  1. First Name (Short text, Required)</t>
  </si>
  <si>
    <t xml:space="preserve">  2. Last Name (Short text, Required)</t>
  </si>
  <si>
    <t xml:space="preserve">  3. Leaderboard Display Name (Short text, Required)</t>
  </si>
  <si>
    <t xml:space="preserve">  4. Tier 1 (Elite) - Pick 1 (Dropdown, Required)</t>
  </si>
  <si>
    <t xml:space="preserve">     → Options: Copy from Countries sheet, Tier 1 only</t>
  </si>
  <si>
    <t xml:space="preserve">  5. Tier 2 (Strong) - Pick 2 (Checkboxes, Select exactly 2)</t>
  </si>
  <si>
    <t xml:space="preserve">     → Options: Copy from Countries sheet, Tier 2 only</t>
  </si>
  <si>
    <t xml:space="preserve">  6. Tier 3 (Competitive) - Pick 1 (Dropdown, Required)</t>
  </si>
  <si>
    <t xml:space="preserve">  7. Tier 4 (Emerging) - Pick 1 (Dropdown, Required)</t>
  </si>
  <si>
    <t xml:space="preserve">  8. Tier 5 (Occasional) - Pick 1 (Dropdown, Required)</t>
  </si>
  <si>
    <t xml:space="preserve">  9. Tier 6 (Wildcard) - Pick 2 (Checkboxes, Select exactly 2)</t>
  </si>
  <si>
    <t xml:space="preserve">     → Options: Copy FormName column from Countries sheet</t>
  </si>
  <si>
    <t xml:space="preserve">     → This includes ⚪ indicator for non-medalists</t>
  </si>
  <si>
    <t xml:space="preserve">  10. Tiebreaker 1: USA Gold Medals (Number 0-50, Required)</t>
  </si>
  <si>
    <t xml:space="preserve">  11. Tiebreaker 2: USA Silver Medals (Number 0-50, Required)</t>
  </si>
  <si>
    <t xml:space="preserve">  12. Tiebreaker 3: USA Bronze Medals (Number 0-50, Required)</t>
  </si>
  <si>
    <t>📥 IMPORTING PICKS (After Deadline)</t>
  </si>
  <si>
    <t xml:space="preserve">  1. Go to Google Forms → Responses → Download CSV</t>
  </si>
  <si>
    <t xml:space="preserve">  2. Open the CSV file in Excel</t>
  </si>
  <si>
    <t xml:space="preserve">  3. Select all DATA rows (skip the header row)</t>
  </si>
  <si>
    <t xml:space="preserve">  4. Go to the Entries sheet in this workbook</t>
  </si>
  <si>
    <t xml:space="preserve">  5. Click cell A2</t>
  </si>
  <si>
    <t xml:space="preserve">  6. Paste (Ctrl+V)</t>
  </si>
  <si>
    <t xml:space="preserve">  7. Check column T (ValidationStatus) for any errors</t>
  </si>
  <si>
    <t xml:space="preserve">  8. Fix any issues in the source data if needed</t>
  </si>
  <si>
    <t>🏅 UPDATING MEDALS (Daily During Olympics)</t>
  </si>
  <si>
    <t>Method A: Manual Paste (Recommended to start)</t>
  </si>
  <si>
    <t xml:space="preserve">  1. Open Wikipedia medal table in browser</t>
  </si>
  <si>
    <t xml:space="preserve">  2. Select and copy the table (Ctrl+C)</t>
  </si>
  <si>
    <t xml:space="preserve">  3. Go to MedalImport sheet in this workbook</t>
  </si>
  <si>
    <t xml:space="preserve">  4. Click cell A2, then Paste (Ctrl+V)</t>
  </si>
  <si>
    <t xml:space="preserve">  5. Check Medals sheet column H for 'UNMAPPED' countries</t>
  </si>
  <si>
    <t xml:space="preserve">  6. If any UNMAPPED, add alias to Aliases sheet</t>
  </si>
  <si>
    <t>Method B: Power Query (After URL is stable)</t>
  </si>
  <si>
    <t xml:space="preserve">  1. Data → Get Data → From Web → Enter Wikipedia URL</t>
  </si>
  <si>
    <t xml:space="preserve">  2. Select correct table in Navigator</t>
  </si>
  <si>
    <t xml:space="preserve">  3. Load to MedalImport sheet</t>
  </si>
  <si>
    <t xml:space="preserve">  4. To refresh: Data → Refresh All</t>
  </si>
  <si>
    <t>⚠️ TROUBLESHOOTING</t>
  </si>
  <si>
    <t>Problem: Country shows '???' in IOC column</t>
  </si>
  <si>
    <t>Solution: Add country to Countries sheet or check spelling</t>
  </si>
  <si>
    <t>Problem: Player shows 0 points unexpectedly</t>
  </si>
  <si>
    <t>Solution: Check if their picks are in Entries sheet</t>
  </si>
  <si>
    <t>Problem: 'UNMAPPED' in Medals sheet</t>
  </si>
  <si>
    <t>Solution: Add alias mapping in Aliases sheet</t>
  </si>
  <si>
    <t>Problem: Leaderboard not updating</t>
  </si>
  <si>
    <t>Solution: Press Ctrl+Alt+F9 to force recalculation</t>
  </si>
  <si>
    <t>Problem: #N/A or #REF! errors</t>
  </si>
  <si>
    <t>Solution: Check country name spelling matches exactly</t>
  </si>
  <si>
    <t>📊 QUICK REFERENCE</t>
  </si>
  <si>
    <t>TIER MULTIPLIERS:</t>
  </si>
  <si>
    <t xml:space="preserve">  Tier 1 (Elite):       ×1    |  Tier 4 (Emerging):    ×6</t>
  </si>
  <si>
    <t xml:space="preserve">  Tier 2 (Strong):      ×2    |  Tier 5 (Occasional):  ×10</t>
  </si>
  <si>
    <t xml:space="preserve">  Tier 3 (Competitive): ×3    |  Tier 6 (Wildcard):    ×20</t>
  </si>
  <si>
    <t>MEDAL POINTS (before multiplier):</t>
  </si>
  <si>
    <t xml:space="preserve">  🥇 Gold = 3  |  🥈 Silver = 2  |  🥉 Bronze = 1</t>
  </si>
  <si>
    <t>TIEBREAKER ORDER:</t>
  </si>
  <si>
    <t xml:space="preserve">  1. Closest to actual USA Gold count</t>
  </si>
  <si>
    <t xml:space="preserve">  2. Closest to actual USA Silver count</t>
  </si>
  <si>
    <t xml:space="preserve">  3. Closest to actual USA Bronze count</t>
  </si>
  <si>
    <t xml:space="preserve">  4. Co-champions if still tied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</si>
</sst>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9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rgb="FF000000"/>
      <name val="&quot;Aptos Narrow&quot;"/>
    </font>
    <font>
      <b/>
      <sz val="12.0"/>
      <color rgb="FFFF0000"/>
      <name val="Calibri"/>
    </font>
    <font>
      <sz val="11.0"/>
      <color theme="1"/>
      <name val="Calibri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66A4"/>
        <bgColor rgb="FF0066A4"/>
      </patternFill>
    </fill>
    <fill>
      <patternFill patternType="solid">
        <fgColor rgb="FFFFF3CD"/>
        <bgColor rgb="FFFFF3C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0" fillId="0" fontId="4" numFmtId="0" xfId="0" applyFont="1"/>
    <xf borderId="1" fillId="2" fontId="3" numFmtId="0" xfId="0" applyBorder="1" applyFont="1"/>
    <xf borderId="0" fillId="0" fontId="4" numFmtId="0" xfId="0" applyFont="1"/>
    <xf borderId="1" fillId="2" fontId="3" numFmtId="0" xfId="0" applyAlignment="1" applyBorder="1" applyFont="1">
      <alignment readingOrder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Font="1"/>
    <xf borderId="1" fillId="2" fontId="3" numFmtId="0" xfId="0" applyBorder="1" applyFont="1"/>
    <xf borderId="1" fillId="3" fontId="7" numFmtId="0" xfId="0" applyBorder="1" applyFill="1" applyFont="1"/>
    <xf borderId="0" fillId="0" fontId="8" numFmtId="0" xfId="0" applyFont="1"/>
  </cellXfs>
  <cellStyles count="1">
    <cellStyle xfId="0" name="Normal" builtinId="0"/>
  </cellStyles>
  <dxfs count="10">
    <dxf>
      <font/>
      <fill>
        <patternFill patternType="solid">
          <fgColor rgb="FFFFD700"/>
          <bgColor rgb="FFFFD700"/>
        </patternFill>
      </fill>
      <border/>
    </dxf>
    <dxf>
      <font/>
      <fill>
        <patternFill patternType="solid">
          <fgColor rgb="FFC0C0C0"/>
          <bgColor rgb="FFC0C0C0"/>
        </patternFill>
      </fill>
      <border/>
    </dxf>
    <dxf>
      <font/>
      <fill>
        <patternFill patternType="solid">
          <fgColor rgb="FFCD7F32"/>
          <bgColor rgb="FFCD7F3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D4EDDA"/>
          <bgColor rgb="FFD4EDDA"/>
        </patternFill>
      </fill>
      <border/>
    </dxf>
  </dxfs>
  <tableStyles count="5">
    <tableStyle count="3" pivot="0" name="Medals-style">
      <tableStyleElement dxfId="4" type="headerRow"/>
      <tableStyleElement dxfId="5" type="firstRowStripe"/>
      <tableStyleElement dxfId="6" type="secondRowStripe"/>
    </tableStyle>
    <tableStyle count="3" pivot="0" name="Entries-style">
      <tableStyleElement dxfId="4" type="headerRow"/>
      <tableStyleElement dxfId="5" type="firstRowStripe"/>
      <tableStyleElement dxfId="6" type="secondRowStripe"/>
    </tableStyle>
    <tableStyle count="3" pivot="0" name="Scores-style">
      <tableStyleElement dxfId="4" type="headerRow"/>
      <tableStyleElement dxfId="5" type="firstRowStripe"/>
      <tableStyleElement dxfId="6" type="secondRowStripe"/>
    </tableStyle>
    <tableStyle count="3" pivot="0" name="Countries-style">
      <tableStyleElement dxfId="4" type="headerRow"/>
      <tableStyleElement dxfId="5" type="firstRowStripe"/>
      <tableStyleElement dxfId="6" type="secondRowStripe"/>
    </tableStyle>
    <tableStyle count="3" pivot="0" name="Aliases-style">
      <tableStyleElement dxfId="4" type="headerRow"/>
      <tableStyleElement dxfId="5" type="firstRowStripe"/>
      <tableStyleElement dxfId="6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51" displayName="Table_1" name="Table_1" id="1">
  <tableColumns count="8">
    <tableColumn name="RawName" id="1"/>
    <tableColumn name="CanonicalName" id="2"/>
    <tableColumn name="IOC" id="3"/>
    <tableColumn name="Gold" id="4"/>
    <tableColumn name="Silver" id="5"/>
    <tableColumn name="Bronze" id="6"/>
    <tableColumn name="Total" id="7"/>
    <tableColumn name="MappingStatus" id="8"/>
  </tableColumns>
  <tableStyleInfo name="Medals-style" showColumnStripes="0" showFirstColumn="1" showLastColumn="1" showRowStripes="1"/>
</table>
</file>

<file path=xl/tables/table2.xml><?xml version="1.0" encoding="utf-8"?>
<table xmlns="http://schemas.openxmlformats.org/spreadsheetml/2006/main" ref="A1:S48" displayName="Table_2" name="Table_2" id="2">
  <tableColumns count="19">
    <tableColumn name="Timestamp" id="1"/>
    <tableColumn name="Email" id="2"/>
    <tableColumn name="FirstName" id="3"/>
    <tableColumn name="LastName" id="4"/>
    <tableColumn name="DisplayName" id="5"/>
    <tableColumn name="Tier1_Pick1" id="6"/>
    <tableColumn name="Tier2_Raw" id="7"/>
    <tableColumn name="Tier3_Pick1" id="8"/>
    <tableColumn name="Tier4_Pick1" id="9"/>
    <tableColumn name="Tier5_Pick1" id="10"/>
    <tableColumn name="Tier6_Raw" id="11"/>
    <tableColumn name="USA_TOTAL" id="12"/>
    <tableColumn name="Tier2_Pick1" id="13"/>
    <tableColumn name="Tier2_Pick2" id="14"/>
    <tableColumn name="Tier6_Pick1" id="15"/>
    <tableColumn name="Tier6_Pick2" id="16"/>
    <tableColumn name="PlayerID" id="17"/>
    <tableColumn name="ValidationStatus" id="18"/>
    <tableColumn name="ValidationDetails" id="19"/>
  </tableColumns>
  <tableStyleInfo name="Entries-style" showColumnStripes="0" showFirstColumn="1" showLastColumn="1" showRowStripes="1"/>
</table>
</file>

<file path=xl/tables/table3.xml><?xml version="1.0" encoding="utf-8"?>
<table xmlns="http://schemas.openxmlformats.org/spreadsheetml/2006/main" ref="A1:Q401" displayName="Table_3" name="Table_3" id="3">
  <tableColumns count="17">
    <tableColumn name="PlayerID" id="1"/>
    <tableColumn name="DisplayName" id="2"/>
    <tableColumn name="PickSlot" id="3"/>
    <tableColumn name="Tier" id="4"/>
    <tableColumn name="CountryName" id="5"/>
    <tableColumn name="IOC" id="6"/>
    <tableColumn name="Multiplier" id="7"/>
    <tableColumn name="Gold" id="8"/>
    <tableColumn name="Silver" id="9"/>
    <tableColumn name="Bronze" id="10"/>
    <tableColumn name="GoldPts" id="11"/>
    <tableColumn name="SilverPts" id="12"/>
    <tableColumn name="BronzePts" id="13"/>
    <tableColumn name="TotalPts" id="14"/>
    <tableColumn name="IsValid" id="15"/>
    <tableColumn name="HasMedaled" id="16"/>
    <tableColumn name="MedalIndicator" id="17"/>
  </tableColumns>
  <tableStyleInfo name="Scores-style" showColumnStripes="0" showFirstColumn="1" showLastColumn="1" showRowStripes="1"/>
</table>
</file>

<file path=xl/tables/table4.xml><?xml version="1.0" encoding="utf-8"?>
<table xmlns="http://schemas.openxmlformats.org/spreadsheetml/2006/main" ref="A1:J72" displayName="Table_4" name="Table_4" id="4">
  <tableColumns count="10">
    <tableColumn name="CountryName" id="1"/>
    <tableColumn name="IOC" id="2"/>
    <tableColumn name="Tier" id="3"/>
    <tableColumn name="TierName" id="4"/>
    <tableColumn name="Multiplier" id="5"/>
    <tableColumn name="PicksInTier" id="6"/>
    <tableColumn name="HasMedaled" id="7"/>
    <tableColumn name="MedalIndicator" id="8"/>
    <tableColumn name="IsActive" id="9"/>
    <tableColumn name="FormName" id="10"/>
  </tableColumns>
  <tableStyleInfo name="Countries-style" showColumnStripes="0" showFirstColumn="1" showLastColumn="1" showRowStripes="1"/>
</table>
</file>

<file path=xl/tables/table5.xml><?xml version="1.0" encoding="utf-8"?>
<table xmlns="http://schemas.openxmlformats.org/spreadsheetml/2006/main" ref="A1:D50" displayName="Table_5" name="Table_5" id="5">
  <tableColumns count="4">
    <tableColumn name="WikipediaName" id="1"/>
    <tableColumn name="CanonicalName" id="2"/>
    <tableColumn name="IOC" id="3"/>
    <tableColumn name="Exclude" id="4"/>
  </tableColumns>
  <tableStyleInfo name="Ali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3.86"/>
    <col customWidth="1" min="3" max="3" width="11.43"/>
    <col customWidth="1" min="4" max="4" width="18.14"/>
    <col customWidth="1" min="5" max="5" width="8.71"/>
    <col customWidth="1" min="6" max="6" width="72.29"/>
    <col customWidth="1" min="7" max="16" width="8.71"/>
  </cols>
  <sheetData>
    <row r="1">
      <c r="A1" s="1" t="s">
        <v>0</v>
      </c>
    </row>
    <row r="2">
      <c r="D2" s="2" t="s">
        <v>1</v>
      </c>
      <c r="E2" s="2">
        <f t="array" ref="E2">IFERROR(XLOOKUP("United States",Medals!$B$2:$B$51,Medals!$D$2:$D$51,0)+XLOOKUP("United States",Medals!$B$2:$B$51,Medals!$E$2:$E$51,0)+XLOOKUP("United States",Medals!$B$2:$B$51,Medals!$F$2:$F$51,0),0)</f>
        <v>21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3" t="s">
        <v>7</v>
      </c>
    </row>
    <row r="4">
      <c r="A4" s="5" t="str">
        <f>IF(B4="","",RANK(C4,$C$4:$C$53,0)+SUMPRODUCT(($C$4:$C$53=C4)*($E$4:$E$53&lt;E4)))</f>
        <v>#ERROR!</v>
      </c>
      <c r="B4" s="5" t="str">
        <f t="array" ref="B4">IFERROR(INDEX(Entries!$E$2:$E$51,ROW()-3)&amp;"","")</f>
        <v>Brad Hagstrom</v>
      </c>
      <c r="C4" s="5">
        <f>IF(B4="","",SUMIF(Scores!$B$2:$B$401,B4,Scores!$N$2:$N$401))</f>
        <v>296</v>
      </c>
      <c r="D4" s="5">
        <f t="array" ref="D4">IF(B4="","",IFERROR(INDEX(Entries!$L$2:$L$51,ROW()-3),0))
</f>
        <v>12</v>
      </c>
      <c r="E4" s="5" t="str">
        <f>IF(B4="","",ABS(D4-[USA_TOTAL_CELL]))
</f>
        <v>#ERROR!</v>
      </c>
      <c r="F4" s="5" t="str">
        <f t="array" ref="F4">IF(B4="","",INDEX(Entries!$F$2:$F$51,ROW()-3)&amp;", "&amp;INDEX(Entries!$M$2:$M$51,ROW()-3)&amp;", "&amp;INDEX(Entries!$N$2:$N$51,ROW()-3)&amp;", "&amp;INDEX(Entries!$H$2:$H$51,ROW()-3)&amp;", "&amp;INDEX(Entries!$I$2:$I$51,ROW()-3)&amp;", "&amp;INDEX(Entries!$J$2:$J$51,ROW()-3)&amp;", "&amp;INDEX(Entries!$O$2:$O$51,ROW()-3)&amp;", "&amp;INDEX(Entries!$P$2:$P$51,ROW()-3))</f>
        <v>United States, France, South Korea, China, Finland, Great Britain, Belgium, âšª Benin</v>
      </c>
    </row>
    <row r="5">
      <c r="A5" s="5" t="str">
        <f t="shared" ref="A5:A52" si="1">IF(B5="","",RANK(C5,$C$4:$C$52,0)+SUMPRODUCT(($C$4:$C$52=C5)*((#REF!&lt;#REF!)+(#REF!=#REF!)*(#REF!&lt;#REF!)+(#REF!=#REF!)*(#REF!=#REF!)*(#REF!&lt;#REF!))))</f>
        <v/>
      </c>
      <c r="B5" s="5" t="str">
        <f t="array" ref="B5">IFERROR(INDEX(Entries!$E$2:$E$48,3)&amp;"","")</f>
        <v/>
      </c>
      <c r="C5" s="5" t="str">
        <f>IF(B5="","",SUMIF(Scores!$B$2:$B$401,B5,Scores!$N$2:$N$401))</f>
        <v/>
      </c>
      <c r="D5" s="5" t="str">
        <f t="array" ref="D5">IF(B5="","",IFERROR(INDEX(Entries!$L$2:$L$48,3),0))</f>
        <v/>
      </c>
      <c r="E5" s="5" t="str">
        <f t="array" ref="E5">IF(B5="","",IFERROR(INDEX(#REF!,3),0))</f>
        <v/>
      </c>
      <c r="F5" s="5" t="str">
        <f>IFERROR(__xludf.DUMMYFUNCTION("IF(B5="""","""",TEXTJOIN("", "",TRUE,FILTER(Scores!$E$2:$E$401,Scores!$B$2:$B$401=B5)))"),"")</f>
        <v/>
      </c>
    </row>
    <row r="6">
      <c r="A6" s="5" t="str">
        <f t="shared" si="1"/>
        <v/>
      </c>
      <c r="B6" s="5" t="str">
        <f t="array" ref="B6">IFERROR(INDEX(Entries!$E$2:$E$48,4)&amp;"","")</f>
        <v/>
      </c>
      <c r="C6" s="5" t="str">
        <f>IF(B6="","",SUMIF(Scores!$B$2:$B$401,B6,Scores!$N$2:$N$401))</f>
        <v/>
      </c>
      <c r="D6" s="5" t="str">
        <f t="array" ref="D6">IF(B6="","",IFERROR(INDEX(Entries!$L$2:$L$48,4),0))</f>
        <v/>
      </c>
      <c r="E6" s="5" t="str">
        <f t="array" ref="E6">IF(B6="","",IFERROR(INDEX(#REF!,4),0))</f>
        <v/>
      </c>
    </row>
    <row r="7">
      <c r="A7" s="5" t="str">
        <f t="shared" si="1"/>
        <v/>
      </c>
      <c r="B7" s="5" t="str">
        <f t="array" ref="B7">IFERROR(INDEX(Entries!$E$2:$E$48,5)&amp;"","")</f>
        <v/>
      </c>
      <c r="C7" s="5" t="str">
        <f>IF(B7="","",SUMIF(Scores!$B$2:$B$401,B7,Scores!$N$2:$N$401))</f>
        <v/>
      </c>
      <c r="D7" s="5" t="str">
        <f t="array" ref="D7">IF(B7="","",IFERROR(INDEX(Entries!$L$2:$L$48,5),0))</f>
        <v/>
      </c>
      <c r="E7" s="5" t="str">
        <f t="array" ref="E7">IF(B7="","",IFERROR(INDEX(#REF!,5),0))</f>
        <v/>
      </c>
    </row>
    <row r="8">
      <c r="A8" s="5" t="str">
        <f t="shared" si="1"/>
        <v/>
      </c>
      <c r="B8" s="5" t="str">
        <f t="array" ref="B8">IFERROR(INDEX(Entries!$E$2:$E$48,6)&amp;"","")</f>
        <v/>
      </c>
      <c r="C8" s="5" t="str">
        <f>IF(B8="","",SUMIF(Scores!$B$2:$B$401,B8,Scores!$N$2:$N$401))</f>
        <v/>
      </c>
      <c r="D8" s="5" t="str">
        <f t="array" ref="D8">IF(B8="","",IFERROR(INDEX(Entries!$L$2:$L$48,6),0))</f>
        <v/>
      </c>
      <c r="E8" s="5" t="str">
        <f t="array" ref="E8">IF(B8="","",IFERROR(INDEX(#REF!,6),0))</f>
        <v/>
      </c>
    </row>
    <row r="9">
      <c r="A9" s="5" t="str">
        <f t="shared" si="1"/>
        <v/>
      </c>
      <c r="B9" s="5" t="str">
        <f t="array" ref="B9">IFERROR(INDEX(Entries!$E$2:$E$48,7)&amp;"","")</f>
        <v/>
      </c>
      <c r="C9" s="5" t="str">
        <f>IF(B9="","",SUMIF(Scores!$B$2:$B$401,B9,Scores!$N$2:$N$401))</f>
        <v/>
      </c>
      <c r="D9" s="5" t="str">
        <f t="array" ref="D9">IF(B9="","",IFERROR(INDEX(Entries!$L$2:$L$48,7),0))</f>
        <v/>
      </c>
      <c r="E9" s="5" t="str">
        <f t="array" ref="E9">IF(B9="","",IFERROR(INDEX(#REF!,7),0))</f>
        <v/>
      </c>
    </row>
    <row r="10">
      <c r="A10" s="5" t="str">
        <f t="shared" si="1"/>
        <v/>
      </c>
      <c r="B10" s="5" t="str">
        <f t="array" ref="B10">IFERROR(INDEX(Entries!$E$2:$E$48,8)&amp;"","")</f>
        <v/>
      </c>
      <c r="C10" s="5" t="str">
        <f>IF(B10="","",SUMIF(Scores!$B$2:$B$401,B10,Scores!$N$2:$N$401))</f>
        <v/>
      </c>
      <c r="D10" s="5" t="str">
        <f t="array" ref="D10">IF(B10="","",IFERROR(INDEX(Entries!$L$2:$L$48,8),0))</f>
        <v/>
      </c>
      <c r="E10" s="5" t="str">
        <f t="array" ref="E10">IF(B10="","",IFERROR(INDEX(#REF!,8),0))</f>
        <v/>
      </c>
    </row>
    <row r="11">
      <c r="A11" s="5" t="str">
        <f t="shared" si="1"/>
        <v/>
      </c>
      <c r="B11" s="5" t="str">
        <f t="array" ref="B11">IFERROR(INDEX(Entries!$E$2:$E$48,9)&amp;"","")</f>
        <v/>
      </c>
      <c r="C11" s="5" t="str">
        <f>IF(B11="","",SUMIF(Scores!$B$2:$B$401,B11,Scores!$N$2:$N$401))</f>
        <v/>
      </c>
      <c r="D11" s="5" t="str">
        <f t="array" ref="D11">IF(B11="","",IFERROR(INDEX(Entries!$L$2:$L$48,9),0))</f>
        <v/>
      </c>
      <c r="E11" s="5" t="str">
        <f t="array" ref="E11">IF(B11="","",IFERROR(INDEX(#REF!,9),0))</f>
        <v/>
      </c>
    </row>
    <row r="12">
      <c r="A12" s="5" t="str">
        <f t="shared" si="1"/>
        <v/>
      </c>
      <c r="B12" s="5" t="str">
        <f t="array" ref="B12">IFERROR(INDEX(Entries!$E$2:$E$48,10)&amp;"","")</f>
        <v/>
      </c>
      <c r="C12" s="5" t="str">
        <f>IF(B12="","",SUMIF(Scores!$B$2:$B$401,B12,Scores!$N$2:$N$401))</f>
        <v/>
      </c>
      <c r="D12" s="5" t="str">
        <f t="array" ref="D12">IF(B12="","",IFERROR(INDEX(Entries!$L$2:$L$48,10),0))</f>
        <v/>
      </c>
      <c r="E12" s="5" t="str">
        <f t="array" ref="E12">IF(B12="","",IFERROR(INDEX(#REF!,10),0))</f>
        <v/>
      </c>
    </row>
    <row r="13">
      <c r="A13" s="5" t="str">
        <f t="shared" si="1"/>
        <v/>
      </c>
      <c r="B13" s="5" t="str">
        <f t="array" ref="B13">IFERROR(INDEX(Entries!$E$2:$E$48,11)&amp;"","")</f>
        <v/>
      </c>
      <c r="C13" s="5" t="str">
        <f>IF(B13="","",SUMIF(Scores!$B$2:$B$401,B13,Scores!$N$2:$N$401))</f>
        <v/>
      </c>
      <c r="D13" s="5" t="str">
        <f t="array" ref="D13">IF(B13="","",IFERROR(INDEX(Entries!$L$2:$L$48,11),0))</f>
        <v/>
      </c>
      <c r="E13" s="5" t="str">
        <f t="array" ref="E13">IF(B13="","",IFERROR(INDEX(#REF!,11),0))</f>
        <v/>
      </c>
    </row>
    <row r="14">
      <c r="A14" s="5" t="str">
        <f t="shared" si="1"/>
        <v/>
      </c>
      <c r="B14" s="5" t="str">
        <f t="array" ref="B14">IFERROR(INDEX(Entries!$E$2:$E$48,12)&amp;"","")</f>
        <v/>
      </c>
      <c r="C14" s="5" t="str">
        <f>IF(B14="","",SUMIF(Scores!$B$2:$B$401,B14,Scores!$N$2:$N$401))</f>
        <v/>
      </c>
      <c r="D14" s="5" t="str">
        <f t="array" ref="D14">IF(B14="","",IFERROR(INDEX(Entries!$L$2:$L$48,12),0))</f>
        <v/>
      </c>
      <c r="E14" s="5" t="str">
        <f t="array" ref="E14">IF(B14="","",IFERROR(INDEX(#REF!,12),0))</f>
        <v/>
      </c>
    </row>
    <row r="15">
      <c r="A15" s="5" t="str">
        <f t="shared" si="1"/>
        <v/>
      </c>
      <c r="B15" s="5" t="str">
        <f t="array" ref="B15">IFERROR(INDEX(Entries!$E$2:$E$48,13)&amp;"","")</f>
        <v/>
      </c>
      <c r="C15" s="5" t="str">
        <f>IF(B15="","",SUMIF(Scores!$B$2:$B$401,B15,Scores!$N$2:$N$401))</f>
        <v/>
      </c>
      <c r="D15" s="5" t="str">
        <f t="array" ref="D15">IF(B15="","",IFERROR(INDEX(Entries!$L$2:$L$48,13),0))</f>
        <v/>
      </c>
      <c r="E15" s="5" t="str">
        <f t="array" ref="E15">IF(B15="","",IFERROR(INDEX(#REF!,13),0))</f>
        <v/>
      </c>
    </row>
    <row r="16">
      <c r="A16" s="5" t="str">
        <f t="shared" si="1"/>
        <v/>
      </c>
      <c r="B16" s="5" t="str">
        <f t="array" ref="B16">IFERROR(INDEX(Entries!$E$2:$E$48,14)&amp;"","")</f>
        <v/>
      </c>
      <c r="C16" s="5" t="str">
        <f>IF(B16="","",SUMIF(Scores!$B$2:$B$401,B16,Scores!$N$2:$N$401))</f>
        <v/>
      </c>
      <c r="D16" s="5" t="str">
        <f t="array" ref="D16">IF(B16="","",IFERROR(INDEX(Entries!$L$2:$L$48,14),0))</f>
        <v/>
      </c>
      <c r="E16" s="5" t="str">
        <f t="array" ref="E16">IF(B16="","",IFERROR(INDEX(#REF!,14),0))</f>
        <v/>
      </c>
    </row>
    <row r="17">
      <c r="A17" s="5" t="str">
        <f t="shared" si="1"/>
        <v/>
      </c>
      <c r="B17" s="5" t="str">
        <f t="array" ref="B17">IFERROR(INDEX(Entries!$E$2:$E$48,15)&amp;"","")</f>
        <v/>
      </c>
      <c r="C17" s="5" t="str">
        <f>IF(B17="","",SUMIF(Scores!$B$2:$B$401,B17,Scores!$N$2:$N$401))</f>
        <v/>
      </c>
      <c r="D17" s="5" t="str">
        <f t="array" ref="D17">IF(B17="","",IFERROR(INDEX(Entries!$L$2:$L$48,15),0))</f>
        <v/>
      </c>
      <c r="E17" s="5" t="str">
        <f t="array" ref="E17">IF(B17="","",IFERROR(INDEX(#REF!,15),0))</f>
        <v/>
      </c>
    </row>
    <row r="18">
      <c r="A18" s="5" t="str">
        <f t="shared" si="1"/>
        <v/>
      </c>
      <c r="B18" s="5" t="str">
        <f t="array" ref="B18">IFERROR(INDEX(Entries!$E$2:$E$48,16)&amp;"","")</f>
        <v/>
      </c>
      <c r="C18" s="5" t="str">
        <f>IF(B18="","",SUMIF(Scores!$B$2:$B$401,B18,Scores!$N$2:$N$401))</f>
        <v/>
      </c>
      <c r="D18" s="5" t="str">
        <f t="array" ref="D18">IF(B18="","",IFERROR(INDEX(Entries!$L$2:$L$48,16),0))</f>
        <v/>
      </c>
      <c r="E18" s="5" t="str">
        <f t="array" ref="E18">IF(B18="","",IFERROR(INDEX(#REF!,16),0))</f>
        <v/>
      </c>
    </row>
    <row r="19">
      <c r="A19" s="5" t="str">
        <f t="shared" si="1"/>
        <v/>
      </c>
      <c r="B19" s="5" t="str">
        <f t="array" ref="B19">IFERROR(INDEX(Entries!$E$2:$E$48,17)&amp;"","")</f>
        <v/>
      </c>
      <c r="C19" s="5" t="str">
        <f>IF(B19="","",SUMIF(Scores!$B$2:$B$401,B19,Scores!$N$2:$N$401))</f>
        <v/>
      </c>
      <c r="D19" s="5" t="str">
        <f t="array" ref="D19">IF(B19="","",IFERROR(INDEX(Entries!$L$2:$L$48,17),0))</f>
        <v/>
      </c>
      <c r="E19" s="5" t="str">
        <f t="array" ref="E19">IF(B19="","",IFERROR(INDEX(#REF!,17),0))</f>
        <v/>
      </c>
    </row>
    <row r="20" ht="15.75" customHeight="1">
      <c r="A20" s="5" t="str">
        <f t="shared" si="1"/>
        <v/>
      </c>
      <c r="B20" s="5" t="str">
        <f t="array" ref="B20">IFERROR(INDEX(Entries!$E$2:$E$48,18)&amp;"","")</f>
        <v/>
      </c>
      <c r="C20" s="5" t="str">
        <f>IF(B20="","",SUMIF(Scores!$B$2:$B$401,B20,Scores!$N$2:$N$401))</f>
        <v/>
      </c>
      <c r="D20" s="5" t="str">
        <f t="array" ref="D20">IF(B20="","",IFERROR(INDEX(Entries!$L$2:$L$48,18),0))</f>
        <v/>
      </c>
      <c r="E20" s="5" t="str">
        <f t="array" ref="E20">IF(B20="","",IFERROR(INDEX(#REF!,18),0))</f>
        <v/>
      </c>
    </row>
    <row r="21" ht="15.75" customHeight="1">
      <c r="A21" s="5" t="str">
        <f t="shared" si="1"/>
        <v/>
      </c>
      <c r="B21" s="5" t="str">
        <f t="array" ref="B21">IFERROR(INDEX(Entries!$E$2:$E$48,19)&amp;"","")</f>
        <v/>
      </c>
      <c r="C21" s="5" t="str">
        <f>IF(B21="","",SUMIF(Scores!$B$2:$B$401,B21,Scores!$N$2:$N$401))</f>
        <v/>
      </c>
      <c r="D21" s="5" t="str">
        <f t="array" ref="D21">IF(B21="","",IFERROR(INDEX(Entries!$L$2:$L$48,19),0))</f>
        <v/>
      </c>
      <c r="E21" s="5" t="str">
        <f t="array" ref="E21">IF(B21="","",IFERROR(INDEX(#REF!,19),0))</f>
        <v/>
      </c>
    </row>
    <row r="22" ht="15.75" customHeight="1">
      <c r="A22" s="5" t="str">
        <f t="shared" si="1"/>
        <v/>
      </c>
      <c r="B22" s="5" t="str">
        <f t="array" ref="B22">IFERROR(INDEX(Entries!$E$2:$E$48,20)&amp;"","")</f>
        <v/>
      </c>
      <c r="C22" s="5" t="str">
        <f>IF(B22="","",SUMIF(Scores!$B$2:$B$401,B22,Scores!$N$2:$N$401))</f>
        <v/>
      </c>
      <c r="D22" s="5" t="str">
        <f t="array" ref="D22">IF(B22="","",IFERROR(INDEX(Entries!$L$2:$L$48,20),0))</f>
        <v/>
      </c>
      <c r="E22" s="5" t="str">
        <f t="array" ref="E22">IF(B22="","",IFERROR(INDEX(#REF!,20),0))</f>
        <v/>
      </c>
    </row>
    <row r="23" ht="15.75" customHeight="1">
      <c r="A23" s="5" t="str">
        <f t="shared" si="1"/>
        <v/>
      </c>
      <c r="B23" s="5" t="str">
        <f t="array" ref="B23">IFERROR(INDEX(Entries!$E$2:$E$48,21)&amp;"","")</f>
        <v/>
      </c>
      <c r="C23" s="5" t="str">
        <f>IF(B23="","",SUMIF(Scores!$B$2:$B$401,B23,Scores!$N$2:$N$401))</f>
        <v/>
      </c>
      <c r="D23" s="5" t="str">
        <f t="array" ref="D23">IF(B23="","",IFERROR(INDEX(Entries!$L$2:$L$48,21),0))</f>
        <v/>
      </c>
      <c r="E23" s="5" t="str">
        <f t="array" ref="E23">IF(B23="","",IFERROR(INDEX(#REF!,21),0))</f>
        <v/>
      </c>
    </row>
    <row r="24" ht="15.75" customHeight="1">
      <c r="A24" s="5" t="str">
        <f t="shared" si="1"/>
        <v/>
      </c>
      <c r="B24" s="5" t="str">
        <f t="array" ref="B24">IFERROR(INDEX(Entries!$E$2:$E$48,22)&amp;"","")</f>
        <v/>
      </c>
      <c r="C24" s="5" t="str">
        <f>IF(B24="","",SUMIF(Scores!$B$2:$B$401,B24,Scores!$N$2:$N$401))</f>
        <v/>
      </c>
      <c r="D24" s="5" t="str">
        <f t="array" ref="D24">IF(B24="","",IFERROR(INDEX(Entries!$L$2:$L$48,22),0))</f>
        <v/>
      </c>
      <c r="E24" s="5" t="str">
        <f t="array" ref="E24">IF(B24="","",IFERROR(INDEX(#REF!,22),0))</f>
        <v/>
      </c>
    </row>
    <row r="25" ht="15.75" customHeight="1">
      <c r="A25" s="5" t="str">
        <f t="shared" si="1"/>
        <v/>
      </c>
      <c r="B25" s="5" t="str">
        <f t="array" ref="B25">IFERROR(INDEX(Entries!$E$2:$E$48,23)&amp;"","")</f>
        <v/>
      </c>
      <c r="C25" s="5" t="str">
        <f>IF(B25="","",SUMIF(Scores!$B$2:$B$401,B25,Scores!$N$2:$N$401))</f>
        <v/>
      </c>
      <c r="D25" s="5" t="str">
        <f t="array" ref="D25">IF(B25="","",IFERROR(INDEX(Entries!$L$2:$L$48,23),0))</f>
        <v/>
      </c>
      <c r="E25" s="5" t="str">
        <f t="array" ref="E25">IF(B25="","",IFERROR(INDEX(#REF!,23),0))</f>
        <v/>
      </c>
    </row>
    <row r="26" ht="15.75" customHeight="1">
      <c r="A26" s="5" t="str">
        <f t="shared" si="1"/>
        <v/>
      </c>
      <c r="B26" s="5" t="str">
        <f t="array" ref="B26">IFERROR(INDEX(Entries!$E$2:$E$48,24)&amp;"","")</f>
        <v/>
      </c>
      <c r="C26" s="5" t="str">
        <f>IF(B26="","",SUMIF(Scores!$B$2:$B$401,B26,Scores!$N$2:$N$401))</f>
        <v/>
      </c>
      <c r="D26" s="5" t="str">
        <f t="array" ref="D26">IF(B26="","",IFERROR(INDEX(Entries!$L$2:$L$48,24),0))</f>
        <v/>
      </c>
      <c r="E26" s="5" t="str">
        <f t="array" ref="E26">IF(B26="","",IFERROR(INDEX(#REF!,24),0))</f>
        <v/>
      </c>
    </row>
    <row r="27" ht="15.75" customHeight="1">
      <c r="A27" s="5" t="str">
        <f t="shared" si="1"/>
        <v/>
      </c>
      <c r="B27" s="5" t="str">
        <f t="array" ref="B27">IFERROR(INDEX(Entries!$E$2:$E$48,25)&amp;"","")</f>
        <v/>
      </c>
      <c r="C27" s="5" t="str">
        <f>IF(B27="","",SUMIF(Scores!$B$2:$B$401,B27,Scores!$N$2:$N$401))</f>
        <v/>
      </c>
      <c r="D27" s="5" t="str">
        <f t="array" ref="D27">IF(B27="","",IFERROR(INDEX(Entries!$L$2:$L$48,25),0))</f>
        <v/>
      </c>
      <c r="E27" s="5" t="str">
        <f t="array" ref="E27">IF(B27="","",IFERROR(INDEX(#REF!,25),0))</f>
        <v/>
      </c>
    </row>
    <row r="28" ht="15.75" customHeight="1">
      <c r="A28" s="5" t="str">
        <f t="shared" si="1"/>
        <v/>
      </c>
      <c r="B28" s="5" t="str">
        <f t="array" ref="B28">IFERROR(INDEX(Entries!$E$2:$E$48,26)&amp;"","")</f>
        <v/>
      </c>
      <c r="C28" s="5" t="str">
        <f>IF(B28="","",SUMIF(Scores!$B$2:$B$401,B28,Scores!$N$2:$N$401))</f>
        <v/>
      </c>
      <c r="D28" s="5" t="str">
        <f t="array" ref="D28">IF(B28="","",IFERROR(INDEX(Entries!$L$2:$L$48,26),0))</f>
        <v/>
      </c>
      <c r="E28" s="5" t="str">
        <f t="array" ref="E28">IF(B28="","",IFERROR(INDEX(#REF!,26),0))</f>
        <v/>
      </c>
    </row>
    <row r="29" ht="15.75" customHeight="1">
      <c r="A29" s="5" t="str">
        <f t="shared" si="1"/>
        <v/>
      </c>
      <c r="B29" s="5" t="str">
        <f t="array" ref="B29">IFERROR(INDEX(Entries!$E$2:$E$48,27)&amp;"","")</f>
        <v/>
      </c>
      <c r="C29" s="5" t="str">
        <f>IF(B29="","",SUMIF(Scores!$B$2:$B$401,B29,Scores!$N$2:$N$401))</f>
        <v/>
      </c>
      <c r="D29" s="5" t="str">
        <f t="array" ref="D29">IF(B29="","",IFERROR(INDEX(Entries!$L$2:$L$48,27),0))</f>
        <v/>
      </c>
      <c r="E29" s="5" t="str">
        <f t="array" ref="E29">IF(B29="","",IFERROR(INDEX(#REF!,27),0))</f>
        <v/>
      </c>
    </row>
    <row r="30" ht="15.75" customHeight="1">
      <c r="A30" s="5" t="str">
        <f t="shared" si="1"/>
        <v/>
      </c>
      <c r="B30" s="5" t="str">
        <f t="array" ref="B30">IFERROR(INDEX(Entries!$E$2:$E$48,28)&amp;"","")</f>
        <v/>
      </c>
      <c r="C30" s="5" t="str">
        <f>IF(B30="","",SUMIF(Scores!$B$2:$B$401,B30,Scores!$N$2:$N$401))</f>
        <v/>
      </c>
      <c r="D30" s="5" t="str">
        <f t="array" ref="D30">IF(B30="","",IFERROR(INDEX(Entries!$L$2:$L$48,28),0))</f>
        <v/>
      </c>
      <c r="E30" s="5" t="str">
        <f t="array" ref="E30">IF(B30="","",IFERROR(INDEX(#REF!,28),0))</f>
        <v/>
      </c>
    </row>
    <row r="31" ht="15.75" customHeight="1">
      <c r="A31" s="5" t="str">
        <f t="shared" si="1"/>
        <v/>
      </c>
      <c r="B31" s="5" t="str">
        <f t="array" ref="B31">IFERROR(INDEX(Entries!$E$2:$E$48,29)&amp;"","")</f>
        <v/>
      </c>
      <c r="C31" s="5" t="str">
        <f>IF(B31="","",SUMIF(Scores!$B$2:$B$401,B31,Scores!$N$2:$N$401))</f>
        <v/>
      </c>
      <c r="D31" s="5" t="str">
        <f t="array" ref="D31">IF(B31="","",IFERROR(INDEX(Entries!$L$2:$L$48,29),0))</f>
        <v/>
      </c>
      <c r="E31" s="5" t="str">
        <f t="array" ref="E31">IF(B31="","",IFERROR(INDEX(#REF!,29),0))</f>
        <v/>
      </c>
    </row>
    <row r="32" ht="15.75" customHeight="1">
      <c r="A32" s="5" t="str">
        <f t="shared" si="1"/>
        <v/>
      </c>
      <c r="B32" s="5" t="str">
        <f t="array" ref="B32">IFERROR(INDEX(Entries!$E$2:$E$48,30)&amp;"","")</f>
        <v/>
      </c>
      <c r="C32" s="5" t="str">
        <f>IF(B32="","",SUMIF(Scores!$B$2:$B$401,B32,Scores!$N$2:$N$401))</f>
        <v/>
      </c>
      <c r="D32" s="5" t="str">
        <f t="array" ref="D32">IF(B32="","",IFERROR(INDEX(Entries!$L$2:$L$48,30),0))</f>
        <v/>
      </c>
      <c r="E32" s="5" t="str">
        <f t="array" ref="E32">IF(B32="","",IFERROR(INDEX(#REF!,30),0))</f>
        <v/>
      </c>
    </row>
    <row r="33" ht="15.75" customHeight="1">
      <c r="A33" s="5" t="str">
        <f t="shared" si="1"/>
        <v/>
      </c>
      <c r="B33" s="5" t="str">
        <f t="array" ref="B33">IFERROR(INDEX(Entries!$E$2:$E$48,31)&amp;"","")</f>
        <v/>
      </c>
      <c r="C33" s="5" t="str">
        <f>IF(B33="","",SUMIF(Scores!$B$2:$B$401,B33,Scores!$N$2:$N$401))</f>
        <v/>
      </c>
      <c r="D33" s="5" t="str">
        <f t="array" ref="D33">IF(B33="","",IFERROR(INDEX(Entries!$L$2:$L$48,31),0))</f>
        <v/>
      </c>
      <c r="E33" s="5" t="str">
        <f t="array" ref="E33">IF(B33="","",IFERROR(INDEX(#REF!,31),0))</f>
        <v/>
      </c>
    </row>
    <row r="34" ht="15.75" customHeight="1">
      <c r="A34" s="5" t="str">
        <f t="shared" si="1"/>
        <v/>
      </c>
      <c r="B34" s="5" t="str">
        <f t="array" ref="B34">IFERROR(INDEX(Entries!$E$2:$E$48,32)&amp;"","")</f>
        <v/>
      </c>
      <c r="C34" s="5" t="str">
        <f>IF(B34="","",SUMIF(Scores!$B$2:$B$401,B34,Scores!$N$2:$N$401))</f>
        <v/>
      </c>
      <c r="D34" s="5" t="str">
        <f t="array" ref="D34">IF(B34="","",IFERROR(INDEX(Entries!$L$2:$L$48,32),0))</f>
        <v/>
      </c>
      <c r="E34" s="5" t="str">
        <f t="array" ref="E34">IF(B34="","",IFERROR(INDEX(#REF!,32),0))</f>
        <v/>
      </c>
    </row>
    <row r="35" ht="15.75" customHeight="1">
      <c r="A35" s="5" t="str">
        <f t="shared" si="1"/>
        <v/>
      </c>
      <c r="B35" s="5" t="str">
        <f t="array" ref="B35">IFERROR(INDEX(Entries!$E$2:$E$48,33)&amp;"","")</f>
        <v/>
      </c>
      <c r="C35" s="5" t="str">
        <f>IF(B35="","",SUMIF(Scores!$B$2:$B$401,B35,Scores!$N$2:$N$401))</f>
        <v/>
      </c>
      <c r="D35" s="5" t="str">
        <f t="array" ref="D35">IF(B35="","",IFERROR(INDEX(Entries!$L$2:$L$48,33),0))</f>
        <v/>
      </c>
      <c r="E35" s="5" t="str">
        <f t="array" ref="E35">IF(B35="","",IFERROR(INDEX(#REF!,33),0))</f>
        <v/>
      </c>
    </row>
    <row r="36" ht="15.75" customHeight="1">
      <c r="A36" s="5" t="str">
        <f t="shared" si="1"/>
        <v/>
      </c>
      <c r="B36" s="5" t="str">
        <f t="array" ref="B36">IFERROR(INDEX(Entries!$E$2:$E$48,34)&amp;"","")</f>
        <v/>
      </c>
      <c r="C36" s="5" t="str">
        <f>IF(B36="","",SUMIF(Scores!$B$2:$B$401,B36,Scores!$N$2:$N$401))</f>
        <v/>
      </c>
      <c r="D36" s="5" t="str">
        <f t="array" ref="D36">IF(B36="","",IFERROR(INDEX(Entries!$L$2:$L$48,34),0))</f>
        <v/>
      </c>
      <c r="E36" s="5" t="str">
        <f t="array" ref="E36">IF(B36="","",IFERROR(INDEX(#REF!,34),0))</f>
        <v/>
      </c>
    </row>
    <row r="37" ht="15.75" customHeight="1">
      <c r="A37" s="5" t="str">
        <f t="shared" si="1"/>
        <v/>
      </c>
      <c r="B37" s="5" t="str">
        <f t="array" ref="B37">IFERROR(INDEX(Entries!$E$2:$E$48,35)&amp;"","")</f>
        <v/>
      </c>
      <c r="C37" s="5" t="str">
        <f>IF(B37="","",SUMIF(Scores!$B$2:$B$401,B37,Scores!$N$2:$N$401))</f>
        <v/>
      </c>
      <c r="D37" s="5" t="str">
        <f t="array" ref="D37">IF(B37="","",IFERROR(INDEX(Entries!$L$2:$L$48,35),0))</f>
        <v/>
      </c>
      <c r="E37" s="5" t="str">
        <f t="array" ref="E37">IF(B37="","",IFERROR(INDEX(#REF!,35),0))</f>
        <v/>
      </c>
    </row>
    <row r="38" ht="15.75" customHeight="1">
      <c r="A38" s="5" t="str">
        <f t="shared" si="1"/>
        <v/>
      </c>
      <c r="B38" s="5" t="str">
        <f t="array" ref="B38">IFERROR(INDEX(Entries!$E$2:$E$48,36)&amp;"","")</f>
        <v/>
      </c>
      <c r="C38" s="5" t="str">
        <f>IF(B38="","",SUMIF(Scores!$B$2:$B$401,B38,Scores!$N$2:$N$401))</f>
        <v/>
      </c>
      <c r="D38" s="5" t="str">
        <f t="array" ref="D38">IF(B38="","",IFERROR(INDEX(Entries!$L$2:$L$48,36),0))</f>
        <v/>
      </c>
      <c r="E38" s="5" t="str">
        <f t="array" ref="E38">IF(B38="","",IFERROR(INDEX(#REF!,36),0))</f>
        <v/>
      </c>
    </row>
    <row r="39" ht="15.75" customHeight="1">
      <c r="A39" s="5" t="str">
        <f t="shared" si="1"/>
        <v/>
      </c>
      <c r="B39" s="5" t="str">
        <f t="array" ref="B39">IFERROR(INDEX(Entries!$E$2:$E$48,37)&amp;"","")</f>
        <v/>
      </c>
      <c r="C39" s="5" t="str">
        <f>IF(B39="","",SUMIF(Scores!$B$2:$B$401,B39,Scores!$N$2:$N$401))</f>
        <v/>
      </c>
      <c r="D39" s="5" t="str">
        <f t="array" ref="D39">IF(B39="","",IFERROR(INDEX(Entries!$L$2:$L$48,37),0))</f>
        <v/>
      </c>
      <c r="E39" s="5" t="str">
        <f t="array" ref="E39">IF(B39="","",IFERROR(INDEX(#REF!,37),0))</f>
        <v/>
      </c>
    </row>
    <row r="40" ht="15.75" customHeight="1">
      <c r="A40" s="5" t="str">
        <f t="shared" si="1"/>
        <v/>
      </c>
      <c r="B40" s="5" t="str">
        <f t="array" ref="B40">IFERROR(INDEX(Entries!$E$2:$E$48,38)&amp;"","")</f>
        <v/>
      </c>
      <c r="C40" s="5" t="str">
        <f>IF(B40="","",SUMIF(Scores!$B$2:$B$401,B40,Scores!$N$2:$N$401))</f>
        <v/>
      </c>
      <c r="D40" s="5" t="str">
        <f t="array" ref="D40">IF(B40="","",IFERROR(INDEX(Entries!$L$2:$L$48,38),0))</f>
        <v/>
      </c>
      <c r="E40" s="5" t="str">
        <f t="array" ref="E40">IF(B40="","",IFERROR(INDEX(#REF!,38),0))</f>
        <v/>
      </c>
    </row>
    <row r="41" ht="15.75" customHeight="1">
      <c r="A41" s="5" t="str">
        <f t="shared" si="1"/>
        <v/>
      </c>
      <c r="B41" s="5" t="str">
        <f t="array" ref="B41">IFERROR(INDEX(Entries!$E$2:$E$48,39)&amp;"","")</f>
        <v/>
      </c>
      <c r="C41" s="5" t="str">
        <f>IF(B41="","",SUMIF(Scores!$B$2:$B$401,B41,Scores!$N$2:$N$401))</f>
        <v/>
      </c>
      <c r="D41" s="5" t="str">
        <f t="array" ref="D41">IF(B41="","",IFERROR(INDEX(Entries!$L$2:$L$48,39),0))</f>
        <v/>
      </c>
      <c r="E41" s="5" t="str">
        <f t="array" ref="E41">IF(B41="","",IFERROR(INDEX(#REF!,39),0))</f>
        <v/>
      </c>
    </row>
    <row r="42" ht="15.75" customHeight="1">
      <c r="A42" s="5" t="str">
        <f t="shared" si="1"/>
        <v/>
      </c>
      <c r="B42" s="5" t="str">
        <f t="array" ref="B42">IFERROR(INDEX(Entries!$E$2:$E$48,40)&amp;"","")</f>
        <v/>
      </c>
      <c r="C42" s="5" t="str">
        <f>IF(B42="","",SUMIF(Scores!$B$2:$B$401,B42,Scores!$N$2:$N$401))</f>
        <v/>
      </c>
      <c r="D42" s="5" t="str">
        <f t="array" ref="D42">IF(B42="","",IFERROR(INDEX(Entries!$L$2:$L$48,40),0))</f>
        <v/>
      </c>
      <c r="E42" s="5" t="str">
        <f t="array" ref="E42">IF(B42="","",IFERROR(INDEX(#REF!,40),0))</f>
        <v/>
      </c>
    </row>
    <row r="43" ht="15.75" customHeight="1">
      <c r="A43" s="5" t="str">
        <f t="shared" si="1"/>
        <v/>
      </c>
      <c r="B43" s="5" t="str">
        <f t="array" ref="B43">IFERROR(INDEX(Entries!$E$2:$E$48,41)&amp;"","")</f>
        <v/>
      </c>
      <c r="C43" s="5" t="str">
        <f>IF(B43="","",SUMIF(Scores!$B$2:$B$401,B43,Scores!$N$2:$N$401))</f>
        <v/>
      </c>
      <c r="D43" s="5" t="str">
        <f t="array" ref="D43">IF(B43="","",IFERROR(INDEX(Entries!$L$2:$L$48,41),0))</f>
        <v/>
      </c>
      <c r="E43" s="5" t="str">
        <f t="array" ref="E43">IF(B43="","",IFERROR(INDEX(#REF!,41),0))</f>
        <v/>
      </c>
    </row>
    <row r="44" ht="15.75" customHeight="1">
      <c r="A44" s="5" t="str">
        <f t="shared" si="1"/>
        <v/>
      </c>
      <c r="B44" s="5" t="str">
        <f t="array" ref="B44">IFERROR(INDEX(Entries!$E$2:$E$48,42)&amp;"","")</f>
        <v/>
      </c>
      <c r="C44" s="5" t="str">
        <f>IF(B44="","",SUMIF(Scores!$B$2:$B$401,B44,Scores!$N$2:$N$401))</f>
        <v/>
      </c>
      <c r="D44" s="5" t="str">
        <f t="array" ref="D44">IF(B44="","",IFERROR(INDEX(Entries!$L$2:$L$48,42),0))</f>
        <v/>
      </c>
      <c r="E44" s="5" t="str">
        <f t="array" ref="E44">IF(B44="","",IFERROR(INDEX(#REF!,42),0))</f>
        <v/>
      </c>
    </row>
    <row r="45" ht="15.75" customHeight="1">
      <c r="A45" s="5" t="str">
        <f t="shared" si="1"/>
        <v/>
      </c>
      <c r="B45" s="5" t="str">
        <f t="array" ref="B45">IFERROR(INDEX(Entries!$E$2:$E$48,43)&amp;"","")</f>
        <v/>
      </c>
      <c r="C45" s="5" t="str">
        <f>IF(B45="","",SUMIF(Scores!$B$2:$B$401,B45,Scores!$N$2:$N$401))</f>
        <v/>
      </c>
      <c r="D45" s="5" t="str">
        <f t="array" ref="D45">IF(B45="","",IFERROR(INDEX(Entries!$L$2:$L$48,43),0))</f>
        <v/>
      </c>
      <c r="E45" s="5" t="str">
        <f t="array" ref="E45">IF(B45="","",IFERROR(INDEX(#REF!,43),0))</f>
        <v/>
      </c>
    </row>
    <row r="46" ht="15.75" customHeight="1">
      <c r="A46" s="5" t="str">
        <f t="shared" si="1"/>
        <v/>
      </c>
      <c r="B46" s="5" t="str">
        <f t="array" ref="B46">IFERROR(INDEX(Entries!$E$2:$E$48,44)&amp;"","")</f>
        <v/>
      </c>
      <c r="C46" s="5" t="str">
        <f>IF(B46="","",SUMIF(Scores!$B$2:$B$401,B46,Scores!$N$2:$N$401))</f>
        <v/>
      </c>
      <c r="D46" s="5" t="str">
        <f t="array" ref="D46">IF(B46="","",IFERROR(INDEX(Entries!$L$2:$L$48,44),0))</f>
        <v/>
      </c>
      <c r="E46" s="5" t="str">
        <f t="array" ref="E46">IF(B46="","",IFERROR(INDEX(#REF!,44),0))</f>
        <v/>
      </c>
    </row>
    <row r="47" ht="15.75" customHeight="1">
      <c r="A47" s="5" t="str">
        <f t="shared" si="1"/>
        <v/>
      </c>
      <c r="B47" s="5" t="str">
        <f t="array" ref="B47">IFERROR(INDEX(Entries!$E$2:$E$48,45)&amp;"","")</f>
        <v/>
      </c>
      <c r="C47" s="5" t="str">
        <f>IF(B47="","",SUMIF(Scores!$B$2:$B$401,B47,Scores!$N$2:$N$401))</f>
        <v/>
      </c>
      <c r="D47" s="5" t="str">
        <f t="array" ref="D47">IF(B47="","",IFERROR(INDEX(Entries!$L$2:$L$48,45),0))</f>
        <v/>
      </c>
      <c r="E47" s="5" t="str">
        <f t="array" ref="E47">IF(B47="","",IFERROR(INDEX(#REF!,45),0))</f>
        <v/>
      </c>
    </row>
    <row r="48" ht="15.75" customHeight="1">
      <c r="A48" s="5" t="str">
        <f t="shared" si="1"/>
        <v/>
      </c>
      <c r="B48" s="5" t="str">
        <f t="array" ref="B48">IFERROR(INDEX(Entries!$E$2:$E$48,46)&amp;"","")</f>
        <v/>
      </c>
      <c r="C48" s="5" t="str">
        <f>IF(B48="","",SUMIF(Scores!$B$2:$B$401,B48,Scores!$N$2:$N$401))</f>
        <v/>
      </c>
      <c r="D48" s="5" t="str">
        <f t="array" ref="D48">IF(B48="","",IFERROR(INDEX(Entries!$L$2:$L$48,46),0))</f>
        <v/>
      </c>
      <c r="E48" s="5" t="str">
        <f t="array" ref="E48">IF(B48="","",IFERROR(INDEX(#REF!,46),0))</f>
        <v/>
      </c>
    </row>
    <row r="49" ht="15.75" customHeight="1">
      <c r="A49" s="5" t="str">
        <f t="shared" si="1"/>
        <v/>
      </c>
      <c r="B49" s="5" t="str">
        <f t="array" ref="B49">IFERROR(INDEX(Entries!$E$2:$E$48,47)&amp;"","")</f>
        <v/>
      </c>
      <c r="C49" s="5" t="str">
        <f>IF(B49="","",SUMIF(Scores!$B$2:$B$401,B49,Scores!$N$2:$N$401))</f>
        <v/>
      </c>
      <c r="D49" s="5" t="str">
        <f t="array" ref="D49">IF(B49="","",IFERROR(INDEX(Entries!$L$2:$L$48,47),0))</f>
        <v/>
      </c>
      <c r="E49" s="5" t="str">
        <f t="array" ref="E49">IF(B49="","",IFERROR(INDEX(#REF!,47),0))</f>
        <v/>
      </c>
    </row>
    <row r="50" ht="15.75" customHeight="1">
      <c r="A50" s="5" t="str">
        <f t="shared" si="1"/>
        <v/>
      </c>
      <c r="B50" s="5" t="str">
        <f t="array" ref="B50">IFERROR(INDEX(Entries!$E$2:$E$48,48)&amp;"","")</f>
        <v/>
      </c>
      <c r="C50" s="5" t="str">
        <f>IF(B50="","",SUMIF(Scores!$B$2:$B$401,B50,Scores!$N$2:$N$401))</f>
        <v/>
      </c>
      <c r="D50" s="5" t="str">
        <f t="array" ref="D50">IF(B50="","",IFERROR(INDEX(Entries!$L$2:$L$48,48),0))</f>
        <v/>
      </c>
      <c r="E50" s="5" t="str">
        <f t="array" ref="E50">IF(B50="","",IFERROR(INDEX(#REF!,48),0))</f>
        <v/>
      </c>
    </row>
    <row r="51" ht="15.75" customHeight="1">
      <c r="A51" s="5" t="str">
        <f t="shared" si="1"/>
        <v/>
      </c>
      <c r="B51" s="5" t="str">
        <f t="array" ref="B51">IFERROR(INDEX(Entries!$E$2:$E$48,49)&amp;"","")</f>
        <v/>
      </c>
      <c r="C51" s="5" t="str">
        <f>IF(B51="","",SUMIF(Scores!$B$2:$B$401,B51,Scores!$N$2:$N$401))</f>
        <v/>
      </c>
      <c r="D51" s="5" t="str">
        <f t="array" ref="D51">IF(B51="","",IFERROR(INDEX(Entries!$L$2:$L$48,49),0))</f>
        <v/>
      </c>
      <c r="E51" s="5" t="str">
        <f t="array" ref="E51">IF(B51="","",IFERROR(INDEX(#REF!,49),0))</f>
        <v/>
      </c>
    </row>
    <row r="52" ht="15.75" customHeight="1">
      <c r="A52" s="5" t="str">
        <f t="shared" si="1"/>
        <v/>
      </c>
      <c r="B52" s="5" t="str">
        <f t="array" ref="B52">IFERROR(INDEX(Entries!$E$2:$E$48,50)&amp;"","")</f>
        <v/>
      </c>
      <c r="C52" s="5" t="str">
        <f>IF(B52="","",SUMIF(Scores!$B$2:$B$401,B52,Scores!$N$2:$N$401))</f>
        <v/>
      </c>
      <c r="D52" s="5" t="str">
        <f t="array" ref="D52">IF(B52="","",IFERROR(INDEX(Entries!$L$2:$L$48,50),0))</f>
        <v/>
      </c>
      <c r="E52" s="5" t="str">
        <f t="array" ref="E52">IF(B52="","",IFERROR(INDEX(#REF!,50),0))</f>
        <v/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3:$F$3">
    <sortState ref="A3:F3">
      <sortCondition ref="A3"/>
    </sortState>
  </autoFilter>
  <mergeCells count="1">
    <mergeCell ref="A1:F1"/>
  </mergeCells>
  <conditionalFormatting sqref="A4:A52">
    <cfRule type="cellIs" dxfId="0" priority="1" operator="equal">
      <formula>1</formula>
    </cfRule>
  </conditionalFormatting>
  <conditionalFormatting sqref="A4:A52">
    <cfRule type="cellIs" dxfId="1" priority="2" operator="equal">
      <formula>2</formula>
    </cfRule>
  </conditionalFormatting>
  <conditionalFormatting sqref="A4:A52">
    <cfRule type="cellIs" dxfId="2" priority="3" operator="equal">
      <formula>3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7.29"/>
    <col customWidth="1" min="3" max="3" width="6.43"/>
    <col customWidth="1" min="4" max="4" width="7.57"/>
    <col customWidth="1" min="5" max="5" width="8.29"/>
    <col customWidth="1" min="6" max="6" width="9.43"/>
    <col customWidth="1" min="7" max="7" width="7.71"/>
    <col customWidth="1" min="8" max="8" width="16.71"/>
    <col customWidth="1" min="9" max="26" width="8.71"/>
  </cols>
  <sheetData>
    <row r="1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  <c r="G1" s="6" t="s">
        <v>14</v>
      </c>
      <c r="H1" s="6" t="s">
        <v>15</v>
      </c>
    </row>
    <row r="2">
      <c r="A2" s="7" t="str">
        <f>IF(MedalImport!B3="","",MedalImport!B3)</f>
        <v>Norway</v>
      </c>
      <c r="B2" s="7" t="str">
        <f t="array" ref="B2">IF(A2="","",LET(_xlpm.raw,A2,_xlpm.alias,XLOOKUP(_xlpm.raw,Aliases!$A$2:$A$50,Aliases!$B$2:$B$50,""),IF(_xlpm.alias&lt;&gt;"",_xlpm.alias,_xlpm.raw)))</f>
        <v>Norway</v>
      </c>
      <c r="C2" s="7" t="str">
        <f t="array" ref="C2">IF(B2="","",XLOOKUP(B2,Countries!$A$2:$A$72,Countries!$B$2:$B$72,"???"))</f>
        <v>NOR</v>
      </c>
      <c r="D2" s="7">
        <f>IF(A2="","",MedalImport!C3)</f>
        <v>10</v>
      </c>
      <c r="E2" s="7">
        <f>IF(A2="","",MedalImport!D3)</f>
        <v>8</v>
      </c>
      <c r="F2" s="7">
        <f>IF(A2="","",MedalImport!E3)</f>
        <v>6</v>
      </c>
      <c r="G2" s="7">
        <f t="shared" ref="G2:G51" si="1">IF(A2="","",D2+E2+F2)</f>
        <v>24</v>
      </c>
      <c r="H2" s="7" t="str">
        <f t="array" ref="H2">IF(A2="","",LET(_xlpm.raw,A2,_xlpm.isExcluded,XLOOKUP(_xlpm.raw,Aliases!$A$2:$A$50,Aliases!$D$2:$D$50,FALSE),_xlpm.isMapped,ISNUMBER(MATCH(B2,Countries!$A$2:$A$72,0)),IF(_xlpm.isExcluded,"EXCLUDED",IF(_xlpm.isMapped,"OK","UNMAPPED"))))</f>
        <v>OK</v>
      </c>
    </row>
    <row r="3">
      <c r="A3" s="7" t="str">
        <f>IF(MedalImport!B4="","",MedalImport!B4)</f>
        <v>Germany</v>
      </c>
      <c r="B3" s="7" t="str">
        <f t="array" ref="B3">IF(A3="","",LET(_xlpm.raw,A3,_xlpm.alias,XLOOKUP(_xlpm.raw,Aliases!$A$2:$A$50,Aliases!$B$2:$B$50,""),IF(_xlpm.alias&lt;&gt;"",_xlpm.alias,_xlpm.raw)))</f>
        <v>Germany</v>
      </c>
      <c r="C3" s="7" t="str">
        <f t="array" ref="C3">IF(B3="","",XLOOKUP(B3,Countries!$A$2:$A$72,Countries!$B$2:$B$72,"???"))</f>
        <v>GER</v>
      </c>
      <c r="D3" s="7">
        <f>IF(A3="","",MedalImport!C4)</f>
        <v>8</v>
      </c>
      <c r="E3" s="7">
        <f>IF(A3="","",MedalImport!D4)</f>
        <v>7</v>
      </c>
      <c r="F3" s="7">
        <f>IF(A3="","",MedalImport!E4)</f>
        <v>5</v>
      </c>
      <c r="G3" s="7">
        <f t="shared" si="1"/>
        <v>20</v>
      </c>
      <c r="H3" s="7" t="str">
        <f t="array" ref="H3">IF(A3="","",LET(_xlpm.raw,A3,_xlpm.isExcluded,XLOOKUP(_xlpm.raw,Aliases!$A$2:$A$50,Aliases!$D$2:$D$50,FALSE),_xlpm.isMapped,ISNUMBER(MATCH(B3,Countries!$A$2:$A$72,0)),IF(_xlpm.isExcluded,"EXCLUDED",IF(_xlpm.isMapped,"OK","UNMAPPED"))))</f>
        <v>OK</v>
      </c>
    </row>
    <row r="4">
      <c r="A4" s="7" t="str">
        <f>IF(MedalImport!B5="","",MedalImport!B5)</f>
        <v>United States</v>
      </c>
      <c r="B4" s="7" t="str">
        <f t="array" ref="B4">IF(A4="","",LET(_xlpm.raw,A4,_xlpm.alias,XLOOKUP(_xlpm.raw,Aliases!$A$2:$A$50,Aliases!$B$2:$B$50,""),IF(_xlpm.alias&lt;&gt;"",_xlpm.alias,_xlpm.raw)))</f>
        <v>United States</v>
      </c>
      <c r="C4" s="7" t="str">
        <f t="array" ref="C4">IF(B4="","",XLOOKUP(B4,Countries!$A$2:$A$72,Countries!$B$2:$B$72,"???"))</f>
        <v>USA</v>
      </c>
      <c r="D4" s="7">
        <f>IF(A4="","",MedalImport!C5)</f>
        <v>6</v>
      </c>
      <c r="E4" s="7">
        <f>IF(A4="","",MedalImport!D5)</f>
        <v>8</v>
      </c>
      <c r="F4" s="7">
        <f>IF(A4="","",MedalImport!E5)</f>
        <v>7</v>
      </c>
      <c r="G4" s="7">
        <f t="shared" si="1"/>
        <v>21</v>
      </c>
      <c r="H4" s="7" t="str">
        <f t="array" ref="H4">IF(A4="","",LET(_xlpm.raw,A4,_xlpm.isExcluded,XLOOKUP(_xlpm.raw,Aliases!$A$2:$A$50,Aliases!$D$2:$D$50,FALSE),_xlpm.isMapped,ISNUMBER(MATCH(B4,Countries!$A$2:$A$72,0)),IF(_xlpm.isExcluded,"EXCLUDED",IF(_xlpm.isMapped,"OK","UNMAPPED"))))</f>
        <v>OK</v>
      </c>
    </row>
    <row r="5">
      <c r="A5" s="7" t="str">
        <f>IF(MedalImport!B6="","",MedalImport!B6)</f>
        <v>Canada</v>
      </c>
      <c r="B5" s="7" t="str">
        <f t="array" ref="B5">IF(A5="","",LET(_xlpm.raw,A5,_xlpm.alias,XLOOKUP(_xlpm.raw,Aliases!$A$2:$A$50,Aliases!$B$2:$B$50,""),IF(_xlpm.alias&lt;&gt;"",_xlpm.alias,_xlpm.raw)))</f>
        <v>Canada</v>
      </c>
      <c r="C5" s="7" t="str">
        <f t="array" ref="C5">IF(B5="","",XLOOKUP(B5,Countries!$A$2:$A$72,Countries!$B$2:$B$72,"???"))</f>
        <v>CAN</v>
      </c>
      <c r="D5" s="7">
        <f>IF(A5="","",MedalImport!C6)</f>
        <v>5</v>
      </c>
      <c r="E5" s="7">
        <f>IF(A5="","",MedalImport!D6)</f>
        <v>6</v>
      </c>
      <c r="F5" s="7">
        <f>IF(A5="","",MedalImport!E6)</f>
        <v>8</v>
      </c>
      <c r="G5" s="7">
        <f t="shared" si="1"/>
        <v>19</v>
      </c>
      <c r="H5" s="7" t="str">
        <f t="array" ref="H5">IF(A5="","",LET(_xlpm.raw,A5,_xlpm.isExcluded,XLOOKUP(_xlpm.raw,Aliases!$A$2:$A$50,Aliases!$D$2:$D$50,FALSE),_xlpm.isMapped,ISNUMBER(MATCH(B5,Countries!$A$2:$A$72,0)),IF(_xlpm.isExcluded,"EXCLUDED",IF(_xlpm.isMapped,"OK","UNMAPPED"))))</f>
        <v>OK</v>
      </c>
    </row>
    <row r="6">
      <c r="A6" s="7" t="str">
        <f>IF(MedalImport!B7="","",MedalImport!B7)</f>
        <v>Netherlands</v>
      </c>
      <c r="B6" s="7" t="str">
        <f t="array" ref="B6">IF(A6="","",LET(_xlpm.raw,A6,_xlpm.alias,XLOOKUP(_xlpm.raw,Aliases!$A$2:$A$50,Aliases!$B$2:$B$50,""),IF(_xlpm.alias&lt;&gt;"",_xlpm.alias,_xlpm.raw)))</f>
        <v>Netherlands</v>
      </c>
      <c r="C6" s="7" t="str">
        <f t="array" ref="C6">IF(B6="","",XLOOKUP(B6,Countries!$A$2:$A$72,Countries!$B$2:$B$72,"???"))</f>
        <v>NED</v>
      </c>
      <c r="D6" s="7">
        <f>IF(A6="","",MedalImport!C7)</f>
        <v>7</v>
      </c>
      <c r="E6" s="7">
        <f>IF(A6="","",MedalImport!D7)</f>
        <v>5</v>
      </c>
      <c r="F6" s="7">
        <f>IF(A6="","",MedalImport!E7)</f>
        <v>3</v>
      </c>
      <c r="G6" s="7">
        <f t="shared" si="1"/>
        <v>15</v>
      </c>
      <c r="H6" s="7" t="str">
        <f t="array" ref="H6">IF(A6="","",LET(_xlpm.raw,A6,_xlpm.isExcluded,XLOOKUP(_xlpm.raw,Aliases!$A$2:$A$50,Aliases!$D$2:$D$50,FALSE),_xlpm.isMapped,ISNUMBER(MATCH(B6,Countries!$A$2:$A$72,0)),IF(_xlpm.isExcluded,"EXCLUDED",IF(_xlpm.isMapped,"OK","UNMAPPED"))))</f>
        <v>OK</v>
      </c>
    </row>
    <row r="7">
      <c r="A7" s="7" t="str">
        <f>IF(MedalImport!B8="","",MedalImport!B8)</f>
        <v>France</v>
      </c>
      <c r="B7" s="7" t="str">
        <f t="array" ref="B7">IF(A7="","",LET(_xlpm.raw,A7,_xlpm.alias,XLOOKUP(_xlpm.raw,Aliases!$A$2:$A$50,Aliases!$B$2:$B$50,""),IF(_xlpm.alias&lt;&gt;"",_xlpm.alias,_xlpm.raw)))</f>
        <v>France</v>
      </c>
      <c r="C7" s="7" t="str">
        <f t="array" ref="C7">IF(B7="","",XLOOKUP(B7,Countries!$A$2:$A$72,Countries!$B$2:$B$72,"???"))</f>
        <v>FRA</v>
      </c>
      <c r="D7" s="7">
        <f>IF(A7="","",MedalImport!C8)</f>
        <v>3</v>
      </c>
      <c r="E7" s="7">
        <f>IF(A7="","",MedalImport!D8)</f>
        <v>4</v>
      </c>
      <c r="F7" s="7">
        <f>IF(A7="","",MedalImport!E8)</f>
        <v>2</v>
      </c>
      <c r="G7" s="7">
        <f t="shared" si="1"/>
        <v>9</v>
      </c>
      <c r="H7" s="7" t="str">
        <f t="array" ref="H7">IF(A7="","",LET(_xlpm.raw,A7,_xlpm.isExcluded,XLOOKUP(_xlpm.raw,Aliases!$A$2:$A$50,Aliases!$D$2:$D$50,FALSE),_xlpm.isMapped,ISNUMBER(MATCH(B7,Countries!$A$2:$A$72,0)),IF(_xlpm.isExcluded,"EXCLUDED",IF(_xlpm.isMapped,"OK","UNMAPPED"))))</f>
        <v>OK</v>
      </c>
    </row>
    <row r="8">
      <c r="A8" s="7" t="str">
        <f>IF(MedalImport!B9="","",MedalImport!B9)</f>
        <v>Switzerland</v>
      </c>
      <c r="B8" s="7" t="str">
        <f t="array" ref="B8">IF(A8="","",LET(_xlpm.raw,A8,_xlpm.alias,XLOOKUP(_xlpm.raw,Aliases!$A$2:$A$50,Aliases!$B$2:$B$50,""),IF(_xlpm.alias&lt;&gt;"",_xlpm.alias,_xlpm.raw)))</f>
        <v>Switzerland</v>
      </c>
      <c r="C8" s="7" t="str">
        <f t="array" ref="C8">IF(B8="","",XLOOKUP(B8,Countries!$A$2:$A$72,Countries!$B$2:$B$72,"???"))</f>
        <v>SUI</v>
      </c>
      <c r="D8" s="7">
        <f>IF(A8="","",MedalImport!C9)</f>
        <v>4</v>
      </c>
      <c r="E8" s="7">
        <f>IF(A8="","",MedalImport!D9)</f>
        <v>3</v>
      </c>
      <c r="F8" s="7">
        <f>IF(A8="","",MedalImport!E9)</f>
        <v>5</v>
      </c>
      <c r="G8" s="7">
        <f t="shared" si="1"/>
        <v>12</v>
      </c>
      <c r="H8" s="7" t="str">
        <f t="array" ref="H8">IF(A8="","",LET(_xlpm.raw,A8,_xlpm.isExcluded,XLOOKUP(_xlpm.raw,Aliases!$A$2:$A$50,Aliases!$D$2:$D$50,FALSE),_xlpm.isMapped,ISNUMBER(MATCH(B8,Countries!$A$2:$A$72,0)),IF(_xlpm.isExcluded,"EXCLUDED",IF(_xlpm.isMapped,"OK","UNMAPPED"))))</f>
        <v>OK</v>
      </c>
    </row>
    <row r="9">
      <c r="A9" s="7" t="str">
        <f>IF(MedalImport!B10="","",MedalImport!B10)</f>
        <v>Austria</v>
      </c>
      <c r="B9" s="7" t="str">
        <f t="array" ref="B9">IF(A9="","",LET(_xlpm.raw,A9,_xlpm.alias,XLOOKUP(_xlpm.raw,Aliases!$A$2:$A$50,Aliases!$B$2:$B$50,""),IF(_xlpm.alias&lt;&gt;"",_xlpm.alias,_xlpm.raw)))</f>
        <v>Austria</v>
      </c>
      <c r="C9" s="7" t="str">
        <f t="array" ref="C9">IF(B9="","",XLOOKUP(B9,Countries!$A$2:$A$72,Countries!$B$2:$B$72,"???"))</f>
        <v>AUT</v>
      </c>
      <c r="D9" s="7">
        <f>IF(A9="","",MedalImport!C10)</f>
        <v>3</v>
      </c>
      <c r="E9" s="7">
        <f>IF(A9="","",MedalImport!D10)</f>
        <v>5</v>
      </c>
      <c r="F9" s="7">
        <f>IF(A9="","",MedalImport!E10)</f>
        <v>4</v>
      </c>
      <c r="G9" s="7">
        <f t="shared" si="1"/>
        <v>12</v>
      </c>
      <c r="H9" s="7" t="str">
        <f t="array" ref="H9">IF(A9="","",LET(_xlpm.raw,A9,_xlpm.isExcluded,XLOOKUP(_xlpm.raw,Aliases!$A$2:$A$50,Aliases!$D$2:$D$50,FALSE),_xlpm.isMapped,ISNUMBER(MATCH(B9,Countries!$A$2:$A$72,0)),IF(_xlpm.isExcluded,"EXCLUDED",IF(_xlpm.isMapped,"OK","UNMAPPED"))))</f>
        <v>OK</v>
      </c>
    </row>
    <row r="10">
      <c r="A10" s="7" t="str">
        <f>IF(MedalImport!B11="","",MedalImport!B11)</f>
        <v>Sweden</v>
      </c>
      <c r="B10" s="7" t="str">
        <f t="array" ref="B10">IF(A10="","",LET(_xlpm.raw,A10,_xlpm.alias,XLOOKUP(_xlpm.raw,Aliases!$A$2:$A$50,Aliases!$B$2:$B$50,""),IF(_xlpm.alias&lt;&gt;"",_xlpm.alias,_xlpm.raw)))</f>
        <v>Sweden</v>
      </c>
      <c r="C10" s="7" t="str">
        <f t="array" ref="C10">IF(B10="","",XLOOKUP(B10,Countries!$A$2:$A$72,Countries!$B$2:$B$72,"???"))</f>
        <v>SWE</v>
      </c>
      <c r="D10" s="7">
        <f>IF(A10="","",MedalImport!C11)</f>
        <v>4</v>
      </c>
      <c r="E10" s="7">
        <f>IF(A10="","",MedalImport!D11)</f>
        <v>3</v>
      </c>
      <c r="F10" s="7">
        <f>IF(A10="","",MedalImport!E11)</f>
        <v>3</v>
      </c>
      <c r="G10" s="7">
        <f t="shared" si="1"/>
        <v>10</v>
      </c>
      <c r="H10" s="7" t="str">
        <f t="array" ref="H10">IF(A10="","",LET(_xlpm.raw,A10,_xlpm.isExcluded,XLOOKUP(_xlpm.raw,Aliases!$A$2:$A$50,Aliases!$D$2:$D$50,FALSE),_xlpm.isMapped,ISNUMBER(MATCH(B10,Countries!$A$2:$A$72,0)),IF(_xlpm.isExcluded,"EXCLUDED",IF(_xlpm.isMapped,"OK","UNMAPPED"))))</f>
        <v>OK</v>
      </c>
    </row>
    <row r="11">
      <c r="A11" s="7" t="str">
        <f>IF(MedalImport!B12="","",MedalImport!B12)</f>
        <v>South Korea</v>
      </c>
      <c r="B11" s="7" t="str">
        <f t="array" ref="B11">IF(A11="","",LET(_xlpm.raw,A11,_xlpm.alias,XLOOKUP(_xlpm.raw,Aliases!$A$2:$A$50,Aliases!$B$2:$B$50,""),IF(_xlpm.alias&lt;&gt;"",_xlpm.alias,_xlpm.raw)))</f>
        <v>South Korea</v>
      </c>
      <c r="C11" s="7" t="str">
        <f t="array" ref="C11">IF(B11="","",XLOOKUP(B11,Countries!$A$2:$A$72,Countries!$B$2:$B$72,"???"))</f>
        <v>KOR</v>
      </c>
      <c r="D11" s="7">
        <f>IF(A11="","",MedalImport!C12)</f>
        <v>2</v>
      </c>
      <c r="E11" s="7">
        <f>IF(A11="","",MedalImport!D12)</f>
        <v>3</v>
      </c>
      <c r="F11" s="7">
        <f>IF(A11="","",MedalImport!E12)</f>
        <v>2</v>
      </c>
      <c r="G11" s="7">
        <f t="shared" si="1"/>
        <v>7</v>
      </c>
      <c r="H11" s="7" t="str">
        <f t="array" ref="H11">IF(A11="","",LET(_xlpm.raw,A11,_xlpm.isExcluded,XLOOKUP(_xlpm.raw,Aliases!$A$2:$A$50,Aliases!$D$2:$D$50,FALSE),_xlpm.isMapped,ISNUMBER(MATCH(B11,Countries!$A$2:$A$72,0)),IF(_xlpm.isExcluded,"EXCLUDED",IF(_xlpm.isMapped,"OK","UNMAPPED"))))</f>
        <v>OK</v>
      </c>
    </row>
    <row r="12">
      <c r="A12" s="7" t="str">
        <f>IF(MedalImport!B13="","",MedalImport!B13)</f>
        <v>China</v>
      </c>
      <c r="B12" s="7" t="str">
        <f t="array" ref="B12">IF(A12="","",LET(_xlpm.raw,A12,_xlpm.alias,XLOOKUP(_xlpm.raw,Aliases!$A$2:$A$50,Aliases!$B$2:$B$50,""),IF(_xlpm.alias&lt;&gt;"",_xlpm.alias,_xlpm.raw)))</f>
        <v>China</v>
      </c>
      <c r="C12" s="7" t="str">
        <f t="array" ref="C12">IF(B12="","",XLOOKUP(B12,Countries!$A$2:$A$72,Countries!$B$2:$B$72,"???"))</f>
        <v>CHN</v>
      </c>
      <c r="D12" s="7">
        <f>IF(A12="","",MedalImport!C13)</f>
        <v>3</v>
      </c>
      <c r="E12" s="7">
        <f>IF(A12="","",MedalImport!D13)</f>
        <v>2</v>
      </c>
      <c r="F12" s="7">
        <f>IF(A12="","",MedalImport!E13)</f>
        <v>4</v>
      </c>
      <c r="G12" s="7">
        <f t="shared" si="1"/>
        <v>9</v>
      </c>
      <c r="H12" s="7" t="str">
        <f t="array" ref="H12">IF(A12="","",LET(_xlpm.raw,A12,_xlpm.isExcluded,XLOOKUP(_xlpm.raw,Aliases!$A$2:$A$50,Aliases!$D$2:$D$50,FALSE),_xlpm.isMapped,ISNUMBER(MATCH(B12,Countries!$A$2:$A$72,0)),IF(_xlpm.isExcluded,"EXCLUDED",IF(_xlpm.isMapped,"OK","UNMAPPED"))))</f>
        <v>OK</v>
      </c>
    </row>
    <row r="13">
      <c r="A13" s="7" t="str">
        <f>IF(MedalImport!B14="","",MedalImport!B14)</f>
        <v>Japan</v>
      </c>
      <c r="B13" s="7" t="str">
        <f t="array" ref="B13">IF(A13="","",LET(_xlpm.raw,A13,_xlpm.alias,XLOOKUP(_xlpm.raw,Aliases!$A$2:$A$50,Aliases!$B$2:$B$50,""),IF(_xlpm.alias&lt;&gt;"",_xlpm.alias,_xlpm.raw)))</f>
        <v>Japan</v>
      </c>
      <c r="C13" s="7" t="str">
        <f t="array" ref="C13">IF(B13="","",XLOOKUP(B13,Countries!$A$2:$A$72,Countries!$B$2:$B$72,"???"))</f>
        <v>JPN</v>
      </c>
      <c r="D13" s="7">
        <f>IF(A13="","",MedalImport!C14)</f>
        <v>2</v>
      </c>
      <c r="E13" s="7">
        <f>IF(A13="","",MedalImport!D14)</f>
        <v>4</v>
      </c>
      <c r="F13" s="7">
        <f>IF(A13="","",MedalImport!E14)</f>
        <v>3</v>
      </c>
      <c r="G13" s="7">
        <f t="shared" si="1"/>
        <v>9</v>
      </c>
      <c r="H13" s="7" t="str">
        <f t="array" ref="H13">IF(A13="","",LET(_xlpm.raw,A13,_xlpm.isExcluded,XLOOKUP(_xlpm.raw,Aliases!$A$2:$A$50,Aliases!$D$2:$D$50,FALSE),_xlpm.isMapped,ISNUMBER(MATCH(B13,Countries!$A$2:$A$72,0)),IF(_xlpm.isExcluded,"EXCLUDED",IF(_xlpm.isMapped,"OK","UNMAPPED"))))</f>
        <v>OK</v>
      </c>
    </row>
    <row r="14">
      <c r="A14" s="7" t="str">
        <f>IF(MedalImport!B15="","",MedalImport!B15)</f>
        <v>Italy</v>
      </c>
      <c r="B14" s="7" t="str">
        <f t="array" ref="B14">IF(A14="","",LET(_xlpm.raw,A14,_xlpm.alias,XLOOKUP(_xlpm.raw,Aliases!$A$2:$A$50,Aliases!$B$2:$B$50,""),IF(_xlpm.alias&lt;&gt;"",_xlpm.alias,_xlpm.raw)))</f>
        <v>Italy</v>
      </c>
      <c r="C14" s="7" t="str">
        <f t="array" ref="C14">IF(B14="","",XLOOKUP(B14,Countries!$A$2:$A$72,Countries!$B$2:$B$72,"???"))</f>
        <v>ITA</v>
      </c>
      <c r="D14" s="7">
        <f>IF(A14="","",MedalImport!C15)</f>
        <v>4</v>
      </c>
      <c r="E14" s="7">
        <f>IF(A14="","",MedalImport!D15)</f>
        <v>3</v>
      </c>
      <c r="F14" s="7">
        <f>IF(A14="","",MedalImport!E15)</f>
        <v>2</v>
      </c>
      <c r="G14" s="7">
        <f t="shared" si="1"/>
        <v>9</v>
      </c>
      <c r="H14" s="7" t="str">
        <f t="array" ref="H14">IF(A14="","",LET(_xlpm.raw,A14,_xlpm.isExcluded,XLOOKUP(_xlpm.raw,Aliases!$A$2:$A$50,Aliases!$D$2:$D$50,FALSE),_xlpm.isMapped,ISNUMBER(MATCH(B14,Countries!$A$2:$A$72,0)),IF(_xlpm.isExcluded,"EXCLUDED",IF(_xlpm.isMapped,"OK","UNMAPPED"))))</f>
        <v>OK</v>
      </c>
    </row>
    <row r="15">
      <c r="A15" s="7" t="str">
        <f>IF(MedalImport!B16="","",MedalImport!B16)</f>
        <v>Finland</v>
      </c>
      <c r="B15" s="7" t="str">
        <f t="array" ref="B15">IF(A15="","",LET(_xlpm.raw,A15,_xlpm.alias,XLOOKUP(_xlpm.raw,Aliases!$A$2:$A$50,Aliases!$B$2:$B$50,""),IF(_xlpm.alias&lt;&gt;"",_xlpm.alias,_xlpm.raw)))</f>
        <v>Finland</v>
      </c>
      <c r="C15" s="7" t="str">
        <f t="array" ref="C15">IF(B15="","",XLOOKUP(B15,Countries!$A$2:$A$72,Countries!$B$2:$B$72,"???"))</f>
        <v>FIN</v>
      </c>
      <c r="D15" s="7">
        <f>IF(A15="","",MedalImport!C16)</f>
        <v>2</v>
      </c>
      <c r="E15" s="7">
        <f>IF(A15="","",MedalImport!D16)</f>
        <v>2</v>
      </c>
      <c r="F15" s="7">
        <f>IF(A15="","",MedalImport!E16)</f>
        <v>3</v>
      </c>
      <c r="G15" s="7">
        <f t="shared" si="1"/>
        <v>7</v>
      </c>
      <c r="H15" s="7" t="str">
        <f t="array" ref="H15">IF(A15="","",LET(_xlpm.raw,A15,_xlpm.isExcluded,XLOOKUP(_xlpm.raw,Aliases!$A$2:$A$50,Aliases!$D$2:$D$50,FALSE),_xlpm.isMapped,ISNUMBER(MATCH(B15,Countries!$A$2:$A$72,0)),IF(_xlpm.isExcluded,"EXCLUDED",IF(_xlpm.isMapped,"OK","UNMAPPED"))))</f>
        <v>OK</v>
      </c>
    </row>
    <row r="16">
      <c r="A16" s="7" t="str">
        <f>IF(MedalImport!B17="","",MedalImport!B17)</f>
        <v>Slovenia</v>
      </c>
      <c r="B16" s="7" t="str">
        <f t="array" ref="B16">IF(A16="","",LET(_xlpm.raw,A16,_xlpm.alias,XLOOKUP(_xlpm.raw,Aliases!$A$2:$A$50,Aliases!$B$2:$B$50,""),IF(_xlpm.alias&lt;&gt;"",_xlpm.alias,_xlpm.raw)))</f>
        <v>Slovenia</v>
      </c>
      <c r="C16" s="7" t="str">
        <f t="array" ref="C16">IF(B16="","",XLOOKUP(B16,Countries!$A$2:$A$72,Countries!$B$2:$B$72,"???"))</f>
        <v>SLO</v>
      </c>
      <c r="D16" s="7">
        <f>IF(A16="","",MedalImport!C17)</f>
        <v>1</v>
      </c>
      <c r="E16" s="7">
        <f>IF(A16="","",MedalImport!D17)</f>
        <v>2</v>
      </c>
      <c r="F16" s="7">
        <f>IF(A16="","",MedalImport!E17)</f>
        <v>1</v>
      </c>
      <c r="G16" s="7">
        <f t="shared" si="1"/>
        <v>4</v>
      </c>
      <c r="H16" s="7" t="str">
        <f t="array" ref="H16">IF(A16="","",LET(_xlpm.raw,A16,_xlpm.isExcluded,XLOOKUP(_xlpm.raw,Aliases!$A$2:$A$50,Aliases!$D$2:$D$50,FALSE),_xlpm.isMapped,ISNUMBER(MATCH(B16,Countries!$A$2:$A$72,0)),IF(_xlpm.isExcluded,"EXCLUDED",IF(_xlpm.isMapped,"OK","UNMAPPED"))))</f>
        <v>OK</v>
      </c>
    </row>
    <row r="17">
      <c r="A17" s="7" t="str">
        <f>IF(MedalImport!B18="","",MedalImport!B18)</f>
        <v>Czech Republic</v>
      </c>
      <c r="B17" s="7" t="str">
        <f t="array" ref="B17">IF(A17="","",LET(_xlpm.raw,A17,_xlpm.alias,XLOOKUP(_xlpm.raw,Aliases!$A$2:$A$50,Aliases!$B$2:$B$50,""),IF(_xlpm.alias&lt;&gt;"",_xlpm.alias,_xlpm.raw)))</f>
        <v>Czech Republic</v>
      </c>
      <c r="C17" s="7" t="str">
        <f t="array" ref="C17">IF(B17="","",XLOOKUP(B17,Countries!$A$2:$A$72,Countries!$B$2:$B$72,"???"))</f>
        <v>CZE</v>
      </c>
      <c r="D17" s="7">
        <f>IF(A17="","",MedalImport!C18)</f>
        <v>1</v>
      </c>
      <c r="E17" s="7">
        <f>IF(A17="","",MedalImport!D18)</f>
        <v>1</v>
      </c>
      <c r="F17" s="7">
        <f>IF(A17="","",MedalImport!E18)</f>
        <v>2</v>
      </c>
      <c r="G17" s="7">
        <f t="shared" si="1"/>
        <v>4</v>
      </c>
      <c r="H17" s="7" t="str">
        <f t="array" ref="H17">IF(A17="","",LET(_xlpm.raw,A17,_xlpm.isExcluded,XLOOKUP(_xlpm.raw,Aliases!$A$2:$A$50,Aliases!$D$2:$D$50,FALSE),_xlpm.isMapped,ISNUMBER(MATCH(B17,Countries!$A$2:$A$72,0)),IF(_xlpm.isExcluded,"EXCLUDED",IF(_xlpm.isMapped,"OK","UNMAPPED"))))</f>
        <v>OK</v>
      </c>
    </row>
    <row r="18">
      <c r="A18" s="7" t="str">
        <f>IF(MedalImport!B19="","",MedalImport!B19)</f>
        <v>Great Britain</v>
      </c>
      <c r="B18" s="7" t="str">
        <f t="array" ref="B18">IF(A18="","",LET(_xlpm.raw,A18,_xlpm.alias,XLOOKUP(_xlpm.raw,Aliases!$A$2:$A$50,Aliases!$B$2:$B$50,""),IF(_xlpm.alias&lt;&gt;"",_xlpm.alias,_xlpm.raw)))</f>
        <v>Great Britain</v>
      </c>
      <c r="C18" s="7" t="str">
        <f t="array" ref="C18">IF(B18="","",XLOOKUP(B18,Countries!$A$2:$A$72,Countries!$B$2:$B$72,"???"))</f>
        <v>GBR</v>
      </c>
      <c r="D18" s="7">
        <f>IF(A18="","",MedalImport!C19)</f>
        <v>1</v>
      </c>
      <c r="E18" s="7">
        <f>IF(A18="","",MedalImport!D19)</f>
        <v>1</v>
      </c>
      <c r="F18" s="7">
        <f>IF(A18="","",MedalImport!E19)</f>
        <v>1</v>
      </c>
      <c r="G18" s="7">
        <f t="shared" si="1"/>
        <v>3</v>
      </c>
      <c r="H18" s="7" t="str">
        <f t="array" ref="H18">IF(A18="","",LET(_xlpm.raw,A18,_xlpm.isExcluded,XLOOKUP(_xlpm.raw,Aliases!$A$2:$A$50,Aliases!$D$2:$D$50,FALSE),_xlpm.isMapped,ISNUMBER(MATCH(B18,Countries!$A$2:$A$72,0)),IF(_xlpm.isExcluded,"EXCLUDED",IF(_xlpm.isMapped,"OK","UNMAPPED"))))</f>
        <v>OK</v>
      </c>
    </row>
    <row r="19">
      <c r="A19" s="7" t="str">
        <f>IF(MedalImport!B20="","",MedalImport!B20)</f>
        <v>Poland</v>
      </c>
      <c r="B19" s="7" t="str">
        <f t="array" ref="B19">IF(A19="","",LET(_xlpm.raw,A19,_xlpm.alias,XLOOKUP(_xlpm.raw,Aliases!$A$2:$A$50,Aliases!$B$2:$B$50,""),IF(_xlpm.alias&lt;&gt;"",_xlpm.alias,_xlpm.raw)))</f>
        <v>Poland</v>
      </c>
      <c r="C19" s="7" t="str">
        <f t="array" ref="C19">IF(B19="","",XLOOKUP(B19,Countries!$A$2:$A$72,Countries!$B$2:$B$72,"???"))</f>
        <v>POL</v>
      </c>
      <c r="D19" s="7">
        <f>IF(A19="","",MedalImport!C20)</f>
        <v>1</v>
      </c>
      <c r="E19" s="7">
        <f>IF(A19="","",MedalImport!D20)</f>
        <v>0</v>
      </c>
      <c r="F19" s="7">
        <f>IF(A19="","",MedalImport!E20)</f>
        <v>2</v>
      </c>
      <c r="G19" s="7">
        <f t="shared" si="1"/>
        <v>3</v>
      </c>
      <c r="H19" s="7" t="str">
        <f t="array" ref="H19">IF(A19="","",LET(_xlpm.raw,A19,_xlpm.isExcluded,XLOOKUP(_xlpm.raw,Aliases!$A$2:$A$50,Aliases!$D$2:$D$50,FALSE),_xlpm.isMapped,ISNUMBER(MATCH(B19,Countries!$A$2:$A$72,0)),IF(_xlpm.isExcluded,"EXCLUDED",IF(_xlpm.isMapped,"OK","UNMAPPED"))))</f>
        <v>OK</v>
      </c>
    </row>
    <row r="20">
      <c r="A20" s="7" t="str">
        <f>IF(MedalImport!B21="","",MedalImport!B21)</f>
        <v>Ukraine</v>
      </c>
      <c r="B20" s="7" t="str">
        <f t="array" ref="B20">IF(A20="","",LET(_xlpm.raw,A20,_xlpm.alias,XLOOKUP(_xlpm.raw,Aliases!$A$2:$A$50,Aliases!$B$2:$B$50,""),IF(_xlpm.alias&lt;&gt;"",_xlpm.alias,_xlpm.raw)))</f>
        <v>Ukraine</v>
      </c>
      <c r="C20" s="7" t="str">
        <f t="array" ref="C20">IF(B20="","",XLOOKUP(B20,Countries!$A$2:$A$72,Countries!$B$2:$B$72,"???"))</f>
        <v>UKR</v>
      </c>
      <c r="D20" s="7">
        <f>IF(A20="","",MedalImport!C21)</f>
        <v>0</v>
      </c>
      <c r="E20" s="7">
        <f>IF(A20="","",MedalImport!D21)</f>
        <v>1</v>
      </c>
      <c r="F20" s="7">
        <f>IF(A20="","",MedalImport!E21)</f>
        <v>1</v>
      </c>
      <c r="G20" s="7">
        <f t="shared" si="1"/>
        <v>2</v>
      </c>
      <c r="H20" s="7" t="str">
        <f t="array" ref="H20">IF(A20="","",LET(_xlpm.raw,A20,_xlpm.isExcluded,XLOOKUP(_xlpm.raw,Aliases!$A$2:$A$50,Aliases!$D$2:$D$50,FALSE),_xlpm.isMapped,ISNUMBER(MATCH(B20,Countries!$A$2:$A$72,0)),IF(_xlpm.isExcluded,"EXCLUDED",IF(_xlpm.isMapped,"OK","UNMAPPED"))))</f>
        <v>OK</v>
      </c>
    </row>
    <row r="21" ht="15.75" customHeight="1">
      <c r="A21" s="7" t="str">
        <f>IF(MedalImport!B22="","",MedalImport!B22)</f>
        <v>Hungary</v>
      </c>
      <c r="B21" s="7" t="str">
        <f t="array" ref="B21">IF(A21="","",LET(_xlpm.raw,A21,_xlpm.alias,XLOOKUP(_xlpm.raw,Aliases!$A$2:$A$50,Aliases!$B$2:$B$50,""),IF(_xlpm.alias&lt;&gt;"",_xlpm.alias,_xlpm.raw)))</f>
        <v>Hungary</v>
      </c>
      <c r="C21" s="7" t="str">
        <f t="array" ref="C21">IF(B21="","",XLOOKUP(B21,Countries!$A$2:$A$72,Countries!$B$2:$B$72,"???"))</f>
        <v>HUN</v>
      </c>
      <c r="D21" s="7">
        <f>IF(A21="","",MedalImport!C22)</f>
        <v>1</v>
      </c>
      <c r="E21" s="7">
        <f>IF(A21="","",MedalImport!D22)</f>
        <v>0</v>
      </c>
      <c r="F21" s="7">
        <f>IF(A21="","",MedalImport!E22)</f>
        <v>0</v>
      </c>
      <c r="G21" s="7">
        <f t="shared" si="1"/>
        <v>1</v>
      </c>
      <c r="H21" s="7" t="str">
        <f t="array" ref="H21">IF(A21="","",LET(_xlpm.raw,A21,_xlpm.isExcluded,XLOOKUP(_xlpm.raw,Aliases!$A$2:$A$50,Aliases!$D$2:$D$50,FALSE),_xlpm.isMapped,ISNUMBER(MATCH(B21,Countries!$A$2:$A$72,0)),IF(_xlpm.isExcluded,"EXCLUDED",IF(_xlpm.isMapped,"OK","UNMAPPED"))))</f>
        <v>OK</v>
      </c>
    </row>
    <row r="22" ht="15.75" customHeight="1">
      <c r="A22" s="7" t="str">
        <f>IF(MedalImport!B23="","",MedalImport!B23)</f>
        <v/>
      </c>
      <c r="B22" s="7" t="str">
        <f>IF(A22="","",_xludf.LET(raw,A22,alias,_xludf.XLOOKUP(raw,Aliases!$A$2:$A$50,Aliases!$B$2:$B$50,""),IF(alias&lt;&gt;"",alias,raw)))</f>
        <v/>
      </c>
      <c r="C22" s="7" t="str">
        <f>IF(B22="","",_xludf.XLOOKUP(B22,Countries!$A$2:$A$72,Countries!$B$2:$B$72,"???"))</f>
        <v/>
      </c>
      <c r="D22" s="7" t="str">
        <f>IF(A22="","",MedalImport!C23)</f>
        <v/>
      </c>
      <c r="E22" s="7" t="str">
        <f>IF(A22="","",MedalImport!D23)</f>
        <v/>
      </c>
      <c r="F22" s="7" t="str">
        <f>IF(A22="","",MedalImport!E23)</f>
        <v/>
      </c>
      <c r="G22" s="7" t="str">
        <f t="shared" si="1"/>
        <v/>
      </c>
      <c r="H22" s="7" t="str">
        <f>IF(A22="","",_xludf.LET(raw,A22,isExcluded,_xludf.XLOOKUP(raw,Aliases!$A$2:$A$50,Aliases!$D$2:$D$50,FALSE),isMapped,ISNUMBER(MATCH(B22,Countries!$A$2:$A$72,0)),IF(isExcluded,"EXCLUDED",IF(isMapped,"OK","UNMAPPED"))))</f>
        <v/>
      </c>
    </row>
    <row r="23" ht="15.75" customHeight="1">
      <c r="A23" s="7" t="str">
        <f>IF(MedalImport!B24="","",MedalImport!B24)</f>
        <v/>
      </c>
      <c r="B23" s="7" t="str">
        <f>IF(A23="","",_xludf.LET(raw,A23,alias,_xludf.XLOOKUP(raw,Aliases!$A$2:$A$50,Aliases!$B$2:$B$50,""),IF(alias&lt;&gt;"",alias,raw)))</f>
        <v/>
      </c>
      <c r="C23" s="7" t="str">
        <f>IF(B23="","",_xludf.XLOOKUP(B23,Countries!$A$2:$A$72,Countries!$B$2:$B$72,"???"))</f>
        <v/>
      </c>
      <c r="D23" s="7" t="str">
        <f>IF(A23="","",MedalImport!C24)</f>
        <v/>
      </c>
      <c r="E23" s="7" t="str">
        <f>IF(A23="","",MedalImport!D24)</f>
        <v/>
      </c>
      <c r="F23" s="7" t="str">
        <f>IF(A23="","",MedalImport!E24)</f>
        <v/>
      </c>
      <c r="G23" s="7" t="str">
        <f t="shared" si="1"/>
        <v/>
      </c>
      <c r="H23" s="7" t="str">
        <f>IF(A23="","",_xludf.LET(raw,A23,isExcluded,_xludf.XLOOKUP(raw,Aliases!$A$2:$A$50,Aliases!$D$2:$D$50,FALSE),isMapped,ISNUMBER(MATCH(B23,Countries!$A$2:$A$72,0)),IF(isExcluded,"EXCLUDED",IF(isMapped,"OK","UNMAPPED"))))</f>
        <v/>
      </c>
    </row>
    <row r="24" ht="15.75" customHeight="1">
      <c r="A24" s="7" t="str">
        <f>IF(MedalImport!B25="","",MedalImport!B25)</f>
        <v/>
      </c>
      <c r="B24" s="7" t="str">
        <f>IF(A24="","",_xludf.LET(raw,A24,alias,_xludf.XLOOKUP(raw,Aliases!$A$2:$A$50,Aliases!$B$2:$B$50,""),IF(alias&lt;&gt;"",alias,raw)))</f>
        <v/>
      </c>
      <c r="C24" s="7" t="str">
        <f>IF(B24="","",_xludf.XLOOKUP(B24,Countries!$A$2:$A$72,Countries!$B$2:$B$72,"???"))</f>
        <v/>
      </c>
      <c r="D24" s="7" t="str">
        <f>IF(A24="","",MedalImport!C25)</f>
        <v/>
      </c>
      <c r="E24" s="7" t="str">
        <f>IF(A24="","",MedalImport!D25)</f>
        <v/>
      </c>
      <c r="F24" s="7" t="str">
        <f>IF(A24="","",MedalImport!E25)</f>
        <v/>
      </c>
      <c r="G24" s="7" t="str">
        <f t="shared" si="1"/>
        <v/>
      </c>
      <c r="H24" s="7" t="str">
        <f>IF(A24="","",_xludf.LET(raw,A24,isExcluded,_xludf.XLOOKUP(raw,Aliases!$A$2:$A$50,Aliases!$D$2:$D$50,FALSE),isMapped,ISNUMBER(MATCH(B24,Countries!$A$2:$A$72,0)),IF(isExcluded,"EXCLUDED",IF(isMapped,"OK","UNMAPPED"))))</f>
        <v/>
      </c>
    </row>
    <row r="25" ht="15.75" customHeight="1">
      <c r="A25" s="7" t="str">
        <f>IF(MedalImport!B26="","",MedalImport!B26)</f>
        <v/>
      </c>
      <c r="B25" s="7" t="str">
        <f>IF(A25="","",_xludf.LET(raw,A25,alias,_xludf.XLOOKUP(raw,Aliases!$A$2:$A$50,Aliases!$B$2:$B$50,""),IF(alias&lt;&gt;"",alias,raw)))</f>
        <v/>
      </c>
      <c r="C25" s="7" t="str">
        <f>IF(B25="","",_xludf.XLOOKUP(B25,Countries!$A$2:$A$72,Countries!$B$2:$B$72,"???"))</f>
        <v/>
      </c>
      <c r="D25" s="7" t="str">
        <f>IF(A25="","",MedalImport!C26)</f>
        <v/>
      </c>
      <c r="E25" s="7" t="str">
        <f>IF(A25="","",MedalImport!D26)</f>
        <v/>
      </c>
      <c r="F25" s="7" t="str">
        <f>IF(A25="","",MedalImport!E26)</f>
        <v/>
      </c>
      <c r="G25" s="7" t="str">
        <f t="shared" si="1"/>
        <v/>
      </c>
      <c r="H25" s="7" t="str">
        <f>IF(A25="","",_xludf.LET(raw,A25,isExcluded,_xludf.XLOOKUP(raw,Aliases!$A$2:$A$50,Aliases!$D$2:$D$50,FALSE),isMapped,ISNUMBER(MATCH(B25,Countries!$A$2:$A$72,0)),IF(isExcluded,"EXCLUDED",IF(isMapped,"OK","UNMAPPED"))))</f>
        <v/>
      </c>
    </row>
    <row r="26" ht="15.75" customHeight="1">
      <c r="A26" s="7" t="str">
        <f>IF(MedalImport!B27="","",MedalImport!B27)</f>
        <v/>
      </c>
      <c r="B26" s="7" t="str">
        <f>IF(A26="","",_xludf.LET(raw,A26,alias,_xludf.XLOOKUP(raw,Aliases!$A$2:$A$50,Aliases!$B$2:$B$50,""),IF(alias&lt;&gt;"",alias,raw)))</f>
        <v/>
      </c>
      <c r="C26" s="7" t="str">
        <f>IF(B26="","",_xludf.XLOOKUP(B26,Countries!$A$2:$A$72,Countries!$B$2:$B$72,"???"))</f>
        <v/>
      </c>
      <c r="D26" s="7" t="str">
        <f>IF(A26="","",MedalImport!C27)</f>
        <v/>
      </c>
      <c r="E26" s="7" t="str">
        <f>IF(A26="","",MedalImport!D27)</f>
        <v/>
      </c>
      <c r="F26" s="7" t="str">
        <f>IF(A26="","",MedalImport!E27)</f>
        <v/>
      </c>
      <c r="G26" s="7" t="str">
        <f t="shared" si="1"/>
        <v/>
      </c>
      <c r="H26" s="7" t="str">
        <f>IF(A26="","",_xludf.LET(raw,A26,isExcluded,_xludf.XLOOKUP(raw,Aliases!$A$2:$A$50,Aliases!$D$2:$D$50,FALSE),isMapped,ISNUMBER(MATCH(B26,Countries!$A$2:$A$72,0)),IF(isExcluded,"EXCLUDED",IF(isMapped,"OK","UNMAPPED"))))</f>
        <v/>
      </c>
    </row>
    <row r="27" ht="15.75" customHeight="1">
      <c r="A27" s="7" t="str">
        <f>IF(MedalImport!B28="","",MedalImport!B28)</f>
        <v/>
      </c>
      <c r="B27" s="7" t="str">
        <f>IF(A27="","",_xludf.LET(raw,A27,alias,_xludf.XLOOKUP(raw,Aliases!$A$2:$A$50,Aliases!$B$2:$B$50,""),IF(alias&lt;&gt;"",alias,raw)))</f>
        <v/>
      </c>
      <c r="C27" s="7" t="str">
        <f>IF(B27="","",_xludf.XLOOKUP(B27,Countries!$A$2:$A$72,Countries!$B$2:$B$72,"???"))</f>
        <v/>
      </c>
      <c r="D27" s="7" t="str">
        <f>IF(A27="","",MedalImport!C28)</f>
        <v/>
      </c>
      <c r="E27" s="7" t="str">
        <f>IF(A27="","",MedalImport!D28)</f>
        <v/>
      </c>
      <c r="F27" s="7" t="str">
        <f>IF(A27="","",MedalImport!E28)</f>
        <v/>
      </c>
      <c r="G27" s="7" t="str">
        <f t="shared" si="1"/>
        <v/>
      </c>
      <c r="H27" s="7" t="str">
        <f>IF(A27="","",_xludf.LET(raw,A27,isExcluded,_xludf.XLOOKUP(raw,Aliases!$A$2:$A$50,Aliases!$D$2:$D$50,FALSE),isMapped,ISNUMBER(MATCH(B27,Countries!$A$2:$A$72,0)),IF(isExcluded,"EXCLUDED",IF(isMapped,"OK","UNMAPPED"))))</f>
        <v/>
      </c>
    </row>
    <row r="28" ht="15.75" customHeight="1">
      <c r="A28" s="7" t="str">
        <f>IF(MedalImport!B29="","",MedalImport!B29)</f>
        <v/>
      </c>
      <c r="B28" s="7" t="str">
        <f>IF(A28="","",_xludf.LET(raw,A28,alias,_xludf.XLOOKUP(raw,Aliases!$A$2:$A$50,Aliases!$B$2:$B$50,""),IF(alias&lt;&gt;"",alias,raw)))</f>
        <v/>
      </c>
      <c r="C28" s="7" t="str">
        <f>IF(B28="","",_xludf.XLOOKUP(B28,Countries!$A$2:$A$72,Countries!$B$2:$B$72,"???"))</f>
        <v/>
      </c>
      <c r="D28" s="7" t="str">
        <f>IF(A28="","",MedalImport!C29)</f>
        <v/>
      </c>
      <c r="E28" s="7" t="str">
        <f>IF(A28="","",MedalImport!D29)</f>
        <v/>
      </c>
      <c r="F28" s="7" t="str">
        <f>IF(A28="","",MedalImport!E29)</f>
        <v/>
      </c>
      <c r="G28" s="7" t="str">
        <f t="shared" si="1"/>
        <v/>
      </c>
      <c r="H28" s="7" t="str">
        <f>IF(A28="","",_xludf.LET(raw,A28,isExcluded,_xludf.XLOOKUP(raw,Aliases!$A$2:$A$50,Aliases!$D$2:$D$50,FALSE),isMapped,ISNUMBER(MATCH(B28,Countries!$A$2:$A$72,0)),IF(isExcluded,"EXCLUDED",IF(isMapped,"OK","UNMAPPED"))))</f>
        <v/>
      </c>
    </row>
    <row r="29" ht="15.75" customHeight="1">
      <c r="A29" s="7" t="str">
        <f>IF(MedalImport!B30="","",MedalImport!B30)</f>
        <v/>
      </c>
      <c r="B29" s="7" t="str">
        <f>IF(A29="","",_xludf.LET(raw,A29,alias,_xludf.XLOOKUP(raw,Aliases!$A$2:$A$50,Aliases!$B$2:$B$50,""),IF(alias&lt;&gt;"",alias,raw)))</f>
        <v/>
      </c>
      <c r="C29" s="7" t="str">
        <f>IF(B29="","",_xludf.XLOOKUP(B29,Countries!$A$2:$A$72,Countries!$B$2:$B$72,"???"))</f>
        <v/>
      </c>
      <c r="D29" s="7" t="str">
        <f>IF(A29="","",MedalImport!C30)</f>
        <v/>
      </c>
      <c r="E29" s="7" t="str">
        <f>IF(A29="","",MedalImport!D30)</f>
        <v/>
      </c>
      <c r="F29" s="7" t="str">
        <f>IF(A29="","",MedalImport!E30)</f>
        <v/>
      </c>
      <c r="G29" s="7" t="str">
        <f t="shared" si="1"/>
        <v/>
      </c>
      <c r="H29" s="7" t="str">
        <f>IF(A29="","",_xludf.LET(raw,A29,isExcluded,_xludf.XLOOKUP(raw,Aliases!$A$2:$A$50,Aliases!$D$2:$D$50,FALSE),isMapped,ISNUMBER(MATCH(B29,Countries!$A$2:$A$72,0)),IF(isExcluded,"EXCLUDED",IF(isMapped,"OK","UNMAPPED"))))</f>
        <v/>
      </c>
    </row>
    <row r="30" ht="15.75" customHeight="1">
      <c r="A30" s="7" t="str">
        <f>IF(MedalImport!B31="","",MedalImport!B31)</f>
        <v/>
      </c>
      <c r="B30" s="7" t="str">
        <f>IF(A30="","",_xludf.LET(raw,A30,alias,_xludf.XLOOKUP(raw,Aliases!$A$2:$A$50,Aliases!$B$2:$B$50,""),IF(alias&lt;&gt;"",alias,raw)))</f>
        <v/>
      </c>
      <c r="C30" s="7" t="str">
        <f>IF(B30="","",_xludf.XLOOKUP(B30,Countries!$A$2:$A$72,Countries!$B$2:$B$72,"???"))</f>
        <v/>
      </c>
      <c r="D30" s="7" t="str">
        <f>IF(A30="","",MedalImport!C31)</f>
        <v/>
      </c>
      <c r="E30" s="7" t="str">
        <f>IF(A30="","",MedalImport!D31)</f>
        <v/>
      </c>
      <c r="F30" s="7" t="str">
        <f>IF(A30="","",MedalImport!E31)</f>
        <v/>
      </c>
      <c r="G30" s="7" t="str">
        <f t="shared" si="1"/>
        <v/>
      </c>
      <c r="H30" s="7" t="str">
        <f>IF(A30="","",_xludf.LET(raw,A30,isExcluded,_xludf.XLOOKUP(raw,Aliases!$A$2:$A$50,Aliases!$D$2:$D$50,FALSE),isMapped,ISNUMBER(MATCH(B30,Countries!$A$2:$A$72,0)),IF(isExcluded,"EXCLUDED",IF(isMapped,"OK","UNMAPPED"))))</f>
        <v/>
      </c>
    </row>
    <row r="31" ht="15.75" customHeight="1">
      <c r="A31" s="7" t="str">
        <f>IF(MedalImport!B32="","",MedalImport!B32)</f>
        <v/>
      </c>
      <c r="B31" s="7" t="str">
        <f>IF(A31="","",_xludf.LET(raw,A31,alias,_xludf.XLOOKUP(raw,Aliases!$A$2:$A$50,Aliases!$B$2:$B$50,""),IF(alias&lt;&gt;"",alias,raw)))</f>
        <v/>
      </c>
      <c r="C31" s="7" t="str">
        <f>IF(B31="","",_xludf.XLOOKUP(B31,Countries!$A$2:$A$72,Countries!$B$2:$B$72,"???"))</f>
        <v/>
      </c>
      <c r="D31" s="7" t="str">
        <f>IF(A31="","",MedalImport!C32)</f>
        <v/>
      </c>
      <c r="E31" s="7" t="str">
        <f>IF(A31="","",MedalImport!D32)</f>
        <v/>
      </c>
      <c r="F31" s="7" t="str">
        <f>IF(A31="","",MedalImport!E32)</f>
        <v/>
      </c>
      <c r="G31" s="7" t="str">
        <f t="shared" si="1"/>
        <v/>
      </c>
      <c r="H31" s="7" t="str">
        <f>IF(A31="","",_xludf.LET(raw,A31,isExcluded,_xludf.XLOOKUP(raw,Aliases!$A$2:$A$50,Aliases!$D$2:$D$50,FALSE),isMapped,ISNUMBER(MATCH(B31,Countries!$A$2:$A$72,0)),IF(isExcluded,"EXCLUDED",IF(isMapped,"OK","UNMAPPED"))))</f>
        <v/>
      </c>
    </row>
    <row r="32" ht="15.75" customHeight="1">
      <c r="A32" s="7" t="str">
        <f>IF(MedalImport!B33="","",MedalImport!B33)</f>
        <v/>
      </c>
      <c r="B32" s="7" t="str">
        <f>IF(A32="","",_xludf.LET(raw,A32,alias,_xludf.XLOOKUP(raw,Aliases!$A$2:$A$50,Aliases!$B$2:$B$50,""),IF(alias&lt;&gt;"",alias,raw)))</f>
        <v/>
      </c>
      <c r="C32" s="7" t="str">
        <f>IF(B32="","",_xludf.XLOOKUP(B32,Countries!$A$2:$A$72,Countries!$B$2:$B$72,"???"))</f>
        <v/>
      </c>
      <c r="D32" s="7" t="str">
        <f>IF(A32="","",MedalImport!C33)</f>
        <v/>
      </c>
      <c r="E32" s="7" t="str">
        <f>IF(A32="","",MedalImport!D33)</f>
        <v/>
      </c>
      <c r="F32" s="7" t="str">
        <f>IF(A32="","",MedalImport!E33)</f>
        <v/>
      </c>
      <c r="G32" s="7" t="str">
        <f t="shared" si="1"/>
        <v/>
      </c>
      <c r="H32" s="7" t="str">
        <f>IF(A32="","",_xludf.LET(raw,A32,isExcluded,_xludf.XLOOKUP(raw,Aliases!$A$2:$A$50,Aliases!$D$2:$D$50,FALSE),isMapped,ISNUMBER(MATCH(B32,Countries!$A$2:$A$72,0)),IF(isExcluded,"EXCLUDED",IF(isMapped,"OK","UNMAPPED"))))</f>
        <v/>
      </c>
    </row>
    <row r="33" ht="15.75" customHeight="1">
      <c r="A33" s="7" t="str">
        <f>IF(MedalImport!B34="","",MedalImport!B34)</f>
        <v/>
      </c>
      <c r="B33" s="7" t="str">
        <f>IF(A33="","",_xludf.LET(raw,A33,alias,_xludf.XLOOKUP(raw,Aliases!$A$2:$A$50,Aliases!$B$2:$B$50,""),IF(alias&lt;&gt;"",alias,raw)))</f>
        <v/>
      </c>
      <c r="C33" s="7" t="str">
        <f>IF(B33="","",_xludf.XLOOKUP(B33,Countries!$A$2:$A$72,Countries!$B$2:$B$72,"???"))</f>
        <v/>
      </c>
      <c r="D33" s="7" t="str">
        <f>IF(A33="","",MedalImport!C34)</f>
        <v/>
      </c>
      <c r="E33" s="7" t="str">
        <f>IF(A33="","",MedalImport!D34)</f>
        <v/>
      </c>
      <c r="F33" s="7" t="str">
        <f>IF(A33="","",MedalImport!E34)</f>
        <v/>
      </c>
      <c r="G33" s="7" t="str">
        <f t="shared" si="1"/>
        <v/>
      </c>
      <c r="H33" s="7" t="str">
        <f>IF(A33="","",_xludf.LET(raw,A33,isExcluded,_xludf.XLOOKUP(raw,Aliases!$A$2:$A$50,Aliases!$D$2:$D$50,FALSE),isMapped,ISNUMBER(MATCH(B33,Countries!$A$2:$A$72,0)),IF(isExcluded,"EXCLUDED",IF(isMapped,"OK","UNMAPPED"))))</f>
        <v/>
      </c>
    </row>
    <row r="34" ht="15.75" customHeight="1">
      <c r="A34" s="7" t="str">
        <f>IF(MedalImport!B35="","",MedalImport!B35)</f>
        <v/>
      </c>
      <c r="B34" s="7" t="str">
        <f>IF(A34="","",_xludf.LET(raw,A34,alias,_xludf.XLOOKUP(raw,Aliases!$A$2:$A$50,Aliases!$B$2:$B$50,""),IF(alias&lt;&gt;"",alias,raw)))</f>
        <v/>
      </c>
      <c r="C34" s="7" t="str">
        <f>IF(B34="","",_xludf.XLOOKUP(B34,Countries!$A$2:$A$72,Countries!$B$2:$B$72,"???"))</f>
        <v/>
      </c>
      <c r="D34" s="7" t="str">
        <f>IF(A34="","",MedalImport!C35)</f>
        <v/>
      </c>
      <c r="E34" s="7" t="str">
        <f>IF(A34="","",MedalImport!D35)</f>
        <v/>
      </c>
      <c r="F34" s="7" t="str">
        <f>IF(A34="","",MedalImport!E35)</f>
        <v/>
      </c>
      <c r="G34" s="7" t="str">
        <f t="shared" si="1"/>
        <v/>
      </c>
      <c r="H34" s="7" t="str">
        <f>IF(A34="","",_xludf.LET(raw,A34,isExcluded,_xludf.XLOOKUP(raw,Aliases!$A$2:$A$50,Aliases!$D$2:$D$50,FALSE),isMapped,ISNUMBER(MATCH(B34,Countries!$A$2:$A$72,0)),IF(isExcluded,"EXCLUDED",IF(isMapped,"OK","UNMAPPED"))))</f>
        <v/>
      </c>
    </row>
    <row r="35" ht="15.75" customHeight="1">
      <c r="A35" s="7" t="str">
        <f>IF(MedalImport!B36="","",MedalImport!B36)</f>
        <v/>
      </c>
      <c r="B35" s="7" t="str">
        <f>IF(A35="","",_xludf.LET(raw,A35,alias,_xludf.XLOOKUP(raw,Aliases!$A$2:$A$50,Aliases!$B$2:$B$50,""),IF(alias&lt;&gt;"",alias,raw)))</f>
        <v/>
      </c>
      <c r="C35" s="7" t="str">
        <f>IF(B35="","",_xludf.XLOOKUP(B35,Countries!$A$2:$A$72,Countries!$B$2:$B$72,"???"))</f>
        <v/>
      </c>
      <c r="D35" s="7" t="str">
        <f>IF(A35="","",MedalImport!C36)</f>
        <v/>
      </c>
      <c r="E35" s="7" t="str">
        <f>IF(A35="","",MedalImport!D36)</f>
        <v/>
      </c>
      <c r="F35" s="7" t="str">
        <f>IF(A35="","",MedalImport!E36)</f>
        <v/>
      </c>
      <c r="G35" s="7" t="str">
        <f t="shared" si="1"/>
        <v/>
      </c>
      <c r="H35" s="7" t="str">
        <f>IF(A35="","",_xludf.LET(raw,A35,isExcluded,_xludf.XLOOKUP(raw,Aliases!$A$2:$A$50,Aliases!$D$2:$D$50,FALSE),isMapped,ISNUMBER(MATCH(B35,Countries!$A$2:$A$72,0)),IF(isExcluded,"EXCLUDED",IF(isMapped,"OK","UNMAPPED"))))</f>
        <v/>
      </c>
    </row>
    <row r="36" ht="15.75" customHeight="1">
      <c r="A36" s="7" t="str">
        <f>IF(MedalImport!B37="","",MedalImport!B37)</f>
        <v/>
      </c>
      <c r="B36" s="7" t="str">
        <f>IF(A36="","",_xludf.LET(raw,A36,alias,_xludf.XLOOKUP(raw,Aliases!$A$2:$A$50,Aliases!$B$2:$B$50,""),IF(alias&lt;&gt;"",alias,raw)))</f>
        <v/>
      </c>
      <c r="C36" s="7" t="str">
        <f>IF(B36="","",_xludf.XLOOKUP(B36,Countries!$A$2:$A$72,Countries!$B$2:$B$72,"???"))</f>
        <v/>
      </c>
      <c r="D36" s="7" t="str">
        <f>IF(A36="","",MedalImport!C37)</f>
        <v/>
      </c>
      <c r="E36" s="7" t="str">
        <f>IF(A36="","",MedalImport!D37)</f>
        <v/>
      </c>
      <c r="F36" s="7" t="str">
        <f>IF(A36="","",MedalImport!E37)</f>
        <v/>
      </c>
      <c r="G36" s="7" t="str">
        <f t="shared" si="1"/>
        <v/>
      </c>
      <c r="H36" s="7" t="str">
        <f>IF(A36="","",_xludf.LET(raw,A36,isExcluded,_xludf.XLOOKUP(raw,Aliases!$A$2:$A$50,Aliases!$D$2:$D$50,FALSE),isMapped,ISNUMBER(MATCH(B36,Countries!$A$2:$A$72,0)),IF(isExcluded,"EXCLUDED",IF(isMapped,"OK","UNMAPPED"))))</f>
        <v/>
      </c>
    </row>
    <row r="37" ht="15.75" customHeight="1">
      <c r="A37" s="7" t="str">
        <f>IF(MedalImport!B38="","",MedalImport!B38)</f>
        <v/>
      </c>
      <c r="B37" s="7" t="str">
        <f>IF(A37="","",_xludf.LET(raw,A37,alias,_xludf.XLOOKUP(raw,Aliases!$A$2:$A$50,Aliases!$B$2:$B$50,""),IF(alias&lt;&gt;"",alias,raw)))</f>
        <v/>
      </c>
      <c r="C37" s="7" t="str">
        <f>IF(B37="","",_xludf.XLOOKUP(B37,Countries!$A$2:$A$72,Countries!$B$2:$B$72,"???"))</f>
        <v/>
      </c>
      <c r="D37" s="7" t="str">
        <f>IF(A37="","",MedalImport!C38)</f>
        <v/>
      </c>
      <c r="E37" s="7" t="str">
        <f>IF(A37="","",MedalImport!D38)</f>
        <v/>
      </c>
      <c r="F37" s="7" t="str">
        <f>IF(A37="","",MedalImport!E38)</f>
        <v/>
      </c>
      <c r="G37" s="7" t="str">
        <f t="shared" si="1"/>
        <v/>
      </c>
      <c r="H37" s="7" t="str">
        <f>IF(A37="","",_xludf.LET(raw,A37,isExcluded,_xludf.XLOOKUP(raw,Aliases!$A$2:$A$50,Aliases!$D$2:$D$50,FALSE),isMapped,ISNUMBER(MATCH(B37,Countries!$A$2:$A$72,0)),IF(isExcluded,"EXCLUDED",IF(isMapped,"OK","UNMAPPED"))))</f>
        <v/>
      </c>
    </row>
    <row r="38" ht="15.75" customHeight="1">
      <c r="A38" s="7" t="str">
        <f>IF(MedalImport!B39="","",MedalImport!B39)</f>
        <v/>
      </c>
      <c r="B38" s="7" t="str">
        <f>IF(A38="","",_xludf.LET(raw,A38,alias,_xludf.XLOOKUP(raw,Aliases!$A$2:$A$50,Aliases!$B$2:$B$50,""),IF(alias&lt;&gt;"",alias,raw)))</f>
        <v/>
      </c>
      <c r="C38" s="7" t="str">
        <f>IF(B38="","",_xludf.XLOOKUP(B38,Countries!$A$2:$A$72,Countries!$B$2:$B$72,"???"))</f>
        <v/>
      </c>
      <c r="D38" s="7" t="str">
        <f>IF(A38="","",MedalImport!C39)</f>
        <v/>
      </c>
      <c r="E38" s="7" t="str">
        <f>IF(A38="","",MedalImport!D39)</f>
        <v/>
      </c>
      <c r="F38" s="7" t="str">
        <f>IF(A38="","",MedalImport!E39)</f>
        <v/>
      </c>
      <c r="G38" s="7" t="str">
        <f t="shared" si="1"/>
        <v/>
      </c>
      <c r="H38" s="7" t="str">
        <f>IF(A38="","",_xludf.LET(raw,A38,isExcluded,_xludf.XLOOKUP(raw,Aliases!$A$2:$A$50,Aliases!$D$2:$D$50,FALSE),isMapped,ISNUMBER(MATCH(B38,Countries!$A$2:$A$72,0)),IF(isExcluded,"EXCLUDED",IF(isMapped,"OK","UNMAPPED"))))</f>
        <v/>
      </c>
    </row>
    <row r="39" ht="15.75" customHeight="1">
      <c r="A39" s="7" t="str">
        <f>IF(MedalImport!B40="","",MedalImport!B40)</f>
        <v/>
      </c>
      <c r="B39" s="7" t="str">
        <f>IF(A39="","",_xludf.LET(raw,A39,alias,_xludf.XLOOKUP(raw,Aliases!$A$2:$A$50,Aliases!$B$2:$B$50,""),IF(alias&lt;&gt;"",alias,raw)))</f>
        <v/>
      </c>
      <c r="C39" s="7" t="str">
        <f>IF(B39="","",_xludf.XLOOKUP(B39,Countries!$A$2:$A$72,Countries!$B$2:$B$72,"???"))</f>
        <v/>
      </c>
      <c r="D39" s="7" t="str">
        <f>IF(A39="","",MedalImport!C40)</f>
        <v/>
      </c>
      <c r="E39" s="7" t="str">
        <f>IF(A39="","",MedalImport!D40)</f>
        <v/>
      </c>
      <c r="F39" s="7" t="str">
        <f>IF(A39="","",MedalImport!E40)</f>
        <v/>
      </c>
      <c r="G39" s="7" t="str">
        <f t="shared" si="1"/>
        <v/>
      </c>
      <c r="H39" s="7" t="str">
        <f>IF(A39="","",_xludf.LET(raw,A39,isExcluded,_xludf.XLOOKUP(raw,Aliases!$A$2:$A$50,Aliases!$D$2:$D$50,FALSE),isMapped,ISNUMBER(MATCH(B39,Countries!$A$2:$A$72,0)),IF(isExcluded,"EXCLUDED",IF(isMapped,"OK","UNMAPPED"))))</f>
        <v/>
      </c>
    </row>
    <row r="40" ht="15.75" customHeight="1">
      <c r="A40" s="7" t="str">
        <f>IF(MedalImport!B41="","",MedalImport!B41)</f>
        <v/>
      </c>
      <c r="B40" s="7" t="str">
        <f>IF(A40="","",_xludf.LET(raw,A40,alias,_xludf.XLOOKUP(raw,Aliases!$A$2:$A$50,Aliases!$B$2:$B$50,""),IF(alias&lt;&gt;"",alias,raw)))</f>
        <v/>
      </c>
      <c r="C40" s="7" t="str">
        <f>IF(B40="","",_xludf.XLOOKUP(B40,Countries!$A$2:$A$72,Countries!$B$2:$B$72,"???"))</f>
        <v/>
      </c>
      <c r="D40" s="7" t="str">
        <f>IF(A40="","",MedalImport!C41)</f>
        <v/>
      </c>
      <c r="E40" s="7" t="str">
        <f>IF(A40="","",MedalImport!D41)</f>
        <v/>
      </c>
      <c r="F40" s="7" t="str">
        <f>IF(A40="","",MedalImport!E41)</f>
        <v/>
      </c>
      <c r="G40" s="7" t="str">
        <f t="shared" si="1"/>
        <v/>
      </c>
      <c r="H40" s="7" t="str">
        <f>IF(A40="","",_xludf.LET(raw,A40,isExcluded,_xludf.XLOOKUP(raw,Aliases!$A$2:$A$50,Aliases!$D$2:$D$50,FALSE),isMapped,ISNUMBER(MATCH(B40,Countries!$A$2:$A$72,0)),IF(isExcluded,"EXCLUDED",IF(isMapped,"OK","UNMAPPED"))))</f>
        <v/>
      </c>
    </row>
    <row r="41" ht="15.75" customHeight="1">
      <c r="A41" s="7" t="str">
        <f>IF(MedalImport!B42="","",MedalImport!B42)</f>
        <v/>
      </c>
      <c r="B41" s="7" t="str">
        <f>IF(A41="","",_xludf.LET(raw,A41,alias,_xludf.XLOOKUP(raw,Aliases!$A$2:$A$50,Aliases!$B$2:$B$50,""),IF(alias&lt;&gt;"",alias,raw)))</f>
        <v/>
      </c>
      <c r="C41" s="7" t="str">
        <f>IF(B41="","",_xludf.XLOOKUP(B41,Countries!$A$2:$A$72,Countries!$B$2:$B$72,"???"))</f>
        <v/>
      </c>
      <c r="D41" s="7" t="str">
        <f>IF(A41="","",MedalImport!C42)</f>
        <v/>
      </c>
      <c r="E41" s="7" t="str">
        <f>IF(A41="","",MedalImport!D42)</f>
        <v/>
      </c>
      <c r="F41" s="7" t="str">
        <f>IF(A41="","",MedalImport!E42)</f>
        <v/>
      </c>
      <c r="G41" s="7" t="str">
        <f t="shared" si="1"/>
        <v/>
      </c>
      <c r="H41" s="7" t="str">
        <f>IF(A41="","",_xludf.LET(raw,A41,isExcluded,_xludf.XLOOKUP(raw,Aliases!$A$2:$A$50,Aliases!$D$2:$D$50,FALSE),isMapped,ISNUMBER(MATCH(B41,Countries!$A$2:$A$72,0)),IF(isExcluded,"EXCLUDED",IF(isMapped,"OK","UNMAPPED"))))</f>
        <v/>
      </c>
    </row>
    <row r="42" ht="15.75" customHeight="1">
      <c r="A42" s="7" t="str">
        <f>IF(MedalImport!B43="","",MedalImport!B43)</f>
        <v/>
      </c>
      <c r="B42" s="7" t="str">
        <f>IF(A42="","",_xludf.LET(raw,A42,alias,_xludf.XLOOKUP(raw,Aliases!$A$2:$A$50,Aliases!$B$2:$B$50,""),IF(alias&lt;&gt;"",alias,raw)))</f>
        <v/>
      </c>
      <c r="C42" s="7" t="str">
        <f>IF(B42="","",_xludf.XLOOKUP(B42,Countries!$A$2:$A$72,Countries!$B$2:$B$72,"???"))</f>
        <v/>
      </c>
      <c r="D42" s="7" t="str">
        <f>IF(A42="","",MedalImport!C43)</f>
        <v/>
      </c>
      <c r="E42" s="7" t="str">
        <f>IF(A42="","",MedalImport!D43)</f>
        <v/>
      </c>
      <c r="F42" s="7" t="str">
        <f>IF(A42="","",MedalImport!E43)</f>
        <v/>
      </c>
      <c r="G42" s="7" t="str">
        <f t="shared" si="1"/>
        <v/>
      </c>
      <c r="H42" s="7" t="str">
        <f>IF(A42="","",_xludf.LET(raw,A42,isExcluded,_xludf.XLOOKUP(raw,Aliases!$A$2:$A$50,Aliases!$D$2:$D$50,FALSE),isMapped,ISNUMBER(MATCH(B42,Countries!$A$2:$A$72,0)),IF(isExcluded,"EXCLUDED",IF(isMapped,"OK","UNMAPPED"))))</f>
        <v/>
      </c>
    </row>
    <row r="43" ht="15.75" customHeight="1">
      <c r="A43" s="7" t="str">
        <f>IF(MedalImport!B44="","",MedalImport!B44)</f>
        <v/>
      </c>
      <c r="B43" s="7" t="str">
        <f>IF(A43="","",_xludf.LET(raw,A43,alias,_xludf.XLOOKUP(raw,Aliases!$A$2:$A$50,Aliases!$B$2:$B$50,""),IF(alias&lt;&gt;"",alias,raw)))</f>
        <v/>
      </c>
      <c r="C43" s="7" t="str">
        <f>IF(B43="","",_xludf.XLOOKUP(B43,Countries!$A$2:$A$72,Countries!$B$2:$B$72,"???"))</f>
        <v/>
      </c>
      <c r="D43" s="7" t="str">
        <f>IF(A43="","",MedalImport!C44)</f>
        <v/>
      </c>
      <c r="E43" s="7" t="str">
        <f>IF(A43="","",MedalImport!D44)</f>
        <v/>
      </c>
      <c r="F43" s="7" t="str">
        <f>IF(A43="","",MedalImport!E44)</f>
        <v/>
      </c>
      <c r="G43" s="7" t="str">
        <f t="shared" si="1"/>
        <v/>
      </c>
      <c r="H43" s="7" t="str">
        <f>IF(A43="","",_xludf.LET(raw,A43,isExcluded,_xludf.XLOOKUP(raw,Aliases!$A$2:$A$50,Aliases!$D$2:$D$50,FALSE),isMapped,ISNUMBER(MATCH(B43,Countries!$A$2:$A$72,0)),IF(isExcluded,"EXCLUDED",IF(isMapped,"OK","UNMAPPED"))))</f>
        <v/>
      </c>
    </row>
    <row r="44" ht="15.75" customHeight="1">
      <c r="A44" s="7" t="str">
        <f>IF(MedalImport!B45="","",MedalImport!B45)</f>
        <v/>
      </c>
      <c r="B44" s="7" t="str">
        <f>IF(A44="","",_xludf.LET(raw,A44,alias,_xludf.XLOOKUP(raw,Aliases!$A$2:$A$50,Aliases!$B$2:$B$50,""),IF(alias&lt;&gt;"",alias,raw)))</f>
        <v/>
      </c>
      <c r="C44" s="7" t="str">
        <f>IF(B44="","",_xludf.XLOOKUP(B44,Countries!$A$2:$A$72,Countries!$B$2:$B$72,"???"))</f>
        <v/>
      </c>
      <c r="D44" s="7" t="str">
        <f>IF(A44="","",MedalImport!C45)</f>
        <v/>
      </c>
      <c r="E44" s="7" t="str">
        <f>IF(A44="","",MedalImport!D45)</f>
        <v/>
      </c>
      <c r="F44" s="7" t="str">
        <f>IF(A44="","",MedalImport!E45)</f>
        <v/>
      </c>
      <c r="G44" s="7" t="str">
        <f t="shared" si="1"/>
        <v/>
      </c>
      <c r="H44" s="7" t="str">
        <f>IF(A44="","",_xludf.LET(raw,A44,isExcluded,_xludf.XLOOKUP(raw,Aliases!$A$2:$A$50,Aliases!$D$2:$D$50,FALSE),isMapped,ISNUMBER(MATCH(B44,Countries!$A$2:$A$72,0)),IF(isExcluded,"EXCLUDED",IF(isMapped,"OK","UNMAPPED"))))</f>
        <v/>
      </c>
    </row>
    <row r="45" ht="15.75" customHeight="1">
      <c r="A45" s="7" t="str">
        <f>IF(MedalImport!B46="","",MedalImport!B46)</f>
        <v/>
      </c>
      <c r="B45" s="7" t="str">
        <f>IF(A45="","",_xludf.LET(raw,A45,alias,_xludf.XLOOKUP(raw,Aliases!$A$2:$A$50,Aliases!$B$2:$B$50,""),IF(alias&lt;&gt;"",alias,raw)))</f>
        <v/>
      </c>
      <c r="C45" s="7" t="str">
        <f>IF(B45="","",_xludf.XLOOKUP(B45,Countries!$A$2:$A$72,Countries!$B$2:$B$72,"???"))</f>
        <v/>
      </c>
      <c r="D45" s="7" t="str">
        <f>IF(A45="","",MedalImport!C46)</f>
        <v/>
      </c>
      <c r="E45" s="7" t="str">
        <f>IF(A45="","",MedalImport!D46)</f>
        <v/>
      </c>
      <c r="F45" s="7" t="str">
        <f>IF(A45="","",MedalImport!E46)</f>
        <v/>
      </c>
      <c r="G45" s="7" t="str">
        <f t="shared" si="1"/>
        <v/>
      </c>
      <c r="H45" s="7" t="str">
        <f>IF(A45="","",_xludf.LET(raw,A45,isExcluded,_xludf.XLOOKUP(raw,Aliases!$A$2:$A$50,Aliases!$D$2:$D$50,FALSE),isMapped,ISNUMBER(MATCH(B45,Countries!$A$2:$A$72,0)),IF(isExcluded,"EXCLUDED",IF(isMapped,"OK","UNMAPPED"))))</f>
        <v/>
      </c>
    </row>
    <row r="46" ht="15.75" customHeight="1">
      <c r="A46" s="7" t="str">
        <f>IF(MedalImport!B47="","",MedalImport!B47)</f>
        <v/>
      </c>
      <c r="B46" s="7" t="str">
        <f>IF(A46="","",_xludf.LET(raw,A46,alias,_xludf.XLOOKUP(raw,Aliases!$A$2:$A$50,Aliases!$B$2:$B$50,""),IF(alias&lt;&gt;"",alias,raw)))</f>
        <v/>
      </c>
      <c r="C46" s="7" t="str">
        <f>IF(B46="","",_xludf.XLOOKUP(B46,Countries!$A$2:$A$72,Countries!$B$2:$B$72,"???"))</f>
        <v/>
      </c>
      <c r="D46" s="7" t="str">
        <f>IF(A46="","",MedalImport!C47)</f>
        <v/>
      </c>
      <c r="E46" s="7" t="str">
        <f>IF(A46="","",MedalImport!D47)</f>
        <v/>
      </c>
      <c r="F46" s="7" t="str">
        <f>IF(A46="","",MedalImport!E47)</f>
        <v/>
      </c>
      <c r="G46" s="7" t="str">
        <f t="shared" si="1"/>
        <v/>
      </c>
      <c r="H46" s="7" t="str">
        <f>IF(A46="","",_xludf.LET(raw,A46,isExcluded,_xludf.XLOOKUP(raw,Aliases!$A$2:$A$50,Aliases!$D$2:$D$50,FALSE),isMapped,ISNUMBER(MATCH(B46,Countries!$A$2:$A$72,0)),IF(isExcluded,"EXCLUDED",IF(isMapped,"OK","UNMAPPED"))))</f>
        <v/>
      </c>
    </row>
    <row r="47" ht="15.75" customHeight="1">
      <c r="A47" s="7" t="str">
        <f>IF(MedalImport!B48="","",MedalImport!B48)</f>
        <v/>
      </c>
      <c r="B47" s="7" t="str">
        <f>IF(A47="","",_xludf.LET(raw,A47,alias,_xludf.XLOOKUP(raw,Aliases!$A$2:$A$50,Aliases!$B$2:$B$50,""),IF(alias&lt;&gt;"",alias,raw)))</f>
        <v/>
      </c>
      <c r="C47" s="7" t="str">
        <f>IF(B47="","",_xludf.XLOOKUP(B47,Countries!$A$2:$A$72,Countries!$B$2:$B$72,"???"))</f>
        <v/>
      </c>
      <c r="D47" s="7" t="str">
        <f>IF(A47="","",MedalImport!C48)</f>
        <v/>
      </c>
      <c r="E47" s="7" t="str">
        <f>IF(A47="","",MedalImport!D48)</f>
        <v/>
      </c>
      <c r="F47" s="7" t="str">
        <f>IF(A47="","",MedalImport!E48)</f>
        <v/>
      </c>
      <c r="G47" s="7" t="str">
        <f t="shared" si="1"/>
        <v/>
      </c>
      <c r="H47" s="7" t="str">
        <f>IF(A47="","",_xludf.LET(raw,A47,isExcluded,_xludf.XLOOKUP(raw,Aliases!$A$2:$A$50,Aliases!$D$2:$D$50,FALSE),isMapped,ISNUMBER(MATCH(B47,Countries!$A$2:$A$72,0)),IF(isExcluded,"EXCLUDED",IF(isMapped,"OK","UNMAPPED"))))</f>
        <v/>
      </c>
    </row>
    <row r="48" ht="15.75" customHeight="1">
      <c r="A48" s="7" t="str">
        <f>IF(MedalImport!B49="","",MedalImport!B49)</f>
        <v/>
      </c>
      <c r="B48" s="7" t="str">
        <f>IF(A48="","",_xludf.LET(raw,A48,alias,_xludf.XLOOKUP(raw,Aliases!$A$2:$A$50,Aliases!$B$2:$B$50,""),IF(alias&lt;&gt;"",alias,raw)))</f>
        <v/>
      </c>
      <c r="C48" s="7" t="str">
        <f>IF(B48="","",_xludf.XLOOKUP(B48,Countries!$A$2:$A$72,Countries!$B$2:$B$72,"???"))</f>
        <v/>
      </c>
      <c r="D48" s="7" t="str">
        <f>IF(A48="","",MedalImport!C49)</f>
        <v/>
      </c>
      <c r="E48" s="7" t="str">
        <f>IF(A48="","",MedalImport!D49)</f>
        <v/>
      </c>
      <c r="F48" s="7" t="str">
        <f>IF(A48="","",MedalImport!E49)</f>
        <v/>
      </c>
      <c r="G48" s="7" t="str">
        <f t="shared" si="1"/>
        <v/>
      </c>
      <c r="H48" s="7" t="str">
        <f>IF(A48="","",_xludf.LET(raw,A48,isExcluded,_xludf.XLOOKUP(raw,Aliases!$A$2:$A$50,Aliases!$D$2:$D$50,FALSE),isMapped,ISNUMBER(MATCH(B48,Countries!$A$2:$A$72,0)),IF(isExcluded,"EXCLUDED",IF(isMapped,"OK","UNMAPPED"))))</f>
        <v/>
      </c>
    </row>
    <row r="49" ht="15.75" customHeight="1">
      <c r="A49" s="7" t="str">
        <f>IF(MedalImport!B50="","",MedalImport!B50)</f>
        <v/>
      </c>
      <c r="B49" s="7" t="str">
        <f>IF(A49="","",_xludf.LET(raw,A49,alias,_xludf.XLOOKUP(raw,Aliases!$A$2:$A$50,Aliases!$B$2:$B$50,""),IF(alias&lt;&gt;"",alias,raw)))</f>
        <v/>
      </c>
      <c r="C49" s="7" t="str">
        <f>IF(B49="","",_xludf.XLOOKUP(B49,Countries!$A$2:$A$72,Countries!$B$2:$B$72,"???"))</f>
        <v/>
      </c>
      <c r="D49" s="7" t="str">
        <f>IF(A49="","",MedalImport!C50)</f>
        <v/>
      </c>
      <c r="E49" s="7" t="str">
        <f>IF(A49="","",MedalImport!D50)</f>
        <v/>
      </c>
      <c r="F49" s="7" t="str">
        <f>IF(A49="","",MedalImport!E50)</f>
        <v/>
      </c>
      <c r="G49" s="7" t="str">
        <f t="shared" si="1"/>
        <v/>
      </c>
      <c r="H49" s="7" t="str">
        <f>IF(A49="","",_xludf.LET(raw,A49,isExcluded,_xludf.XLOOKUP(raw,Aliases!$A$2:$A$50,Aliases!$D$2:$D$50,FALSE),isMapped,ISNUMBER(MATCH(B49,Countries!$A$2:$A$72,0)),IF(isExcluded,"EXCLUDED",IF(isMapped,"OK","UNMAPPED"))))</f>
        <v/>
      </c>
    </row>
    <row r="50" ht="15.75" customHeight="1">
      <c r="A50" s="7" t="str">
        <f>IF(MedalImport!B51="","",MedalImport!B51)</f>
        <v/>
      </c>
      <c r="B50" s="7" t="str">
        <f>IF(A50="","",_xludf.LET(raw,A50,alias,_xludf.XLOOKUP(raw,Aliases!$A$2:$A$50,Aliases!$B$2:$B$50,""),IF(alias&lt;&gt;"",alias,raw)))</f>
        <v/>
      </c>
      <c r="C50" s="7" t="str">
        <f>IF(B50="","",_xludf.XLOOKUP(B50,Countries!$A$2:$A$72,Countries!$B$2:$B$72,"???"))</f>
        <v/>
      </c>
      <c r="D50" s="7" t="str">
        <f>IF(A50="","",MedalImport!C51)</f>
        <v/>
      </c>
      <c r="E50" s="7" t="str">
        <f>IF(A50="","",MedalImport!D51)</f>
        <v/>
      </c>
      <c r="F50" s="7" t="str">
        <f>IF(A50="","",MedalImport!E51)</f>
        <v/>
      </c>
      <c r="G50" s="7" t="str">
        <f t="shared" si="1"/>
        <v/>
      </c>
      <c r="H50" s="7" t="str">
        <f>IF(A50="","",_xludf.LET(raw,A50,isExcluded,_xludf.XLOOKUP(raw,Aliases!$A$2:$A$50,Aliases!$D$2:$D$50,FALSE),isMapped,ISNUMBER(MATCH(B50,Countries!$A$2:$A$72,0)),IF(isExcluded,"EXCLUDED",IF(isMapped,"OK","UNMAPPED"))))</f>
        <v/>
      </c>
    </row>
    <row r="51" ht="15.75" customHeight="1">
      <c r="A51" s="7" t="str">
        <f>IF(MedalImport!B52="","",MedalImport!B52)</f>
        <v/>
      </c>
      <c r="B51" s="7" t="str">
        <f>IF(A51="","",_xludf.LET(raw,A51,alias,_xludf.XLOOKUP(raw,Aliases!$A$2:$A$50,Aliases!$B$2:$B$50,""),IF(alias&lt;&gt;"",alias,raw)))</f>
        <v/>
      </c>
      <c r="C51" s="7" t="str">
        <f>IF(B51="","",_xludf.XLOOKUP(B51,Countries!$A$2:$A$72,Countries!$B$2:$B$72,"???"))</f>
        <v/>
      </c>
      <c r="D51" s="7" t="str">
        <f>IF(A51="","",MedalImport!C52)</f>
        <v/>
      </c>
      <c r="E51" s="7" t="str">
        <f>IF(A51="","",MedalImport!D52)</f>
        <v/>
      </c>
      <c r="F51" s="7" t="str">
        <f>IF(A51="","",MedalImport!E52)</f>
        <v/>
      </c>
      <c r="G51" s="7" t="str">
        <f t="shared" si="1"/>
        <v/>
      </c>
      <c r="H51" s="7" t="str">
        <f>IF(A51="","",_xludf.LET(raw,A51,isExcluded,_xludf.XLOOKUP(raw,Aliases!$A$2:$A$50,Aliases!$D$2:$D$50,FALSE),isMapped,ISNUMBER(MATCH(B51,Countries!$A$2:$A$72,0)),IF(isExcluded,"EXCLUDED",IF(isMapped,"OK","UNMAPPED"))))</f>
        <v/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51">
    <cfRule type="cellIs" dxfId="7" priority="1" operator="equal">
      <formula>"UNMAPPED"</formula>
    </cfRule>
  </conditionalFormatting>
  <conditionalFormatting sqref="H2:H51">
    <cfRule type="cellIs" dxfId="8" priority="2" operator="equal">
      <formula>"EXCLUDED"</formula>
    </cfRule>
  </conditionalFormatting>
  <conditionalFormatting sqref="H2:H51">
    <cfRule type="cellIs" dxfId="9" priority="3" operator="equal">
      <formula>"OK"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4.43" defaultRowHeight="15.0"/>
  <cols>
    <col customWidth="1" min="1" max="1" width="16.29"/>
    <col customWidth="1" min="2" max="2" width="23.86"/>
    <col customWidth="1" min="3" max="3" width="10.0"/>
    <col customWidth="1" min="4" max="4" width="10.29"/>
    <col customWidth="1" min="5" max="5" width="15.29"/>
    <col customWidth="1" min="6" max="6" width="13.71"/>
    <col customWidth="1" min="7" max="7" width="20.43"/>
    <col customWidth="1" min="8" max="9" width="11.14"/>
    <col customWidth="1" min="10" max="10" width="12.86"/>
    <col customWidth="1" min="11" max="11" width="26.29"/>
    <col customWidth="1" min="12" max="16" width="11.14"/>
    <col customWidth="1" min="17" max="17" width="28.14"/>
    <col customWidth="1" min="18" max="18" width="15.29"/>
    <col customWidth="1" min="19" max="19" width="15.86"/>
    <col customWidth="1" min="20" max="25" width="8.71"/>
  </cols>
  <sheetData>
    <row r="1">
      <c r="A1" s="6" t="s">
        <v>16</v>
      </c>
      <c r="B1" s="8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8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</row>
    <row r="2">
      <c r="A2" s="9">
        <v>46046.66111111111</v>
      </c>
      <c r="B2" s="10" t="s">
        <v>35</v>
      </c>
      <c r="C2" s="10" t="s">
        <v>36</v>
      </c>
      <c r="D2" s="10" t="s">
        <v>37</v>
      </c>
      <c r="E2" s="10" t="s">
        <v>38</v>
      </c>
      <c r="F2" s="10" t="s">
        <v>39</v>
      </c>
      <c r="G2" s="10" t="s">
        <v>40</v>
      </c>
      <c r="H2" s="10" t="s">
        <v>41</v>
      </c>
      <c r="I2" s="10" t="s">
        <v>42</v>
      </c>
      <c r="J2" s="10" t="s">
        <v>43</v>
      </c>
      <c r="K2" s="10" t="s">
        <v>44</v>
      </c>
      <c r="L2" s="11">
        <v>12.0</v>
      </c>
      <c r="M2" s="7" t="str">
        <f t="shared" ref="M2:M51" si="1">IF(G2="","",TRIM(LEFT(G2,FIND(",",G2)-1)))</f>
        <v>France</v>
      </c>
      <c r="N2" s="7" t="str">
        <f t="shared" ref="N2:N51" si="2">IF(G2="","",TRIM(MID(G2,FIND(",",G2)+1,100)))</f>
        <v>South Korea</v>
      </c>
      <c r="O2" s="7" t="str">
        <f t="shared" ref="O2:O51" si="3">IF(K2="","",IFERROR(TRIM(LEFT(SUBSTITUTE(TRIM(LEFT(K2,FIND(",",K2&amp;",")-1)),"⚪",""),FIND(" (",SUBSTITUTE(TRIM(LEFT(K2,FIND(",",K2&amp;",")-1)),"⚪","")&amp;" (")-1)),TRIM(SUBSTITUTE(TRIM(LEFT(K2,FIND(",",K2&amp;",")-1)),"⚪",""))))</f>
        <v>Belgium</v>
      </c>
      <c r="P2" s="7" t="str">
        <f t="shared" ref="P2:P51" si="4">IF(K2="","",IFERROR(TRIM(LEFT(SUBSTITUTE(TRIM(MID(K2,FIND(",",K2)+1,100)),"⚪",""),FIND(" (",SUBSTITUTE(TRIM(MID(K2,FIND(",",K2)+1,100)),"⚪","")&amp;" (")-1)),TRIM(SUBSTITUTE(TRIM(MID(K2,FIND(",",K2)+1,100)),"⚪",""))))</f>
        <v>âšª Benin</v>
      </c>
      <c r="Q2" s="7" t="str">
        <f t="shared" ref="Q2:Q51" si="5">IF(C2="","",C2&amp;"_"&amp;D2&amp;"_"&amp;E2)</f>
        <v>Brad_Hagstrom_Brad Hagstrom</v>
      </c>
      <c r="R2" s="7" t="str">
        <f t="shared" ref="R2:R51" si="6">IF(C2="","",IF(AND(F2&lt;&gt;"",M2&lt;&gt;"",N2&lt;&gt;"",H2&lt;&gt;"",I2&lt;&gt;"",J2&lt;&gt;"",O2&lt;&gt;"",P2&lt;&gt;""),"OK","INCOMPLETE"))</f>
        <v>OK</v>
      </c>
      <c r="S2" s="7" t="str">
        <f t="shared" ref="S2:S51" si="7">IF(C2="","",IF(R2="INCOMPLETE","Missing picks","Valid"))</f>
        <v>Valid</v>
      </c>
    </row>
    <row r="3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 t="str">
        <f t="shared" si="1"/>
        <v/>
      </c>
      <c r="N3" s="7" t="str">
        <f t="shared" si="2"/>
        <v/>
      </c>
      <c r="O3" s="7" t="str">
        <f t="shared" si="3"/>
        <v/>
      </c>
      <c r="P3" s="7" t="str">
        <f t="shared" si="4"/>
        <v/>
      </c>
      <c r="Q3" s="7" t="str">
        <f t="shared" si="5"/>
        <v/>
      </c>
      <c r="R3" s="7" t="str">
        <f t="shared" si="6"/>
        <v/>
      </c>
      <c r="S3" s="7" t="str">
        <f t="shared" si="7"/>
        <v/>
      </c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 t="str">
        <f t="shared" si="1"/>
        <v/>
      </c>
      <c r="N4" s="7" t="str">
        <f t="shared" si="2"/>
        <v/>
      </c>
      <c r="O4" s="7" t="str">
        <f t="shared" si="3"/>
        <v/>
      </c>
      <c r="P4" s="7" t="str">
        <f t="shared" si="4"/>
        <v/>
      </c>
      <c r="Q4" s="7" t="str">
        <f t="shared" si="5"/>
        <v/>
      </c>
      <c r="R4" s="7" t="str">
        <f t="shared" si="6"/>
        <v/>
      </c>
      <c r="S4" s="7" t="str">
        <f t="shared" si="7"/>
        <v/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 t="str">
        <f t="shared" si="1"/>
        <v/>
      </c>
      <c r="N5" s="7" t="str">
        <f t="shared" si="2"/>
        <v/>
      </c>
      <c r="O5" s="7" t="str">
        <f t="shared" si="3"/>
        <v/>
      </c>
      <c r="P5" s="7" t="str">
        <f t="shared" si="4"/>
        <v/>
      </c>
      <c r="Q5" s="7" t="str">
        <f t="shared" si="5"/>
        <v/>
      </c>
      <c r="R5" s="7" t="str">
        <f t="shared" si="6"/>
        <v/>
      </c>
      <c r="S5" s="7" t="str">
        <f t="shared" si="7"/>
        <v/>
      </c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tr">
        <f t="shared" si="1"/>
        <v/>
      </c>
      <c r="N6" s="7" t="str">
        <f t="shared" si="2"/>
        <v/>
      </c>
      <c r="O6" s="7" t="str">
        <f t="shared" si="3"/>
        <v/>
      </c>
      <c r="P6" s="7" t="str">
        <f t="shared" si="4"/>
        <v/>
      </c>
      <c r="Q6" s="7" t="str">
        <f t="shared" si="5"/>
        <v/>
      </c>
      <c r="R6" s="7" t="str">
        <f t="shared" si="6"/>
        <v/>
      </c>
      <c r="S6" s="7" t="str">
        <f t="shared" si="7"/>
        <v/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 t="str">
        <f t="shared" si="1"/>
        <v/>
      </c>
      <c r="N7" s="7" t="str">
        <f t="shared" si="2"/>
        <v/>
      </c>
      <c r="O7" s="7" t="str">
        <f t="shared" si="3"/>
        <v/>
      </c>
      <c r="P7" s="7" t="str">
        <f t="shared" si="4"/>
        <v/>
      </c>
      <c r="Q7" s="7" t="str">
        <f t="shared" si="5"/>
        <v/>
      </c>
      <c r="R7" s="7" t="str">
        <f t="shared" si="6"/>
        <v/>
      </c>
      <c r="S7" s="7" t="str">
        <f t="shared" si="7"/>
        <v/>
      </c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 t="str">
        <f t="shared" si="1"/>
        <v/>
      </c>
      <c r="N8" s="7" t="str">
        <f t="shared" si="2"/>
        <v/>
      </c>
      <c r="O8" s="7" t="str">
        <f t="shared" si="3"/>
        <v/>
      </c>
      <c r="P8" s="7" t="str">
        <f t="shared" si="4"/>
        <v/>
      </c>
      <c r="Q8" s="7" t="str">
        <f t="shared" si="5"/>
        <v/>
      </c>
      <c r="R8" s="7" t="str">
        <f t="shared" si="6"/>
        <v/>
      </c>
      <c r="S8" s="7" t="str">
        <f t="shared" si="7"/>
        <v/>
      </c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 t="str">
        <f t="shared" si="1"/>
        <v/>
      </c>
      <c r="N9" s="7" t="str">
        <f t="shared" si="2"/>
        <v/>
      </c>
      <c r="O9" s="7" t="str">
        <f t="shared" si="3"/>
        <v/>
      </c>
      <c r="P9" s="7" t="str">
        <f t="shared" si="4"/>
        <v/>
      </c>
      <c r="Q9" s="7" t="str">
        <f t="shared" si="5"/>
        <v/>
      </c>
      <c r="R9" s="7" t="str">
        <f t="shared" si="6"/>
        <v/>
      </c>
      <c r="S9" s="7" t="str">
        <f t="shared" si="7"/>
        <v/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 t="str">
        <f t="shared" si="1"/>
        <v/>
      </c>
      <c r="N10" s="7" t="str">
        <f t="shared" si="2"/>
        <v/>
      </c>
      <c r="O10" s="7" t="str">
        <f t="shared" si="3"/>
        <v/>
      </c>
      <c r="P10" s="7" t="str">
        <f t="shared" si="4"/>
        <v/>
      </c>
      <c r="Q10" s="7" t="str">
        <f t="shared" si="5"/>
        <v/>
      </c>
      <c r="R10" s="7" t="str">
        <f t="shared" si="6"/>
        <v/>
      </c>
      <c r="S10" s="7" t="str">
        <f t="shared" si="7"/>
        <v/>
      </c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 t="str">
        <f t="shared" si="1"/>
        <v/>
      </c>
      <c r="N11" s="7" t="str">
        <f t="shared" si="2"/>
        <v/>
      </c>
      <c r="O11" s="7" t="str">
        <f t="shared" si="3"/>
        <v/>
      </c>
      <c r="P11" s="7" t="str">
        <f t="shared" si="4"/>
        <v/>
      </c>
      <c r="Q11" s="7" t="str">
        <f t="shared" si="5"/>
        <v/>
      </c>
      <c r="R11" s="7" t="str">
        <f t="shared" si="6"/>
        <v/>
      </c>
      <c r="S11" s="7" t="str">
        <f t="shared" si="7"/>
        <v/>
      </c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 t="str">
        <f t="shared" si="1"/>
        <v/>
      </c>
      <c r="N12" s="7" t="str">
        <f t="shared" si="2"/>
        <v/>
      </c>
      <c r="O12" s="7" t="str">
        <f t="shared" si="3"/>
        <v/>
      </c>
      <c r="P12" s="7" t="str">
        <f t="shared" si="4"/>
        <v/>
      </c>
      <c r="Q12" s="7" t="str">
        <f t="shared" si="5"/>
        <v/>
      </c>
      <c r="R12" s="7" t="str">
        <f t="shared" si="6"/>
        <v/>
      </c>
      <c r="S12" s="7" t="str">
        <f t="shared" si="7"/>
        <v/>
      </c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 t="str">
        <f t="shared" si="1"/>
        <v/>
      </c>
      <c r="N13" s="7" t="str">
        <f t="shared" si="2"/>
        <v/>
      </c>
      <c r="O13" s="7" t="str">
        <f t="shared" si="3"/>
        <v/>
      </c>
      <c r="P13" s="7" t="str">
        <f t="shared" si="4"/>
        <v/>
      </c>
      <c r="Q13" s="7" t="str">
        <f t="shared" si="5"/>
        <v/>
      </c>
      <c r="R13" s="7" t="str">
        <f t="shared" si="6"/>
        <v/>
      </c>
      <c r="S13" s="7" t="str">
        <f t="shared" si="7"/>
        <v/>
      </c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 t="str">
        <f t="shared" si="1"/>
        <v/>
      </c>
      <c r="N14" s="7" t="str">
        <f t="shared" si="2"/>
        <v/>
      </c>
      <c r="O14" s="7" t="str">
        <f t="shared" si="3"/>
        <v/>
      </c>
      <c r="P14" s="7" t="str">
        <f t="shared" si="4"/>
        <v/>
      </c>
      <c r="Q14" s="7" t="str">
        <f t="shared" si="5"/>
        <v/>
      </c>
      <c r="R14" s="7" t="str">
        <f t="shared" si="6"/>
        <v/>
      </c>
      <c r="S14" s="7" t="str">
        <f t="shared" si="7"/>
        <v/>
      </c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 t="str">
        <f t="shared" si="1"/>
        <v/>
      </c>
      <c r="N15" s="7" t="str">
        <f t="shared" si="2"/>
        <v/>
      </c>
      <c r="O15" s="7" t="str">
        <f t="shared" si="3"/>
        <v/>
      </c>
      <c r="P15" s="7" t="str">
        <f t="shared" si="4"/>
        <v/>
      </c>
      <c r="Q15" s="7" t="str">
        <f t="shared" si="5"/>
        <v/>
      </c>
      <c r="R15" s="7" t="str">
        <f t="shared" si="6"/>
        <v/>
      </c>
      <c r="S15" s="7" t="str">
        <f t="shared" si="7"/>
        <v/>
      </c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 t="str">
        <f t="shared" si="1"/>
        <v/>
      </c>
      <c r="N16" s="7" t="str">
        <f t="shared" si="2"/>
        <v/>
      </c>
      <c r="O16" s="7" t="str">
        <f t="shared" si="3"/>
        <v/>
      </c>
      <c r="P16" s="7" t="str">
        <f t="shared" si="4"/>
        <v/>
      </c>
      <c r="Q16" s="7" t="str">
        <f t="shared" si="5"/>
        <v/>
      </c>
      <c r="R16" s="7" t="str">
        <f t="shared" si="6"/>
        <v/>
      </c>
      <c r="S16" s="7" t="str">
        <f t="shared" si="7"/>
        <v/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tr">
        <f t="shared" si="1"/>
        <v/>
      </c>
      <c r="N17" s="7" t="str">
        <f t="shared" si="2"/>
        <v/>
      </c>
      <c r="O17" s="7" t="str">
        <f t="shared" si="3"/>
        <v/>
      </c>
      <c r="P17" s="7" t="str">
        <f t="shared" si="4"/>
        <v/>
      </c>
      <c r="Q17" s="7" t="str">
        <f t="shared" si="5"/>
        <v/>
      </c>
      <c r="R17" s="7" t="str">
        <f t="shared" si="6"/>
        <v/>
      </c>
      <c r="S17" s="7" t="str">
        <f t="shared" si="7"/>
        <v/>
      </c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tr">
        <f t="shared" si="1"/>
        <v/>
      </c>
      <c r="N18" s="7" t="str">
        <f t="shared" si="2"/>
        <v/>
      </c>
      <c r="O18" s="7" t="str">
        <f t="shared" si="3"/>
        <v/>
      </c>
      <c r="P18" s="7" t="str">
        <f t="shared" si="4"/>
        <v/>
      </c>
      <c r="Q18" s="7" t="str">
        <f t="shared" si="5"/>
        <v/>
      </c>
      <c r="R18" s="7" t="str">
        <f t="shared" si="6"/>
        <v/>
      </c>
      <c r="S18" s="7" t="str">
        <f t="shared" si="7"/>
        <v/>
      </c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 t="str">
        <f t="shared" si="1"/>
        <v/>
      </c>
      <c r="N19" s="7" t="str">
        <f t="shared" si="2"/>
        <v/>
      </c>
      <c r="O19" s="7" t="str">
        <f t="shared" si="3"/>
        <v/>
      </c>
      <c r="P19" s="7" t="str">
        <f t="shared" si="4"/>
        <v/>
      </c>
      <c r="Q19" s="7" t="str">
        <f t="shared" si="5"/>
        <v/>
      </c>
      <c r="R19" s="7" t="str">
        <f t="shared" si="6"/>
        <v/>
      </c>
      <c r="S19" s="7" t="str">
        <f t="shared" si="7"/>
        <v/>
      </c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 t="str">
        <f t="shared" si="1"/>
        <v/>
      </c>
      <c r="N20" s="7" t="str">
        <f t="shared" si="2"/>
        <v/>
      </c>
      <c r="O20" s="7" t="str">
        <f t="shared" si="3"/>
        <v/>
      </c>
      <c r="P20" s="7" t="str">
        <f t="shared" si="4"/>
        <v/>
      </c>
      <c r="Q20" s="7" t="str">
        <f t="shared" si="5"/>
        <v/>
      </c>
      <c r="R20" s="7" t="str">
        <f t="shared" si="6"/>
        <v/>
      </c>
      <c r="S20" s="7" t="str">
        <f t="shared" si="7"/>
        <v/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 t="str">
        <f t="shared" si="1"/>
        <v/>
      </c>
      <c r="N21" s="7" t="str">
        <f t="shared" si="2"/>
        <v/>
      </c>
      <c r="O21" s="7" t="str">
        <f t="shared" si="3"/>
        <v/>
      </c>
      <c r="P21" s="7" t="str">
        <f t="shared" si="4"/>
        <v/>
      </c>
      <c r="Q21" s="7" t="str">
        <f t="shared" si="5"/>
        <v/>
      </c>
      <c r="R21" s="7" t="str">
        <f t="shared" si="6"/>
        <v/>
      </c>
      <c r="S21" s="7" t="str">
        <f t="shared" si="7"/>
        <v/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 t="str">
        <f t="shared" si="1"/>
        <v/>
      </c>
      <c r="N22" s="7" t="str">
        <f t="shared" si="2"/>
        <v/>
      </c>
      <c r="O22" s="7" t="str">
        <f t="shared" si="3"/>
        <v/>
      </c>
      <c r="P22" s="7" t="str">
        <f t="shared" si="4"/>
        <v/>
      </c>
      <c r="Q22" s="7" t="str">
        <f t="shared" si="5"/>
        <v/>
      </c>
      <c r="R22" s="7" t="str">
        <f t="shared" si="6"/>
        <v/>
      </c>
      <c r="S22" s="7" t="str">
        <f t="shared" si="7"/>
        <v/>
      </c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 t="str">
        <f t="shared" si="1"/>
        <v/>
      </c>
      <c r="N23" s="7" t="str">
        <f t="shared" si="2"/>
        <v/>
      </c>
      <c r="O23" s="7" t="str">
        <f t="shared" si="3"/>
        <v/>
      </c>
      <c r="P23" s="7" t="str">
        <f t="shared" si="4"/>
        <v/>
      </c>
      <c r="Q23" s="7" t="str">
        <f t="shared" si="5"/>
        <v/>
      </c>
      <c r="R23" s="7" t="str">
        <f t="shared" si="6"/>
        <v/>
      </c>
      <c r="S23" s="7" t="str">
        <f t="shared" si="7"/>
        <v/>
      </c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str">
        <f t="shared" si="1"/>
        <v/>
      </c>
      <c r="N24" s="7" t="str">
        <f t="shared" si="2"/>
        <v/>
      </c>
      <c r="O24" s="7" t="str">
        <f t="shared" si="3"/>
        <v/>
      </c>
      <c r="P24" s="7" t="str">
        <f t="shared" si="4"/>
        <v/>
      </c>
      <c r="Q24" s="7" t="str">
        <f t="shared" si="5"/>
        <v/>
      </c>
      <c r="R24" s="7" t="str">
        <f t="shared" si="6"/>
        <v/>
      </c>
      <c r="S24" s="7" t="str">
        <f t="shared" si="7"/>
        <v/>
      </c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 t="str">
        <f t="shared" si="1"/>
        <v/>
      </c>
      <c r="N25" s="7" t="str">
        <f t="shared" si="2"/>
        <v/>
      </c>
      <c r="O25" s="7" t="str">
        <f t="shared" si="3"/>
        <v/>
      </c>
      <c r="P25" s="7" t="str">
        <f t="shared" si="4"/>
        <v/>
      </c>
      <c r="Q25" s="7" t="str">
        <f t="shared" si="5"/>
        <v/>
      </c>
      <c r="R25" s="7" t="str">
        <f t="shared" si="6"/>
        <v/>
      </c>
      <c r="S25" s="7" t="str">
        <f t="shared" si="7"/>
        <v/>
      </c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 t="str">
        <f t="shared" si="1"/>
        <v/>
      </c>
      <c r="N26" s="7" t="str">
        <f t="shared" si="2"/>
        <v/>
      </c>
      <c r="O26" s="7" t="str">
        <f t="shared" si="3"/>
        <v/>
      </c>
      <c r="P26" s="7" t="str">
        <f t="shared" si="4"/>
        <v/>
      </c>
      <c r="Q26" s="7" t="str">
        <f t="shared" si="5"/>
        <v/>
      </c>
      <c r="R26" s="7" t="str">
        <f t="shared" si="6"/>
        <v/>
      </c>
      <c r="S26" s="7" t="str">
        <f t="shared" si="7"/>
        <v/>
      </c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 t="str">
        <f t="shared" si="1"/>
        <v/>
      </c>
      <c r="N27" s="7" t="str">
        <f t="shared" si="2"/>
        <v/>
      </c>
      <c r="O27" s="7" t="str">
        <f t="shared" si="3"/>
        <v/>
      </c>
      <c r="P27" s="7" t="str">
        <f t="shared" si="4"/>
        <v/>
      </c>
      <c r="Q27" s="7" t="str">
        <f t="shared" si="5"/>
        <v/>
      </c>
      <c r="R27" s="7" t="str">
        <f t="shared" si="6"/>
        <v/>
      </c>
      <c r="S27" s="7" t="str">
        <f t="shared" si="7"/>
        <v/>
      </c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 t="str">
        <f t="shared" si="1"/>
        <v/>
      </c>
      <c r="N28" s="7" t="str">
        <f t="shared" si="2"/>
        <v/>
      </c>
      <c r="O28" s="7" t="str">
        <f t="shared" si="3"/>
        <v/>
      </c>
      <c r="P28" s="7" t="str">
        <f t="shared" si="4"/>
        <v/>
      </c>
      <c r="Q28" s="7" t="str">
        <f t="shared" si="5"/>
        <v/>
      </c>
      <c r="R28" s="7" t="str">
        <f t="shared" si="6"/>
        <v/>
      </c>
      <c r="S28" s="7" t="str">
        <f t="shared" si="7"/>
        <v/>
      </c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 t="str">
        <f t="shared" si="1"/>
        <v/>
      </c>
      <c r="N29" s="7" t="str">
        <f t="shared" si="2"/>
        <v/>
      </c>
      <c r="O29" s="7" t="str">
        <f t="shared" si="3"/>
        <v/>
      </c>
      <c r="P29" s="7" t="str">
        <f t="shared" si="4"/>
        <v/>
      </c>
      <c r="Q29" s="7" t="str">
        <f t="shared" si="5"/>
        <v/>
      </c>
      <c r="R29" s="7" t="str">
        <f t="shared" si="6"/>
        <v/>
      </c>
      <c r="S29" s="7" t="str">
        <f t="shared" si="7"/>
        <v/>
      </c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 t="str">
        <f t="shared" si="1"/>
        <v/>
      </c>
      <c r="N30" s="7" t="str">
        <f t="shared" si="2"/>
        <v/>
      </c>
      <c r="O30" s="7" t="str">
        <f t="shared" si="3"/>
        <v/>
      </c>
      <c r="P30" s="7" t="str">
        <f t="shared" si="4"/>
        <v/>
      </c>
      <c r="Q30" s="7" t="str">
        <f t="shared" si="5"/>
        <v/>
      </c>
      <c r="R30" s="7" t="str">
        <f t="shared" si="6"/>
        <v/>
      </c>
      <c r="S30" s="7" t="str">
        <f t="shared" si="7"/>
        <v/>
      </c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 t="str">
        <f t="shared" si="1"/>
        <v/>
      </c>
      <c r="N31" s="7" t="str">
        <f t="shared" si="2"/>
        <v/>
      </c>
      <c r="O31" s="7" t="str">
        <f t="shared" si="3"/>
        <v/>
      </c>
      <c r="P31" s="7" t="str">
        <f t="shared" si="4"/>
        <v/>
      </c>
      <c r="Q31" s="7" t="str">
        <f t="shared" si="5"/>
        <v/>
      </c>
      <c r="R31" s="7" t="str">
        <f t="shared" si="6"/>
        <v/>
      </c>
      <c r="S31" s="7" t="str">
        <f t="shared" si="7"/>
        <v/>
      </c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 t="str">
        <f t="shared" si="1"/>
        <v/>
      </c>
      <c r="N32" s="7" t="str">
        <f t="shared" si="2"/>
        <v/>
      </c>
      <c r="O32" s="7" t="str">
        <f t="shared" si="3"/>
        <v/>
      </c>
      <c r="P32" s="7" t="str">
        <f t="shared" si="4"/>
        <v/>
      </c>
      <c r="Q32" s="7" t="str">
        <f t="shared" si="5"/>
        <v/>
      </c>
      <c r="R32" s="7" t="str">
        <f t="shared" si="6"/>
        <v/>
      </c>
      <c r="S32" s="7" t="str">
        <f t="shared" si="7"/>
        <v/>
      </c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 t="str">
        <f t="shared" si="1"/>
        <v/>
      </c>
      <c r="N33" s="7" t="str">
        <f t="shared" si="2"/>
        <v/>
      </c>
      <c r="O33" s="7" t="str">
        <f t="shared" si="3"/>
        <v/>
      </c>
      <c r="P33" s="7" t="str">
        <f t="shared" si="4"/>
        <v/>
      </c>
      <c r="Q33" s="7" t="str">
        <f t="shared" si="5"/>
        <v/>
      </c>
      <c r="R33" s="7" t="str">
        <f t="shared" si="6"/>
        <v/>
      </c>
      <c r="S33" s="7" t="str">
        <f t="shared" si="7"/>
        <v/>
      </c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 t="str">
        <f t="shared" si="1"/>
        <v/>
      </c>
      <c r="N34" s="7" t="str">
        <f t="shared" si="2"/>
        <v/>
      </c>
      <c r="O34" s="7" t="str">
        <f t="shared" si="3"/>
        <v/>
      </c>
      <c r="P34" s="7" t="str">
        <f t="shared" si="4"/>
        <v/>
      </c>
      <c r="Q34" s="7" t="str">
        <f t="shared" si="5"/>
        <v/>
      </c>
      <c r="R34" s="7" t="str">
        <f t="shared" si="6"/>
        <v/>
      </c>
      <c r="S34" s="7" t="str">
        <f t="shared" si="7"/>
        <v/>
      </c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 t="str">
        <f t="shared" si="1"/>
        <v/>
      </c>
      <c r="N35" s="7" t="str">
        <f t="shared" si="2"/>
        <v/>
      </c>
      <c r="O35" s="7" t="str">
        <f t="shared" si="3"/>
        <v/>
      </c>
      <c r="P35" s="7" t="str">
        <f t="shared" si="4"/>
        <v/>
      </c>
      <c r="Q35" s="7" t="str">
        <f t="shared" si="5"/>
        <v/>
      </c>
      <c r="R35" s="7" t="str">
        <f t="shared" si="6"/>
        <v/>
      </c>
      <c r="S35" s="7" t="str">
        <f t="shared" si="7"/>
        <v/>
      </c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 t="str">
        <f t="shared" si="1"/>
        <v/>
      </c>
      <c r="N36" s="7" t="str">
        <f t="shared" si="2"/>
        <v/>
      </c>
      <c r="O36" s="7" t="str">
        <f t="shared" si="3"/>
        <v/>
      </c>
      <c r="P36" s="7" t="str">
        <f t="shared" si="4"/>
        <v/>
      </c>
      <c r="Q36" s="7" t="str">
        <f t="shared" si="5"/>
        <v/>
      </c>
      <c r="R36" s="7" t="str">
        <f t="shared" si="6"/>
        <v/>
      </c>
      <c r="S36" s="7" t="str">
        <f t="shared" si="7"/>
        <v/>
      </c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 t="str">
        <f t="shared" si="1"/>
        <v/>
      </c>
      <c r="N37" s="7" t="str">
        <f t="shared" si="2"/>
        <v/>
      </c>
      <c r="O37" s="7" t="str">
        <f t="shared" si="3"/>
        <v/>
      </c>
      <c r="P37" s="7" t="str">
        <f t="shared" si="4"/>
        <v/>
      </c>
      <c r="Q37" s="7" t="str">
        <f t="shared" si="5"/>
        <v/>
      </c>
      <c r="R37" s="7" t="str">
        <f t="shared" si="6"/>
        <v/>
      </c>
      <c r="S37" s="7" t="str">
        <f t="shared" si="7"/>
        <v/>
      </c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 t="str">
        <f t="shared" si="1"/>
        <v/>
      </c>
      <c r="N38" s="7" t="str">
        <f t="shared" si="2"/>
        <v/>
      </c>
      <c r="O38" s="7" t="str">
        <f t="shared" si="3"/>
        <v/>
      </c>
      <c r="P38" s="7" t="str">
        <f t="shared" si="4"/>
        <v/>
      </c>
      <c r="Q38" s="7" t="str">
        <f t="shared" si="5"/>
        <v/>
      </c>
      <c r="R38" s="7" t="str">
        <f t="shared" si="6"/>
        <v/>
      </c>
      <c r="S38" s="7" t="str">
        <f t="shared" si="7"/>
        <v/>
      </c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 t="str">
        <f t="shared" si="1"/>
        <v/>
      </c>
      <c r="N39" s="7" t="str">
        <f t="shared" si="2"/>
        <v/>
      </c>
      <c r="O39" s="7" t="str">
        <f t="shared" si="3"/>
        <v/>
      </c>
      <c r="P39" s="7" t="str">
        <f t="shared" si="4"/>
        <v/>
      </c>
      <c r="Q39" s="7" t="str">
        <f t="shared" si="5"/>
        <v/>
      </c>
      <c r="R39" s="7" t="str">
        <f t="shared" si="6"/>
        <v/>
      </c>
      <c r="S39" s="7" t="str">
        <f t="shared" si="7"/>
        <v/>
      </c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 t="str">
        <f t="shared" si="1"/>
        <v/>
      </c>
      <c r="N40" s="7" t="str">
        <f t="shared" si="2"/>
        <v/>
      </c>
      <c r="O40" s="7" t="str">
        <f t="shared" si="3"/>
        <v/>
      </c>
      <c r="P40" s="7" t="str">
        <f t="shared" si="4"/>
        <v/>
      </c>
      <c r="Q40" s="7" t="str">
        <f t="shared" si="5"/>
        <v/>
      </c>
      <c r="R40" s="7" t="str">
        <f t="shared" si="6"/>
        <v/>
      </c>
      <c r="S40" s="7" t="str">
        <f t="shared" si="7"/>
        <v/>
      </c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 t="str">
        <f t="shared" si="1"/>
        <v/>
      </c>
      <c r="N41" s="7" t="str">
        <f t="shared" si="2"/>
        <v/>
      </c>
      <c r="O41" s="7" t="str">
        <f t="shared" si="3"/>
        <v/>
      </c>
      <c r="P41" s="7" t="str">
        <f t="shared" si="4"/>
        <v/>
      </c>
      <c r="Q41" s="7" t="str">
        <f t="shared" si="5"/>
        <v/>
      </c>
      <c r="R41" s="7" t="str">
        <f t="shared" si="6"/>
        <v/>
      </c>
      <c r="S41" s="7" t="str">
        <f t="shared" si="7"/>
        <v/>
      </c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 t="str">
        <f t="shared" si="1"/>
        <v/>
      </c>
      <c r="N42" s="7" t="str">
        <f t="shared" si="2"/>
        <v/>
      </c>
      <c r="O42" s="7" t="str">
        <f t="shared" si="3"/>
        <v/>
      </c>
      <c r="P42" s="7" t="str">
        <f t="shared" si="4"/>
        <v/>
      </c>
      <c r="Q42" s="7" t="str">
        <f t="shared" si="5"/>
        <v/>
      </c>
      <c r="R42" s="7" t="str">
        <f t="shared" si="6"/>
        <v/>
      </c>
      <c r="S42" s="7" t="str">
        <f t="shared" si="7"/>
        <v/>
      </c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 t="str">
        <f t="shared" si="1"/>
        <v/>
      </c>
      <c r="N43" s="7" t="str">
        <f t="shared" si="2"/>
        <v/>
      </c>
      <c r="O43" s="7" t="str">
        <f t="shared" si="3"/>
        <v/>
      </c>
      <c r="P43" s="7" t="str">
        <f t="shared" si="4"/>
        <v/>
      </c>
      <c r="Q43" s="7" t="str">
        <f t="shared" si="5"/>
        <v/>
      </c>
      <c r="R43" s="7" t="str">
        <f t="shared" si="6"/>
        <v/>
      </c>
      <c r="S43" s="7" t="str">
        <f t="shared" si="7"/>
        <v/>
      </c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 t="str">
        <f t="shared" si="1"/>
        <v/>
      </c>
      <c r="N44" s="7" t="str">
        <f t="shared" si="2"/>
        <v/>
      </c>
      <c r="O44" s="7" t="str">
        <f t="shared" si="3"/>
        <v/>
      </c>
      <c r="P44" s="7" t="str">
        <f t="shared" si="4"/>
        <v/>
      </c>
      <c r="Q44" s="7" t="str">
        <f t="shared" si="5"/>
        <v/>
      </c>
      <c r="R44" s="7" t="str">
        <f t="shared" si="6"/>
        <v/>
      </c>
      <c r="S44" s="7" t="str">
        <f t="shared" si="7"/>
        <v/>
      </c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 t="str">
        <f t="shared" si="1"/>
        <v/>
      </c>
      <c r="N45" s="7" t="str">
        <f t="shared" si="2"/>
        <v/>
      </c>
      <c r="O45" s="7" t="str">
        <f t="shared" si="3"/>
        <v/>
      </c>
      <c r="P45" s="7" t="str">
        <f t="shared" si="4"/>
        <v/>
      </c>
      <c r="Q45" s="7" t="str">
        <f t="shared" si="5"/>
        <v/>
      </c>
      <c r="R45" s="7" t="str">
        <f t="shared" si="6"/>
        <v/>
      </c>
      <c r="S45" s="7" t="str">
        <f t="shared" si="7"/>
        <v/>
      </c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 t="str">
        <f t="shared" si="1"/>
        <v/>
      </c>
      <c r="N46" s="7" t="str">
        <f t="shared" si="2"/>
        <v/>
      </c>
      <c r="O46" s="7" t="str">
        <f t="shared" si="3"/>
        <v/>
      </c>
      <c r="P46" s="7" t="str">
        <f t="shared" si="4"/>
        <v/>
      </c>
      <c r="Q46" s="7" t="str">
        <f t="shared" si="5"/>
        <v/>
      </c>
      <c r="R46" s="7" t="str">
        <f t="shared" si="6"/>
        <v/>
      </c>
      <c r="S46" s="7" t="str">
        <f t="shared" si="7"/>
        <v/>
      </c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 t="str">
        <f t="shared" si="1"/>
        <v/>
      </c>
      <c r="N47" s="7" t="str">
        <f t="shared" si="2"/>
        <v/>
      </c>
      <c r="O47" s="7" t="str">
        <f t="shared" si="3"/>
        <v/>
      </c>
      <c r="P47" s="7" t="str">
        <f t="shared" si="4"/>
        <v/>
      </c>
      <c r="Q47" s="7" t="str">
        <f t="shared" si="5"/>
        <v/>
      </c>
      <c r="R47" s="7" t="str">
        <f t="shared" si="6"/>
        <v/>
      </c>
      <c r="S47" s="7" t="str">
        <f t="shared" si="7"/>
        <v/>
      </c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 t="str">
        <f t="shared" si="1"/>
        <v/>
      </c>
      <c r="N48" s="7" t="str">
        <f t="shared" si="2"/>
        <v/>
      </c>
      <c r="O48" s="7" t="str">
        <f t="shared" si="3"/>
        <v/>
      </c>
      <c r="P48" s="7" t="str">
        <f t="shared" si="4"/>
        <v/>
      </c>
      <c r="Q48" s="7" t="str">
        <f t="shared" si="5"/>
        <v/>
      </c>
      <c r="R48" s="7" t="str">
        <f t="shared" si="6"/>
        <v/>
      </c>
      <c r="S48" s="7" t="str">
        <f t="shared" si="7"/>
        <v/>
      </c>
    </row>
    <row r="49" ht="15.75" customHeight="1">
      <c r="M49" s="7" t="str">
        <f t="shared" si="1"/>
        <v/>
      </c>
      <c r="N49" s="7" t="str">
        <f t="shared" si="2"/>
        <v/>
      </c>
      <c r="O49" s="7" t="str">
        <f t="shared" si="3"/>
        <v/>
      </c>
      <c r="P49" s="7" t="str">
        <f t="shared" si="4"/>
        <v/>
      </c>
      <c r="Q49" s="7" t="str">
        <f t="shared" si="5"/>
        <v/>
      </c>
      <c r="R49" s="7" t="str">
        <f t="shared" si="6"/>
        <v/>
      </c>
      <c r="S49" s="7" t="str">
        <f t="shared" si="7"/>
        <v/>
      </c>
    </row>
    <row r="50" ht="15.75" customHeight="1">
      <c r="M50" s="7" t="str">
        <f t="shared" si="1"/>
        <v/>
      </c>
      <c r="N50" s="7" t="str">
        <f t="shared" si="2"/>
        <v/>
      </c>
      <c r="O50" s="7" t="str">
        <f t="shared" si="3"/>
        <v/>
      </c>
      <c r="P50" s="7" t="str">
        <f t="shared" si="4"/>
        <v/>
      </c>
      <c r="Q50" s="7" t="str">
        <f t="shared" si="5"/>
        <v/>
      </c>
      <c r="R50" s="7" t="str">
        <f t="shared" si="6"/>
        <v/>
      </c>
      <c r="S50" s="7" t="str">
        <f t="shared" si="7"/>
        <v/>
      </c>
    </row>
    <row r="51" ht="15.75" customHeight="1">
      <c r="M51" s="7" t="str">
        <f t="shared" si="1"/>
        <v/>
      </c>
      <c r="N51" s="7" t="str">
        <f t="shared" si="2"/>
        <v/>
      </c>
      <c r="O51" s="7" t="str">
        <f t="shared" si="3"/>
        <v/>
      </c>
      <c r="P51" s="7" t="str">
        <f t="shared" si="4"/>
        <v/>
      </c>
      <c r="Q51" s="7" t="str">
        <f t="shared" si="5"/>
        <v/>
      </c>
      <c r="R51" s="7" t="str">
        <f t="shared" si="6"/>
        <v/>
      </c>
      <c r="S51" s="7" t="str">
        <f t="shared" si="7"/>
        <v/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R2:R51">
    <cfRule type="cellIs" dxfId="7" priority="1" operator="notEqual">
      <formula>"OK"</formula>
    </cfRule>
  </conditionalFormatting>
  <conditionalFormatting sqref="R2:R51">
    <cfRule type="cellIs" dxfId="9" priority="2" operator="equal">
      <formula>"OK"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8.43"/>
    <col customWidth="1" min="2" max="2" width="15.0"/>
    <col customWidth="1" min="3" max="3" width="11.0"/>
    <col customWidth="1" min="4" max="4" width="6.71"/>
    <col customWidth="1" min="5" max="5" width="15.71"/>
    <col customWidth="1" min="6" max="6" width="8.86"/>
    <col customWidth="1" min="7" max="7" width="12.29"/>
    <col customWidth="1" min="8" max="8" width="7.57"/>
    <col customWidth="1" min="9" max="9" width="8.29"/>
    <col customWidth="1" min="10" max="10" width="9.43"/>
    <col customWidth="1" min="11" max="11" width="10.29"/>
    <col customWidth="1" min="12" max="12" width="11.0"/>
    <col customWidth="1" min="13" max="13" width="12.14"/>
    <col customWidth="1" min="14" max="14" width="10.43"/>
    <col customWidth="1" min="15" max="15" width="9.29"/>
    <col customWidth="1" min="16" max="16" width="14.43"/>
    <col customWidth="1" min="17" max="17" width="17.0"/>
    <col customWidth="1" min="18" max="26" width="8.71"/>
  </cols>
  <sheetData>
    <row r="1">
      <c r="A1" s="6" t="s">
        <v>32</v>
      </c>
      <c r="B1" s="6" t="s">
        <v>20</v>
      </c>
      <c r="C1" s="6" t="s">
        <v>45</v>
      </c>
      <c r="D1" s="6" t="s">
        <v>46</v>
      </c>
      <c r="E1" s="6" t="s">
        <v>47</v>
      </c>
      <c r="F1" s="6" t="s">
        <v>10</v>
      </c>
      <c r="G1" s="6" t="s">
        <v>48</v>
      </c>
      <c r="H1" s="6" t="s">
        <v>11</v>
      </c>
      <c r="I1" s="6" t="s">
        <v>12</v>
      </c>
      <c r="J1" s="6" t="s">
        <v>13</v>
      </c>
      <c r="K1" s="6" t="s">
        <v>49</v>
      </c>
      <c r="L1" s="6" t="s">
        <v>50</v>
      </c>
      <c r="M1" s="6" t="s">
        <v>51</v>
      </c>
      <c r="N1" s="6" t="s">
        <v>52</v>
      </c>
      <c r="O1" s="6" t="s">
        <v>53</v>
      </c>
      <c r="P1" s="6" t="s">
        <v>54</v>
      </c>
      <c r="Q1" s="6" t="s">
        <v>55</v>
      </c>
    </row>
    <row r="2">
      <c r="A2" s="7" t="str">
        <f t="array" ref="A2">IFERROR(IF(INDEX(Entries!$C$2:$C$48,1)="","",INDEX(Entries!$Q$2:$Q$48,1)),"")</f>
        <v>Brad_Hagstrom_Brad Hagstrom</v>
      </c>
      <c r="B2" s="7" t="str">
        <f t="array" ref="B2">IF(A2="","",IFERROR(INDEX(Entries!$E$2:$E$48,1),""))</f>
        <v>Brad Hagstrom</v>
      </c>
      <c r="C2" s="7" t="str">
        <f>IF(A2="","","Tier1_Pick1")</f>
        <v>Tier1_Pick1</v>
      </c>
      <c r="D2" s="7">
        <f>IF(A2="","",1)</f>
        <v>1</v>
      </c>
      <c r="E2" s="7" t="str">
        <f t="array" ref="E2">IF(A2="","",IFERROR(INDEX(Entries!$F$2:$F$48,1),""))</f>
        <v>United States</v>
      </c>
      <c r="F2" s="7" t="str">
        <f t="array" ref="F2">IF(E2="","",IFERROR(XLOOKUP(E2,Countries!$A$2:$A$72,Countries!$B$2:$B$72,"???"),"???"))</f>
        <v>USA</v>
      </c>
      <c r="G2" s="7">
        <f t="array" ref="G2">IF(E2="",0,IFERROR(XLOOKUP(E2,Countries!$A$2:$A$72,Countries!$E$2:$E$72,0),0))</f>
        <v>1</v>
      </c>
      <c r="H2" s="7">
        <f t="array" ref="H2">IF(E2="",0,IFERROR(XLOOKUP(E2,Medals!$B$2:$B$51,Medals!$D$2:$D$51,0),0))</f>
        <v>6</v>
      </c>
      <c r="I2" s="7">
        <f t="array" ref="I2">IF(E2="",0,IFERROR(XLOOKUP(E2,Medals!$B$2:$B$51,Medals!$E$2:$E$51,0),0))</f>
        <v>8</v>
      </c>
      <c r="J2" s="7">
        <f t="array" ref="J2">IF(E2="",0,IFERROR(XLOOKUP(E2,Medals!$B$2:$B$51,Medals!$F$2:$F$51,0),0))</f>
        <v>7</v>
      </c>
      <c r="K2" s="7">
        <f>H2*GoldPoints*G2</f>
        <v>18</v>
      </c>
      <c r="L2" s="7">
        <f>I2*SilverPoints*G2</f>
        <v>16</v>
      </c>
      <c r="M2" s="7">
        <f>J2*BronzePoints*G2</f>
        <v>7</v>
      </c>
      <c r="N2" s="7">
        <f t="shared" ref="N2:N401" si="1">K2+L2+M2</f>
        <v>41</v>
      </c>
      <c r="O2" s="7" t="b">
        <f t="array" ref="O2">IF(E2="",FALSE,IFERROR(AND(ISNUMBER(MATCH(E2,Countries!$A$2:$A$72,0)),XLOOKUP(E2,Countries!$A$2:$A$72,Countries!$I$2:$I$72,FALSE)),FALSE))</f>
        <v>1</v>
      </c>
      <c r="P2" s="7" t="b">
        <f t="array" ref="P2">IF(E2="",FALSE,IFERROR(XLOOKUP(E2,Countries!$A$2:$A$72,Countries!$G$2:$G$72,FALSE),FALSE))</f>
        <v>1</v>
      </c>
      <c r="Q2" s="7" t="str">
        <f t="shared" ref="Q2:Q401" si="2">IF(P2,"","⚪")</f>
        <v/>
      </c>
    </row>
    <row r="3">
      <c r="A3" s="7" t="str">
        <f t="array" ref="A3">IFERROR(IF(INDEX(Entries!$C$2:$C$48,1)="","",INDEX(Entries!$Q$2:$Q$48,1)),"")</f>
        <v>Brad_Hagstrom_Brad Hagstrom</v>
      </c>
      <c r="B3" s="7" t="str">
        <f t="array" ref="B3">IF(A3="","",IFERROR(INDEX(Entries!$E$2:$E$48,1),""))</f>
        <v>Brad Hagstrom</v>
      </c>
      <c r="C3" s="7" t="str">
        <f>IF(A3="","","Tier2_Pick1")</f>
        <v>Tier2_Pick1</v>
      </c>
      <c r="D3" s="7">
        <f t="shared" ref="D3:D4" si="3">IF(A3="","",2)</f>
        <v>2</v>
      </c>
      <c r="E3" s="7" t="str">
        <f t="array" ref="E3">IF(A3="","",IFERROR(INDEX(Entries!$M$2:$M$48,1),""))</f>
        <v>France</v>
      </c>
      <c r="F3" s="7" t="str">
        <f t="array" ref="F3">IF(E3="","",IFERROR(XLOOKUP(E3,Countries!$A$2:$A$72,Countries!$B$2:$B$72,"???"),"???"))</f>
        <v>FRA</v>
      </c>
      <c r="G3" s="7">
        <f t="array" ref="G3">IF(E3="",0,IFERROR(XLOOKUP(E3,Countries!$A$2:$A$72,Countries!$E$2:$E$72,0),0))</f>
        <v>2</v>
      </c>
      <c r="H3" s="7">
        <f t="array" ref="H3">IF(E3="",0,IFERROR(XLOOKUP(E3,Medals!$B$2:$B$51,Medals!$D$2:$D$51,0),0))</f>
        <v>3</v>
      </c>
      <c r="I3" s="7">
        <f t="array" ref="I3">IF(E3="",0,IFERROR(XLOOKUP(E3,Medals!$B$2:$B$51,Medals!$E$2:$E$51,0),0))</f>
        <v>4</v>
      </c>
      <c r="J3" s="7">
        <f t="array" ref="J3">IF(E3="",0,IFERROR(XLOOKUP(E3,Medals!$B$2:$B$51,Medals!$F$2:$F$51,0),0))</f>
        <v>2</v>
      </c>
      <c r="K3" s="7">
        <f>H3*GoldPoints*G3</f>
        <v>18</v>
      </c>
      <c r="L3" s="7">
        <f>I3*SilverPoints*G3</f>
        <v>16</v>
      </c>
      <c r="M3" s="7">
        <f>J3*BronzePoints*G3</f>
        <v>4</v>
      </c>
      <c r="N3" s="7">
        <f t="shared" si="1"/>
        <v>38</v>
      </c>
      <c r="O3" s="7" t="b">
        <f t="array" ref="O3">IF(E3="",FALSE,IFERROR(AND(ISNUMBER(MATCH(E3,Countries!$A$2:$A$72,0)),XLOOKUP(E3,Countries!$A$2:$A$72,Countries!$I$2:$I$72,FALSE)),FALSE))</f>
        <v>1</v>
      </c>
      <c r="P3" s="7" t="b">
        <f t="array" ref="P3">IF(E3="",FALSE,IFERROR(XLOOKUP(E3,Countries!$A$2:$A$72,Countries!$G$2:$G$72,FALSE),FALSE))</f>
        <v>1</v>
      </c>
      <c r="Q3" s="7" t="str">
        <f t="shared" si="2"/>
        <v/>
      </c>
    </row>
    <row r="4">
      <c r="A4" s="7" t="str">
        <f t="array" ref="A4">IFERROR(IF(INDEX(Entries!$C$2:$C$48,1)="","",INDEX(Entries!$Q$2:$Q$48,1)),"")</f>
        <v>Brad_Hagstrom_Brad Hagstrom</v>
      </c>
      <c r="B4" s="7" t="str">
        <f t="array" ref="B4">IF(A4="","",IFERROR(INDEX(Entries!$E$2:$E$48,1),""))</f>
        <v>Brad Hagstrom</v>
      </c>
      <c r="C4" s="7" t="str">
        <f>IF(A4="","","Tier2_Pick2")</f>
        <v>Tier2_Pick2</v>
      </c>
      <c r="D4" s="7">
        <f t="shared" si="3"/>
        <v>2</v>
      </c>
      <c r="E4" s="7" t="str">
        <f t="array" ref="E4">IF(A4="","",IFERROR(INDEX(Entries!$N$2:$N$48,1),""))</f>
        <v>South Korea</v>
      </c>
      <c r="F4" s="7" t="str">
        <f t="array" ref="F4">IF(E4="","",IFERROR(XLOOKUP(E4,Countries!$A$2:$A$72,Countries!$B$2:$B$72,"???"),"???"))</f>
        <v>KOR</v>
      </c>
      <c r="G4" s="7">
        <f t="array" ref="G4">IF(E4="",0,IFERROR(XLOOKUP(E4,Countries!$A$2:$A$72,Countries!$E$2:$E$72,0),0))</f>
        <v>2</v>
      </c>
      <c r="H4" s="7">
        <f t="array" ref="H4">IF(E4="",0,IFERROR(XLOOKUP(E4,Medals!$B$2:$B$51,Medals!$D$2:$D$51,0),0))</f>
        <v>2</v>
      </c>
      <c r="I4" s="7">
        <f t="array" ref="I4">IF(E4="",0,IFERROR(XLOOKUP(E4,Medals!$B$2:$B$51,Medals!$E$2:$E$51,0),0))</f>
        <v>3</v>
      </c>
      <c r="J4" s="7">
        <f t="array" ref="J4">IF(E4="",0,IFERROR(XLOOKUP(E4,Medals!$B$2:$B$51,Medals!$F$2:$F$51,0),0))</f>
        <v>2</v>
      </c>
      <c r="K4" s="7">
        <f>H4*GoldPoints*G4</f>
        <v>12</v>
      </c>
      <c r="L4" s="7">
        <f>I4*SilverPoints*G4</f>
        <v>12</v>
      </c>
      <c r="M4" s="7">
        <f>J4*BronzePoints*G4</f>
        <v>4</v>
      </c>
      <c r="N4" s="7">
        <f t="shared" si="1"/>
        <v>28</v>
      </c>
      <c r="O4" s="7" t="b">
        <f t="array" ref="O4">IF(E4="",FALSE,IFERROR(AND(ISNUMBER(MATCH(E4,Countries!$A$2:$A$72,0)),XLOOKUP(E4,Countries!$A$2:$A$72,Countries!$I$2:$I$72,FALSE)),FALSE))</f>
        <v>1</v>
      </c>
      <c r="P4" s="7" t="b">
        <f t="array" ref="P4">IF(E4="",FALSE,IFERROR(XLOOKUP(E4,Countries!$A$2:$A$72,Countries!$G$2:$G$72,FALSE),FALSE))</f>
        <v>1</v>
      </c>
      <c r="Q4" s="7" t="str">
        <f t="shared" si="2"/>
        <v/>
      </c>
    </row>
    <row r="5">
      <c r="A5" s="7" t="str">
        <f t="array" ref="A5">IFERROR(IF(INDEX(Entries!$C$2:$C$48,1)="","",INDEX(Entries!$Q$2:$Q$48,1)),"")</f>
        <v>Brad_Hagstrom_Brad Hagstrom</v>
      </c>
      <c r="B5" s="7" t="str">
        <f t="array" ref="B5">IF(A5="","",IFERROR(INDEX(Entries!$E$2:$E$48,1),""))</f>
        <v>Brad Hagstrom</v>
      </c>
      <c r="C5" s="7" t="str">
        <f>IF(A5="","","Tier3_Pick1")</f>
        <v>Tier3_Pick1</v>
      </c>
      <c r="D5" s="7">
        <f>IF(A5="","",3)</f>
        <v>3</v>
      </c>
      <c r="E5" s="7" t="str">
        <f t="array" ref="E5">IF(A5="","",IFERROR(INDEX(Entries!$H$2:$H$48,1),""))</f>
        <v>China</v>
      </c>
      <c r="F5" s="7" t="str">
        <f t="array" ref="F5">IF(E5="","",IFERROR(XLOOKUP(E5,Countries!$A$2:$A$72,Countries!$B$2:$B$72,"???"),"???"))</f>
        <v>CHN</v>
      </c>
      <c r="G5" s="7">
        <f t="array" ref="G5">IF(E5="",0,IFERROR(XLOOKUP(E5,Countries!$A$2:$A$72,Countries!$E$2:$E$72,0),0))</f>
        <v>3</v>
      </c>
      <c r="H5" s="7">
        <f t="array" ref="H5">IF(E5="",0,IFERROR(XLOOKUP(E5,Medals!$B$2:$B$51,Medals!$D$2:$D$51,0),0))</f>
        <v>3</v>
      </c>
      <c r="I5" s="7">
        <f t="array" ref="I5">IF(E5="",0,IFERROR(XLOOKUP(E5,Medals!$B$2:$B$51,Medals!$E$2:$E$51,0),0))</f>
        <v>2</v>
      </c>
      <c r="J5" s="7">
        <f t="array" ref="J5">IF(E5="",0,IFERROR(XLOOKUP(E5,Medals!$B$2:$B$51,Medals!$F$2:$F$51,0),0))</f>
        <v>4</v>
      </c>
      <c r="K5" s="7">
        <f>H5*GoldPoints*G5</f>
        <v>27</v>
      </c>
      <c r="L5" s="7">
        <f>I5*SilverPoints*G5</f>
        <v>12</v>
      </c>
      <c r="M5" s="7">
        <f>J5*BronzePoints*G5</f>
        <v>12</v>
      </c>
      <c r="N5" s="7">
        <f t="shared" si="1"/>
        <v>51</v>
      </c>
      <c r="O5" s="7" t="b">
        <f t="array" ref="O5">IF(E5="",FALSE,IFERROR(AND(ISNUMBER(MATCH(E5,Countries!$A$2:$A$72,0)),XLOOKUP(E5,Countries!$A$2:$A$72,Countries!$I$2:$I$72,FALSE)),FALSE))</f>
        <v>1</v>
      </c>
      <c r="P5" s="7" t="b">
        <f t="array" ref="P5">IF(E5="",FALSE,IFERROR(XLOOKUP(E5,Countries!$A$2:$A$72,Countries!$G$2:$G$72,FALSE),FALSE))</f>
        <v>1</v>
      </c>
      <c r="Q5" s="7" t="str">
        <f t="shared" si="2"/>
        <v/>
      </c>
    </row>
    <row r="6">
      <c r="A6" s="7" t="str">
        <f t="array" ref="A6">IFERROR(IF(INDEX(Entries!$C$2:$C$48,1)="","",INDEX(Entries!$Q$2:$Q$48,1)),"")</f>
        <v>Brad_Hagstrom_Brad Hagstrom</v>
      </c>
      <c r="B6" s="7" t="str">
        <f t="array" ref="B6">IF(A6="","",IFERROR(INDEX(Entries!$E$2:$E$48,1),""))</f>
        <v>Brad Hagstrom</v>
      </c>
      <c r="C6" s="7" t="str">
        <f>IF(A6="","","Tier4_Pick1")</f>
        <v>Tier4_Pick1</v>
      </c>
      <c r="D6" s="7">
        <f>IF(A6="","",4)</f>
        <v>4</v>
      </c>
      <c r="E6" s="7" t="str">
        <f t="array" ref="E6">IF(A6="","",IFERROR(INDEX(Entries!$I$2:$I$48,1),""))</f>
        <v>Finland</v>
      </c>
      <c r="F6" s="7" t="str">
        <f t="array" ref="F6">IF(E6="","",IFERROR(XLOOKUP(E6,Countries!$A$2:$A$72,Countries!$B$2:$B$72,"???"),"???"))</f>
        <v>FIN</v>
      </c>
      <c r="G6" s="7">
        <f t="array" ref="G6">IF(E6="",0,IFERROR(XLOOKUP(E6,Countries!$A$2:$A$72,Countries!$E$2:$E$72,0),0))</f>
        <v>6</v>
      </c>
      <c r="H6" s="7">
        <f t="array" ref="H6">IF(E6="",0,IFERROR(XLOOKUP(E6,Medals!$B$2:$B$51,Medals!$D$2:$D$51,0),0))</f>
        <v>2</v>
      </c>
      <c r="I6" s="7">
        <f t="array" ref="I6">IF(E6="",0,IFERROR(XLOOKUP(E6,Medals!$B$2:$B$51,Medals!$E$2:$E$51,0),0))</f>
        <v>2</v>
      </c>
      <c r="J6" s="7">
        <f t="array" ref="J6">IF(E6="",0,IFERROR(XLOOKUP(E6,Medals!$B$2:$B$51,Medals!$F$2:$F$51,0),0))</f>
        <v>3</v>
      </c>
      <c r="K6" s="7">
        <f>H6*GoldPoints*G6</f>
        <v>36</v>
      </c>
      <c r="L6" s="7">
        <f>I6*SilverPoints*G6</f>
        <v>24</v>
      </c>
      <c r="M6" s="7">
        <f>J6*BronzePoints*G6</f>
        <v>18</v>
      </c>
      <c r="N6" s="7">
        <f t="shared" si="1"/>
        <v>78</v>
      </c>
      <c r="O6" s="7" t="b">
        <f t="array" ref="O6">IF(E6="",FALSE,IFERROR(AND(ISNUMBER(MATCH(E6,Countries!$A$2:$A$72,0)),XLOOKUP(E6,Countries!$A$2:$A$72,Countries!$I$2:$I$72,FALSE)),FALSE))</f>
        <v>1</v>
      </c>
      <c r="P6" s="7" t="b">
        <f t="array" ref="P6">IF(E6="",FALSE,IFERROR(XLOOKUP(E6,Countries!$A$2:$A$72,Countries!$G$2:$G$72,FALSE),FALSE))</f>
        <v>1</v>
      </c>
      <c r="Q6" s="7" t="str">
        <f t="shared" si="2"/>
        <v/>
      </c>
    </row>
    <row r="7">
      <c r="A7" s="7" t="str">
        <f t="array" ref="A7">IFERROR(IF(INDEX(Entries!$C$2:$C$48,1)="","",INDEX(Entries!$Q$2:$Q$48,1)),"")</f>
        <v>Brad_Hagstrom_Brad Hagstrom</v>
      </c>
      <c r="B7" s="7" t="str">
        <f t="array" ref="B7">IF(A7="","",IFERROR(INDEX(Entries!$E$2:$E$48,1),""))</f>
        <v>Brad Hagstrom</v>
      </c>
      <c r="C7" s="7" t="str">
        <f>IF(A7="","","Tier5_Pick1")</f>
        <v>Tier5_Pick1</v>
      </c>
      <c r="D7" s="7">
        <f>IF(A7="","",5)</f>
        <v>5</v>
      </c>
      <c r="E7" s="7" t="str">
        <f t="array" ref="E7">IF(A7="","",IFERROR(INDEX(Entries!$J$2:$J$48,1),""))</f>
        <v>Great Britain</v>
      </c>
      <c r="F7" s="7" t="str">
        <f t="array" ref="F7">IF(E7="","",IFERROR(XLOOKUP(E7,Countries!$A$2:$A$72,Countries!$B$2:$B$72,"???"),"???"))</f>
        <v>GBR</v>
      </c>
      <c r="G7" s="7">
        <f t="array" ref="G7">IF(E7="",0,IFERROR(XLOOKUP(E7,Countries!$A$2:$A$72,Countries!$E$2:$E$72,0),0))</f>
        <v>10</v>
      </c>
      <c r="H7" s="7">
        <f t="array" ref="H7">IF(E7="",0,IFERROR(XLOOKUP(E7,Medals!$B$2:$B$51,Medals!$D$2:$D$51,0),0))</f>
        <v>1</v>
      </c>
      <c r="I7" s="7">
        <f t="array" ref="I7">IF(E7="",0,IFERROR(XLOOKUP(E7,Medals!$B$2:$B$51,Medals!$E$2:$E$51,0),0))</f>
        <v>1</v>
      </c>
      <c r="J7" s="7">
        <f t="array" ref="J7">IF(E7="",0,IFERROR(XLOOKUP(E7,Medals!$B$2:$B$51,Medals!$F$2:$F$51,0),0))</f>
        <v>1</v>
      </c>
      <c r="K7" s="7">
        <f>H7*GoldPoints*G7</f>
        <v>30</v>
      </c>
      <c r="L7" s="7">
        <f>I7*SilverPoints*G7</f>
        <v>20</v>
      </c>
      <c r="M7" s="7">
        <f>J7*BronzePoints*G7</f>
        <v>10</v>
      </c>
      <c r="N7" s="7">
        <f t="shared" si="1"/>
        <v>60</v>
      </c>
      <c r="O7" s="7" t="b">
        <f t="array" ref="O7">IF(E7="",FALSE,IFERROR(AND(ISNUMBER(MATCH(E7,Countries!$A$2:$A$72,0)),XLOOKUP(E7,Countries!$A$2:$A$72,Countries!$I$2:$I$72,FALSE)),FALSE))</f>
        <v>1</v>
      </c>
      <c r="P7" s="7" t="b">
        <f t="array" ref="P7">IF(E7="",FALSE,IFERROR(XLOOKUP(E7,Countries!$A$2:$A$72,Countries!$G$2:$G$72,FALSE),FALSE))</f>
        <v>1</v>
      </c>
      <c r="Q7" s="7" t="str">
        <f t="shared" si="2"/>
        <v/>
      </c>
    </row>
    <row r="8">
      <c r="A8" s="7" t="str">
        <f t="array" ref="A8">IFERROR(IF(INDEX(Entries!$C$2:$C$48,1)="","",INDEX(Entries!$Q$2:$Q$48,1)),"")</f>
        <v>Brad_Hagstrom_Brad Hagstrom</v>
      </c>
      <c r="B8" s="7" t="str">
        <f t="array" ref="B8">IF(A8="","",IFERROR(INDEX(Entries!$E$2:$E$48,1),""))</f>
        <v>Brad Hagstrom</v>
      </c>
      <c r="C8" s="7" t="str">
        <f>IF(A8="","","Tier6_Pick1")</f>
        <v>Tier6_Pick1</v>
      </c>
      <c r="D8" s="7">
        <f t="shared" ref="D8:D9" si="4">IF(A8="","",6)</f>
        <v>6</v>
      </c>
      <c r="E8" s="7" t="str">
        <f t="array" ref="E8">IF(A8="","",IFERROR(INDEX(Entries!$O$2:$O$48,1),""))</f>
        <v>Belgium</v>
      </c>
      <c r="F8" s="7" t="str">
        <f t="array" ref="F8">IF(E8="","",IFERROR(XLOOKUP(E8,Countries!$A$2:$A$72,Countries!$B$2:$B$72,"???"),"???"))</f>
        <v>BEL</v>
      </c>
      <c r="G8" s="7">
        <f t="array" ref="G8">IF(E8="",0,IFERROR(XLOOKUP(E8,Countries!$A$2:$A$72,Countries!$E$2:$E$72,0),0))</f>
        <v>20</v>
      </c>
      <c r="H8" s="7">
        <f t="array" ref="H8">IF(E8="",0,IFERROR(XLOOKUP(E8,Medals!$B$2:$B$51,Medals!$D$2:$D$51,0),0))</f>
        <v>0</v>
      </c>
      <c r="I8" s="7">
        <f t="array" ref="I8">IF(E8="",0,IFERROR(XLOOKUP(E8,Medals!$B$2:$B$51,Medals!$E$2:$E$51,0),0))</f>
        <v>0</v>
      </c>
      <c r="J8" s="7">
        <f t="array" ref="J8">IF(E8="",0,IFERROR(XLOOKUP(E8,Medals!$B$2:$B$51,Medals!$F$2:$F$51,0),0))</f>
        <v>0</v>
      </c>
      <c r="K8" s="7">
        <f>H8*GoldPoints*G8</f>
        <v>0</v>
      </c>
      <c r="L8" s="7">
        <f>I8*SilverPoints*G8</f>
        <v>0</v>
      </c>
      <c r="M8" s="7">
        <f>J8*BronzePoints*G8</f>
        <v>0</v>
      </c>
      <c r="N8" s="7">
        <f t="shared" si="1"/>
        <v>0</v>
      </c>
      <c r="O8" s="7" t="b">
        <f t="array" ref="O8">IF(E8="",FALSE,IFERROR(AND(ISNUMBER(MATCH(E8,Countries!$A$2:$A$72,0)),XLOOKUP(E8,Countries!$A$2:$A$72,Countries!$I$2:$I$72,FALSE)),FALSE))</f>
        <v>1</v>
      </c>
      <c r="P8" s="7" t="b">
        <f t="array" ref="P8">IF(E8="",FALSE,IFERROR(XLOOKUP(E8,Countries!$A$2:$A$72,Countries!$G$2:$G$72,FALSE),FALSE))</f>
        <v>1</v>
      </c>
      <c r="Q8" s="7" t="str">
        <f t="shared" si="2"/>
        <v/>
      </c>
    </row>
    <row r="9">
      <c r="A9" s="7" t="str">
        <f t="array" ref="A9">IFERROR(IF(INDEX(Entries!$C$2:$C$48,1)="","",INDEX(Entries!$Q$2:$Q$48,1)),"")</f>
        <v>Brad_Hagstrom_Brad Hagstrom</v>
      </c>
      <c r="B9" s="7" t="str">
        <f t="array" ref="B9">IF(A9="","",IFERROR(INDEX(Entries!$E$2:$E$48,1),""))</f>
        <v>Brad Hagstrom</v>
      </c>
      <c r="C9" s="7" t="str">
        <f>IF(A9="","","Tier6_Pick2")</f>
        <v>Tier6_Pick2</v>
      </c>
      <c r="D9" s="7">
        <f t="shared" si="4"/>
        <v>6</v>
      </c>
      <c r="E9" s="7" t="str">
        <f t="array" ref="E9">IF(A9="","",IFERROR(INDEX(Entries!$P$2:$P$48,1),""))</f>
        <v>âšª Benin</v>
      </c>
      <c r="F9" s="7" t="str">
        <f t="array" ref="F9">IF(E9="","",IFERROR(XLOOKUP(E9,Countries!$A$2:$A$72,Countries!$B$2:$B$72,"???"),"???"))</f>
        <v>???</v>
      </c>
      <c r="G9" s="7">
        <f t="array" ref="G9">IF(E9="",0,IFERROR(XLOOKUP(E9,Countries!$A$2:$A$72,Countries!$E$2:$E$72,0),0))</f>
        <v>0</v>
      </c>
      <c r="H9" s="7">
        <f t="array" ref="H9">IF(E9="",0,IFERROR(XLOOKUP(E9,Medals!$B$2:$B$51,Medals!$D$2:$D$51,0),0))</f>
        <v>0</v>
      </c>
      <c r="I9" s="7">
        <f t="array" ref="I9">IF(E9="",0,IFERROR(XLOOKUP(E9,Medals!$B$2:$B$51,Medals!$E$2:$E$51,0),0))</f>
        <v>0</v>
      </c>
      <c r="J9" s="7">
        <f t="array" ref="J9">IF(E9="",0,IFERROR(XLOOKUP(E9,Medals!$B$2:$B$51,Medals!$F$2:$F$51,0),0))</f>
        <v>0</v>
      </c>
      <c r="K9" s="7">
        <f>H9*GoldPoints*G9</f>
        <v>0</v>
      </c>
      <c r="L9" s="7">
        <f>I9*SilverPoints*G9</f>
        <v>0</v>
      </c>
      <c r="M9" s="7">
        <f>J9*BronzePoints*G9</f>
        <v>0</v>
      </c>
      <c r="N9" s="7">
        <f t="shared" si="1"/>
        <v>0</v>
      </c>
      <c r="O9" s="7" t="b">
        <f t="array" ref="O9">IF(E9="",FALSE,IFERROR(AND(ISNUMBER(MATCH(E9,Countries!$A$2:$A$72,0)),XLOOKUP(E9,Countries!$A$2:$A$72,Countries!$I$2:$I$72,FALSE)),FALSE))</f>
        <v>0</v>
      </c>
      <c r="P9" s="7" t="b">
        <f t="array" ref="P9">IF(E9="",FALSE,IFERROR(XLOOKUP(E9,Countries!$A$2:$A$72,Countries!$G$2:$G$72,FALSE),FALSE))</f>
        <v>0</v>
      </c>
      <c r="Q9" s="7" t="str">
        <f t="shared" si="2"/>
        <v>⚪</v>
      </c>
    </row>
    <row r="10">
      <c r="A10" s="7" t="str">
        <f t="array" ref="A10">IFERROR(IF(INDEX(Entries!$C$2:$C$48,2)="","",INDEX(Entries!$Q$2:$Q$48,2)),"")</f>
        <v/>
      </c>
      <c r="B10" s="7" t="str">
        <f t="array" ref="B10">IF(A10="","",IFERROR(INDEX(Entries!$E$2:$E$48,2),""))</f>
        <v/>
      </c>
      <c r="C10" s="7" t="str">
        <f>IF(A10="","","Tier1_Pick1")</f>
        <v/>
      </c>
      <c r="D10" s="7" t="str">
        <f>IF(A10="","",1)</f>
        <v/>
      </c>
      <c r="E10" s="7" t="str">
        <f t="array" ref="E10">IF(A10="","",IFERROR(INDEX(Entries!$F$2:$F$48,2),""))</f>
        <v/>
      </c>
      <c r="F10" s="7" t="str">
        <f t="array" ref="F10">IF(E10="","",IFERROR(XLOOKUP(E10,Countries!$A$2:$A$72,Countries!$B$2:$B$72,"???"),"???"))</f>
        <v/>
      </c>
      <c r="G10" s="7">
        <f t="array" ref="G10">IF(E10="",0,IFERROR(XLOOKUP(E10,Countries!$A$2:$A$72,Countries!$E$2:$E$72,0),0))</f>
        <v>0</v>
      </c>
      <c r="H10" s="7">
        <f t="array" ref="H10">IF(E10="",0,IFERROR(XLOOKUP(E10,Medals!$B$2:$B$51,Medals!$D$2:$D$51,0),0))</f>
        <v>0</v>
      </c>
      <c r="I10" s="7">
        <f t="array" ref="I10">IF(E10="",0,IFERROR(XLOOKUP(E10,Medals!$B$2:$B$51,Medals!$E$2:$E$51,0),0))</f>
        <v>0</v>
      </c>
      <c r="J10" s="7">
        <f t="array" ref="J10">IF(E10="",0,IFERROR(XLOOKUP(E10,Medals!$B$2:$B$51,Medals!$F$2:$F$51,0),0))</f>
        <v>0</v>
      </c>
      <c r="K10" s="7">
        <f>H10*GoldPoints*G10</f>
        <v>0</v>
      </c>
      <c r="L10" s="7">
        <f>I10*SilverPoints*G10</f>
        <v>0</v>
      </c>
      <c r="M10" s="7">
        <f>J10*BronzePoints*G10</f>
        <v>0</v>
      </c>
      <c r="N10" s="7">
        <f t="shared" si="1"/>
        <v>0</v>
      </c>
      <c r="O10" s="7" t="b">
        <f t="array" ref="O10">IF(E10="",FALSE,IFERROR(AND(ISNUMBER(MATCH(E10,Countries!$A$2:$A$72,0)),XLOOKUP(E10,Countries!$A$2:$A$72,Countries!$I$2:$I$72,FALSE)),FALSE))</f>
        <v>0</v>
      </c>
      <c r="P10" s="7" t="b">
        <f t="array" ref="P10">IF(E10="",FALSE,IFERROR(XLOOKUP(E10,Countries!$A$2:$A$72,Countries!$G$2:$G$72,FALSE),FALSE))</f>
        <v>0</v>
      </c>
      <c r="Q10" s="7" t="str">
        <f t="shared" si="2"/>
        <v>⚪</v>
      </c>
    </row>
    <row r="11">
      <c r="A11" s="7" t="str">
        <f t="array" ref="A11">IFERROR(IF(INDEX(Entries!$C$2:$C$48,2)="","",INDEX(Entries!$Q$2:$Q$48,2)),"")</f>
        <v/>
      </c>
      <c r="B11" s="7" t="str">
        <f t="array" ref="B11">IF(A11="","",IFERROR(INDEX(Entries!$E$2:$E$48,2),""))</f>
        <v/>
      </c>
      <c r="C11" s="7" t="str">
        <f>IF(A11="","","Tier2_Pick1")</f>
        <v/>
      </c>
      <c r="D11" s="7" t="str">
        <f t="shared" ref="D11:D12" si="5">IF(A11="","",2)</f>
        <v/>
      </c>
      <c r="E11" s="7" t="str">
        <f t="array" ref="E11">IF(A11="","",IFERROR(INDEX(Entries!$M$2:$M$48,2),""))</f>
        <v/>
      </c>
      <c r="F11" s="7" t="str">
        <f t="array" ref="F11">IF(E11="","",IFERROR(XLOOKUP(E11,Countries!$A$2:$A$72,Countries!$B$2:$B$72,"???"),"???"))</f>
        <v/>
      </c>
      <c r="G11" s="7">
        <f t="array" ref="G11">IF(E11="",0,IFERROR(XLOOKUP(E11,Countries!$A$2:$A$72,Countries!$E$2:$E$72,0),0))</f>
        <v>0</v>
      </c>
      <c r="H11" s="7">
        <f t="array" ref="H11">IF(E11="",0,IFERROR(XLOOKUP(E11,Medals!$B$2:$B$51,Medals!$D$2:$D$51,0),0))</f>
        <v>0</v>
      </c>
      <c r="I11" s="7">
        <f t="array" ref="I11">IF(E11="",0,IFERROR(XLOOKUP(E11,Medals!$B$2:$B$51,Medals!$E$2:$E$51,0),0))</f>
        <v>0</v>
      </c>
      <c r="J11" s="7">
        <f t="array" ref="J11">IF(E11="",0,IFERROR(XLOOKUP(E11,Medals!$B$2:$B$51,Medals!$F$2:$F$51,0),0))</f>
        <v>0</v>
      </c>
      <c r="K11" s="7">
        <f>H11*GoldPoints*G11</f>
        <v>0</v>
      </c>
      <c r="L11" s="7">
        <f>I11*SilverPoints*G11</f>
        <v>0</v>
      </c>
      <c r="M11" s="7">
        <f>J11*BronzePoints*G11</f>
        <v>0</v>
      </c>
      <c r="N11" s="7">
        <f t="shared" si="1"/>
        <v>0</v>
      </c>
      <c r="O11" s="7" t="b">
        <f t="array" ref="O11">IF(E11="",FALSE,IFERROR(AND(ISNUMBER(MATCH(E11,Countries!$A$2:$A$72,0)),XLOOKUP(E11,Countries!$A$2:$A$72,Countries!$I$2:$I$72,FALSE)),FALSE))</f>
        <v>0</v>
      </c>
      <c r="P11" s="7" t="b">
        <f t="array" ref="P11">IF(E11="",FALSE,IFERROR(XLOOKUP(E11,Countries!$A$2:$A$72,Countries!$G$2:$G$72,FALSE),FALSE))</f>
        <v>0</v>
      </c>
      <c r="Q11" s="7" t="str">
        <f t="shared" si="2"/>
        <v>⚪</v>
      </c>
    </row>
    <row r="12">
      <c r="A12" s="7" t="str">
        <f t="array" ref="A12">IFERROR(IF(INDEX(Entries!$C$2:$C$48,2)="","",INDEX(Entries!$Q$2:$Q$48,2)),"")</f>
        <v/>
      </c>
      <c r="B12" s="7" t="str">
        <f t="array" ref="B12">IF(A12="","",IFERROR(INDEX(Entries!$E$2:$E$48,2),""))</f>
        <v/>
      </c>
      <c r="C12" s="7" t="str">
        <f>IF(A12="","","Tier2_Pick2")</f>
        <v/>
      </c>
      <c r="D12" s="7" t="str">
        <f t="shared" si="5"/>
        <v/>
      </c>
      <c r="E12" s="7" t="str">
        <f t="array" ref="E12">IF(A12="","",IFERROR(INDEX(Entries!$N$2:$N$48,2),""))</f>
        <v/>
      </c>
      <c r="F12" s="7" t="str">
        <f t="array" ref="F12">IF(E12="","",IFERROR(XLOOKUP(E12,Countries!$A$2:$A$72,Countries!$B$2:$B$72,"???"),"???"))</f>
        <v/>
      </c>
      <c r="G12" s="7">
        <f t="array" ref="G12">IF(E12="",0,IFERROR(XLOOKUP(E12,Countries!$A$2:$A$72,Countries!$E$2:$E$72,0),0))</f>
        <v>0</v>
      </c>
      <c r="H12" s="7">
        <f t="array" ref="H12">IF(E12="",0,IFERROR(XLOOKUP(E12,Medals!$B$2:$B$51,Medals!$D$2:$D$51,0),0))</f>
        <v>0</v>
      </c>
      <c r="I12" s="7">
        <f t="array" ref="I12">IF(E12="",0,IFERROR(XLOOKUP(E12,Medals!$B$2:$B$51,Medals!$E$2:$E$51,0),0))</f>
        <v>0</v>
      </c>
      <c r="J12" s="7">
        <f t="array" ref="J12">IF(E12="",0,IFERROR(XLOOKUP(E12,Medals!$B$2:$B$51,Medals!$F$2:$F$51,0),0))</f>
        <v>0</v>
      </c>
      <c r="K12" s="7">
        <f>H12*GoldPoints*G12</f>
        <v>0</v>
      </c>
      <c r="L12" s="7">
        <f>I12*SilverPoints*G12</f>
        <v>0</v>
      </c>
      <c r="M12" s="7">
        <f>J12*BronzePoints*G12</f>
        <v>0</v>
      </c>
      <c r="N12" s="7">
        <f t="shared" si="1"/>
        <v>0</v>
      </c>
      <c r="O12" s="7" t="b">
        <f t="array" ref="O12">IF(E12="",FALSE,IFERROR(AND(ISNUMBER(MATCH(E12,Countries!$A$2:$A$72,0)),XLOOKUP(E12,Countries!$A$2:$A$72,Countries!$I$2:$I$72,FALSE)),FALSE))</f>
        <v>0</v>
      </c>
      <c r="P12" s="7" t="b">
        <f t="array" ref="P12">IF(E12="",FALSE,IFERROR(XLOOKUP(E12,Countries!$A$2:$A$72,Countries!$G$2:$G$72,FALSE),FALSE))</f>
        <v>0</v>
      </c>
      <c r="Q12" s="7" t="str">
        <f t="shared" si="2"/>
        <v>⚪</v>
      </c>
    </row>
    <row r="13">
      <c r="A13" s="7" t="str">
        <f t="array" ref="A13">IFERROR(IF(INDEX(Entries!$C$2:$C$48,2)="","",INDEX(Entries!$Q$2:$Q$48,2)),"")</f>
        <v/>
      </c>
      <c r="B13" s="7" t="str">
        <f t="array" ref="B13">IF(A13="","",IFERROR(INDEX(Entries!$E$2:$E$48,2),""))</f>
        <v/>
      </c>
      <c r="C13" s="7" t="str">
        <f>IF(A13="","","Tier3_Pick1")</f>
        <v/>
      </c>
      <c r="D13" s="7" t="str">
        <f>IF(A13="","",3)</f>
        <v/>
      </c>
      <c r="E13" s="7" t="str">
        <f t="array" ref="E13">IF(A13="","",IFERROR(INDEX(Entries!$H$2:$H$48,2),""))</f>
        <v/>
      </c>
      <c r="F13" s="7" t="str">
        <f t="array" ref="F13">IF(E13="","",IFERROR(XLOOKUP(E13,Countries!$A$2:$A$72,Countries!$B$2:$B$72,"???"),"???"))</f>
        <v/>
      </c>
      <c r="G13" s="7">
        <f t="array" ref="G13">IF(E13="",0,IFERROR(XLOOKUP(E13,Countries!$A$2:$A$72,Countries!$E$2:$E$72,0),0))</f>
        <v>0</v>
      </c>
      <c r="H13" s="7">
        <f t="array" ref="H13">IF(E13="",0,IFERROR(XLOOKUP(E13,Medals!$B$2:$B$51,Medals!$D$2:$D$51,0),0))</f>
        <v>0</v>
      </c>
      <c r="I13" s="7">
        <f t="array" ref="I13">IF(E13="",0,IFERROR(XLOOKUP(E13,Medals!$B$2:$B$51,Medals!$E$2:$E$51,0),0))</f>
        <v>0</v>
      </c>
      <c r="J13" s="7">
        <f t="array" ref="J13">IF(E13="",0,IFERROR(XLOOKUP(E13,Medals!$B$2:$B$51,Medals!$F$2:$F$51,0),0))</f>
        <v>0</v>
      </c>
      <c r="K13" s="7">
        <f>H13*GoldPoints*G13</f>
        <v>0</v>
      </c>
      <c r="L13" s="7">
        <f>I13*SilverPoints*G13</f>
        <v>0</v>
      </c>
      <c r="M13" s="7">
        <f>J13*BronzePoints*G13</f>
        <v>0</v>
      </c>
      <c r="N13" s="7">
        <f t="shared" si="1"/>
        <v>0</v>
      </c>
      <c r="O13" s="7" t="b">
        <f t="array" ref="O13">IF(E13="",FALSE,IFERROR(AND(ISNUMBER(MATCH(E13,Countries!$A$2:$A$72,0)),XLOOKUP(E13,Countries!$A$2:$A$72,Countries!$I$2:$I$72,FALSE)),FALSE))</f>
        <v>0</v>
      </c>
      <c r="P13" s="7" t="b">
        <f t="array" ref="P13">IF(E13="",FALSE,IFERROR(XLOOKUP(E13,Countries!$A$2:$A$72,Countries!$G$2:$G$72,FALSE),FALSE))</f>
        <v>0</v>
      </c>
      <c r="Q13" s="7" t="str">
        <f t="shared" si="2"/>
        <v>⚪</v>
      </c>
    </row>
    <row r="14">
      <c r="A14" s="7" t="str">
        <f t="array" ref="A14">IFERROR(IF(INDEX(Entries!$C$2:$C$48,2)="","",INDEX(Entries!$Q$2:$Q$48,2)),"")</f>
        <v/>
      </c>
      <c r="B14" s="7" t="str">
        <f t="array" ref="B14">IF(A14="","",IFERROR(INDEX(Entries!$E$2:$E$48,2),""))</f>
        <v/>
      </c>
      <c r="C14" s="7" t="str">
        <f>IF(A14="","","Tier4_Pick1")</f>
        <v/>
      </c>
      <c r="D14" s="7" t="str">
        <f>IF(A14="","",4)</f>
        <v/>
      </c>
      <c r="E14" s="7" t="str">
        <f t="array" ref="E14">IF(A14="","",IFERROR(INDEX(Entries!$I$2:$I$48,2),""))</f>
        <v/>
      </c>
      <c r="F14" s="7" t="str">
        <f t="array" ref="F14">IF(E14="","",IFERROR(XLOOKUP(E14,Countries!$A$2:$A$72,Countries!$B$2:$B$72,"???"),"???"))</f>
        <v/>
      </c>
      <c r="G14" s="7">
        <f t="array" ref="G14">IF(E14="",0,IFERROR(XLOOKUP(E14,Countries!$A$2:$A$72,Countries!$E$2:$E$72,0),0))</f>
        <v>0</v>
      </c>
      <c r="H14" s="7">
        <f t="array" ref="H14">IF(E14="",0,IFERROR(XLOOKUP(E14,Medals!$B$2:$B$51,Medals!$D$2:$D$51,0),0))</f>
        <v>0</v>
      </c>
      <c r="I14" s="7">
        <f t="array" ref="I14">IF(E14="",0,IFERROR(XLOOKUP(E14,Medals!$B$2:$B$51,Medals!$E$2:$E$51,0),0))</f>
        <v>0</v>
      </c>
      <c r="J14" s="7">
        <f t="array" ref="J14">IF(E14="",0,IFERROR(XLOOKUP(E14,Medals!$B$2:$B$51,Medals!$F$2:$F$51,0),0))</f>
        <v>0</v>
      </c>
      <c r="K14" s="7">
        <f>H14*GoldPoints*G14</f>
        <v>0</v>
      </c>
      <c r="L14" s="7">
        <f>I14*SilverPoints*G14</f>
        <v>0</v>
      </c>
      <c r="M14" s="7">
        <f>J14*BronzePoints*G14</f>
        <v>0</v>
      </c>
      <c r="N14" s="7">
        <f t="shared" si="1"/>
        <v>0</v>
      </c>
      <c r="O14" s="7" t="b">
        <f t="array" ref="O14">IF(E14="",FALSE,IFERROR(AND(ISNUMBER(MATCH(E14,Countries!$A$2:$A$72,0)),XLOOKUP(E14,Countries!$A$2:$A$72,Countries!$I$2:$I$72,FALSE)),FALSE))</f>
        <v>0</v>
      </c>
      <c r="P14" s="7" t="b">
        <f t="array" ref="P14">IF(E14="",FALSE,IFERROR(XLOOKUP(E14,Countries!$A$2:$A$72,Countries!$G$2:$G$72,FALSE),FALSE))</f>
        <v>0</v>
      </c>
      <c r="Q14" s="7" t="str">
        <f t="shared" si="2"/>
        <v>⚪</v>
      </c>
    </row>
    <row r="15">
      <c r="A15" s="7" t="str">
        <f t="array" ref="A15">IFERROR(IF(INDEX(Entries!$C$2:$C$48,2)="","",INDEX(Entries!$Q$2:$Q$48,2)),"")</f>
        <v/>
      </c>
      <c r="B15" s="7" t="str">
        <f t="array" ref="B15">IF(A15="","",IFERROR(INDEX(Entries!$E$2:$E$48,2),""))</f>
        <v/>
      </c>
      <c r="C15" s="7" t="str">
        <f>IF(A15="","","Tier5_Pick1")</f>
        <v/>
      </c>
      <c r="D15" s="7" t="str">
        <f>IF(A15="","",5)</f>
        <v/>
      </c>
      <c r="E15" s="7" t="str">
        <f t="array" ref="E15">IF(A15="","",IFERROR(INDEX(Entries!$J$2:$J$48,2),""))</f>
        <v/>
      </c>
      <c r="F15" s="7" t="str">
        <f t="array" ref="F15">IF(E15="","",IFERROR(XLOOKUP(E15,Countries!$A$2:$A$72,Countries!$B$2:$B$72,"???"),"???"))</f>
        <v/>
      </c>
      <c r="G15" s="7">
        <f t="array" ref="G15">IF(E15="",0,IFERROR(XLOOKUP(E15,Countries!$A$2:$A$72,Countries!$E$2:$E$72,0),0))</f>
        <v>0</v>
      </c>
      <c r="H15" s="7">
        <f t="array" ref="H15">IF(E15="",0,IFERROR(XLOOKUP(E15,Medals!$B$2:$B$51,Medals!$D$2:$D$51,0),0))</f>
        <v>0</v>
      </c>
      <c r="I15" s="7">
        <f t="array" ref="I15">IF(E15="",0,IFERROR(XLOOKUP(E15,Medals!$B$2:$B$51,Medals!$E$2:$E$51,0),0))</f>
        <v>0</v>
      </c>
      <c r="J15" s="7">
        <f t="array" ref="J15">IF(E15="",0,IFERROR(XLOOKUP(E15,Medals!$B$2:$B$51,Medals!$F$2:$F$51,0),0))</f>
        <v>0</v>
      </c>
      <c r="K15" s="7">
        <f>H15*GoldPoints*G15</f>
        <v>0</v>
      </c>
      <c r="L15" s="7">
        <f>I15*SilverPoints*G15</f>
        <v>0</v>
      </c>
      <c r="M15" s="7">
        <f>J15*BronzePoints*G15</f>
        <v>0</v>
      </c>
      <c r="N15" s="7">
        <f t="shared" si="1"/>
        <v>0</v>
      </c>
      <c r="O15" s="7" t="b">
        <f t="array" ref="O15">IF(E15="",FALSE,IFERROR(AND(ISNUMBER(MATCH(E15,Countries!$A$2:$A$72,0)),XLOOKUP(E15,Countries!$A$2:$A$72,Countries!$I$2:$I$72,FALSE)),FALSE))</f>
        <v>0</v>
      </c>
      <c r="P15" s="7" t="b">
        <f t="array" ref="P15">IF(E15="",FALSE,IFERROR(XLOOKUP(E15,Countries!$A$2:$A$72,Countries!$G$2:$G$72,FALSE),FALSE))</f>
        <v>0</v>
      </c>
      <c r="Q15" s="7" t="str">
        <f t="shared" si="2"/>
        <v>⚪</v>
      </c>
    </row>
    <row r="16">
      <c r="A16" s="7" t="str">
        <f t="array" ref="A16">IFERROR(IF(INDEX(Entries!$C$2:$C$48,2)="","",INDEX(Entries!$Q$2:$Q$48,2)),"")</f>
        <v/>
      </c>
      <c r="B16" s="7" t="str">
        <f t="array" ref="B16">IF(A16="","",IFERROR(INDEX(Entries!$E$2:$E$48,2),""))</f>
        <v/>
      </c>
      <c r="C16" s="7" t="str">
        <f>IF(A16="","","Tier6_Pick1")</f>
        <v/>
      </c>
      <c r="D16" s="7" t="str">
        <f t="shared" ref="D16:D17" si="6">IF(A16="","",6)</f>
        <v/>
      </c>
      <c r="E16" s="7" t="str">
        <f t="array" ref="E16">IF(A16="","",IFERROR(INDEX(Entries!$O$2:$O$48,2),""))</f>
        <v/>
      </c>
      <c r="F16" s="7" t="str">
        <f t="array" ref="F16">IF(E16="","",IFERROR(XLOOKUP(E16,Countries!$A$2:$A$72,Countries!$B$2:$B$72,"???"),"???"))</f>
        <v/>
      </c>
      <c r="G16" s="7">
        <f t="array" ref="G16">IF(E16="",0,IFERROR(XLOOKUP(E16,Countries!$A$2:$A$72,Countries!$E$2:$E$72,0),0))</f>
        <v>0</v>
      </c>
      <c r="H16" s="7">
        <f t="array" ref="H16">IF(E16="",0,IFERROR(XLOOKUP(E16,Medals!$B$2:$B$51,Medals!$D$2:$D$51,0),0))</f>
        <v>0</v>
      </c>
      <c r="I16" s="7">
        <f t="array" ref="I16">IF(E16="",0,IFERROR(XLOOKUP(E16,Medals!$B$2:$B$51,Medals!$E$2:$E$51,0),0))</f>
        <v>0</v>
      </c>
      <c r="J16" s="7">
        <f t="array" ref="J16">IF(E16="",0,IFERROR(XLOOKUP(E16,Medals!$B$2:$B$51,Medals!$F$2:$F$51,0),0))</f>
        <v>0</v>
      </c>
      <c r="K16" s="7">
        <f>H16*GoldPoints*G16</f>
        <v>0</v>
      </c>
      <c r="L16" s="7">
        <f>I16*SilverPoints*G16</f>
        <v>0</v>
      </c>
      <c r="M16" s="7">
        <f>J16*BronzePoints*G16</f>
        <v>0</v>
      </c>
      <c r="N16" s="7">
        <f t="shared" si="1"/>
        <v>0</v>
      </c>
      <c r="O16" s="7" t="b">
        <f t="array" ref="O16">IF(E16="",FALSE,IFERROR(AND(ISNUMBER(MATCH(E16,Countries!$A$2:$A$72,0)),XLOOKUP(E16,Countries!$A$2:$A$72,Countries!$I$2:$I$72,FALSE)),FALSE))</f>
        <v>0</v>
      </c>
      <c r="P16" s="7" t="b">
        <f t="array" ref="P16">IF(E16="",FALSE,IFERROR(XLOOKUP(E16,Countries!$A$2:$A$72,Countries!$G$2:$G$72,FALSE),FALSE))</f>
        <v>0</v>
      </c>
      <c r="Q16" s="7" t="str">
        <f t="shared" si="2"/>
        <v>⚪</v>
      </c>
    </row>
    <row r="17">
      <c r="A17" s="7" t="str">
        <f t="array" ref="A17">IFERROR(IF(INDEX(Entries!$C$2:$C$48,2)="","",INDEX(Entries!$Q$2:$Q$48,2)),"")</f>
        <v/>
      </c>
      <c r="B17" s="7" t="str">
        <f t="array" ref="B17">IF(A17="","",IFERROR(INDEX(Entries!$E$2:$E$48,2),""))</f>
        <v/>
      </c>
      <c r="C17" s="7" t="str">
        <f>IF(A17="","","Tier6_Pick2")</f>
        <v/>
      </c>
      <c r="D17" s="7" t="str">
        <f t="shared" si="6"/>
        <v/>
      </c>
      <c r="E17" s="7" t="str">
        <f t="array" ref="E17">IF(A17="","",IFERROR(INDEX(Entries!$P$2:$P$48,2),""))</f>
        <v/>
      </c>
      <c r="F17" s="7" t="str">
        <f t="array" ref="F17">IF(E17="","",IFERROR(XLOOKUP(E17,Countries!$A$2:$A$72,Countries!$B$2:$B$72,"???"),"???"))</f>
        <v/>
      </c>
      <c r="G17" s="7">
        <f t="array" ref="G17">IF(E17="",0,IFERROR(XLOOKUP(E17,Countries!$A$2:$A$72,Countries!$E$2:$E$72,0),0))</f>
        <v>0</v>
      </c>
      <c r="H17" s="7">
        <f t="array" ref="H17">IF(E17="",0,IFERROR(XLOOKUP(E17,Medals!$B$2:$B$51,Medals!$D$2:$D$51,0),0))</f>
        <v>0</v>
      </c>
      <c r="I17" s="7">
        <f t="array" ref="I17">IF(E17="",0,IFERROR(XLOOKUP(E17,Medals!$B$2:$B$51,Medals!$E$2:$E$51,0),0))</f>
        <v>0</v>
      </c>
      <c r="J17" s="7">
        <f t="array" ref="J17">IF(E17="",0,IFERROR(XLOOKUP(E17,Medals!$B$2:$B$51,Medals!$F$2:$F$51,0),0))</f>
        <v>0</v>
      </c>
      <c r="K17" s="7">
        <f>H17*GoldPoints*G17</f>
        <v>0</v>
      </c>
      <c r="L17" s="7">
        <f>I17*SilverPoints*G17</f>
        <v>0</v>
      </c>
      <c r="M17" s="7">
        <f>J17*BronzePoints*G17</f>
        <v>0</v>
      </c>
      <c r="N17" s="7">
        <f t="shared" si="1"/>
        <v>0</v>
      </c>
      <c r="O17" s="7" t="b">
        <f t="array" ref="O17">IF(E17="",FALSE,IFERROR(AND(ISNUMBER(MATCH(E17,Countries!$A$2:$A$72,0)),XLOOKUP(E17,Countries!$A$2:$A$72,Countries!$I$2:$I$72,FALSE)),FALSE))</f>
        <v>0</v>
      </c>
      <c r="P17" s="7" t="b">
        <f t="array" ref="P17">IF(E17="",FALSE,IFERROR(XLOOKUP(E17,Countries!$A$2:$A$72,Countries!$G$2:$G$72,FALSE),FALSE))</f>
        <v>0</v>
      </c>
      <c r="Q17" s="7" t="str">
        <f t="shared" si="2"/>
        <v>⚪</v>
      </c>
    </row>
    <row r="18">
      <c r="A18" s="7" t="str">
        <f t="array" ref="A18">IFERROR(IF(INDEX(Entries!$C$2:$C$48,3)="","",INDEX(Entries!$Q$2:$Q$48,3)),"")</f>
        <v/>
      </c>
      <c r="B18" s="7" t="str">
        <f t="array" ref="B18">IF(A18="","",IFERROR(INDEX(Entries!$E$2:$E$48,3),""))</f>
        <v/>
      </c>
      <c r="C18" s="7" t="str">
        <f>IF(A18="","","Tier1_Pick1")</f>
        <v/>
      </c>
      <c r="D18" s="7" t="str">
        <f>IF(A18="","",1)</f>
        <v/>
      </c>
      <c r="E18" s="7" t="str">
        <f t="array" ref="E18">IF(A18="","",IFERROR(INDEX(Entries!$F$2:$F$48,3),""))</f>
        <v/>
      </c>
      <c r="F18" s="7" t="str">
        <f t="array" ref="F18">IF(E18="","",IFERROR(XLOOKUP(E18,Countries!$A$2:$A$72,Countries!$B$2:$B$72,"???"),"???"))</f>
        <v/>
      </c>
      <c r="G18" s="7">
        <f t="array" ref="G18">IF(E18="",0,IFERROR(XLOOKUP(E18,Countries!$A$2:$A$72,Countries!$E$2:$E$72,0),0))</f>
        <v>0</v>
      </c>
      <c r="H18" s="7">
        <f t="array" ref="H18">IF(E18="",0,IFERROR(XLOOKUP(E18,Medals!$B$2:$B$51,Medals!$D$2:$D$51,0),0))</f>
        <v>0</v>
      </c>
      <c r="I18" s="7">
        <f t="array" ref="I18">IF(E18="",0,IFERROR(XLOOKUP(E18,Medals!$B$2:$B$51,Medals!$E$2:$E$51,0),0))</f>
        <v>0</v>
      </c>
      <c r="J18" s="7">
        <f t="array" ref="J18">IF(E18="",0,IFERROR(XLOOKUP(E18,Medals!$B$2:$B$51,Medals!$F$2:$F$51,0),0))</f>
        <v>0</v>
      </c>
      <c r="K18" s="7">
        <f>H18*GoldPoints*G18</f>
        <v>0</v>
      </c>
      <c r="L18" s="7">
        <f>I18*SilverPoints*G18</f>
        <v>0</v>
      </c>
      <c r="M18" s="7">
        <f>J18*BronzePoints*G18</f>
        <v>0</v>
      </c>
      <c r="N18" s="7">
        <f t="shared" si="1"/>
        <v>0</v>
      </c>
      <c r="O18" s="7" t="b">
        <f t="array" ref="O18">IF(E18="",FALSE,IFERROR(AND(ISNUMBER(MATCH(E18,Countries!$A$2:$A$72,0)),XLOOKUP(E18,Countries!$A$2:$A$72,Countries!$I$2:$I$72,FALSE)),FALSE))</f>
        <v>0</v>
      </c>
      <c r="P18" s="7" t="b">
        <f t="array" ref="P18">IF(E18="",FALSE,IFERROR(XLOOKUP(E18,Countries!$A$2:$A$72,Countries!$G$2:$G$72,FALSE),FALSE))</f>
        <v>0</v>
      </c>
      <c r="Q18" s="7" t="str">
        <f t="shared" si="2"/>
        <v>⚪</v>
      </c>
    </row>
    <row r="19">
      <c r="A19" s="7" t="str">
        <f t="array" ref="A19">IFERROR(IF(INDEX(Entries!$C$2:$C$48,3)="","",INDEX(Entries!$Q$2:$Q$48,3)),"")</f>
        <v/>
      </c>
      <c r="B19" s="7" t="str">
        <f t="array" ref="B19">IF(A19="","",IFERROR(INDEX(Entries!$E$2:$E$48,3),""))</f>
        <v/>
      </c>
      <c r="C19" s="7" t="str">
        <f>IF(A19="","","Tier2_Pick1")</f>
        <v/>
      </c>
      <c r="D19" s="7" t="str">
        <f t="shared" ref="D19:D20" si="7">IF(A19="","",2)</f>
        <v/>
      </c>
      <c r="E19" s="7" t="str">
        <f t="array" ref="E19">IF(A19="","",IFERROR(INDEX(Entries!$M$2:$M$48,3),""))</f>
        <v/>
      </c>
      <c r="F19" s="7" t="str">
        <f t="array" ref="F19">IF(E19="","",IFERROR(XLOOKUP(E19,Countries!$A$2:$A$72,Countries!$B$2:$B$72,"???"),"???"))</f>
        <v/>
      </c>
      <c r="G19" s="7">
        <f t="array" ref="G19">IF(E19="",0,IFERROR(XLOOKUP(E19,Countries!$A$2:$A$72,Countries!$E$2:$E$72,0),0))</f>
        <v>0</v>
      </c>
      <c r="H19" s="7">
        <f t="array" ref="H19">IF(E19="",0,IFERROR(XLOOKUP(E19,Medals!$B$2:$B$51,Medals!$D$2:$D$51,0),0))</f>
        <v>0</v>
      </c>
      <c r="I19" s="7">
        <f t="array" ref="I19">IF(E19="",0,IFERROR(XLOOKUP(E19,Medals!$B$2:$B$51,Medals!$E$2:$E$51,0),0))</f>
        <v>0</v>
      </c>
      <c r="J19" s="7">
        <f t="array" ref="J19">IF(E19="",0,IFERROR(XLOOKUP(E19,Medals!$B$2:$B$51,Medals!$F$2:$F$51,0),0))</f>
        <v>0</v>
      </c>
      <c r="K19" s="7">
        <f>H19*GoldPoints*G19</f>
        <v>0</v>
      </c>
      <c r="L19" s="7">
        <f>I19*SilverPoints*G19</f>
        <v>0</v>
      </c>
      <c r="M19" s="7">
        <f>J19*BronzePoints*G19</f>
        <v>0</v>
      </c>
      <c r="N19" s="7">
        <f t="shared" si="1"/>
        <v>0</v>
      </c>
      <c r="O19" s="7" t="b">
        <f t="array" ref="O19">IF(E19="",FALSE,IFERROR(AND(ISNUMBER(MATCH(E19,Countries!$A$2:$A$72,0)),XLOOKUP(E19,Countries!$A$2:$A$72,Countries!$I$2:$I$72,FALSE)),FALSE))</f>
        <v>0</v>
      </c>
      <c r="P19" s="7" t="b">
        <f t="array" ref="P19">IF(E19="",FALSE,IFERROR(XLOOKUP(E19,Countries!$A$2:$A$72,Countries!$G$2:$G$72,FALSE),FALSE))</f>
        <v>0</v>
      </c>
      <c r="Q19" s="7" t="str">
        <f t="shared" si="2"/>
        <v>⚪</v>
      </c>
    </row>
    <row r="20">
      <c r="A20" s="7" t="str">
        <f t="array" ref="A20">IFERROR(IF(INDEX(Entries!$C$2:$C$48,3)="","",INDEX(Entries!$Q$2:$Q$48,3)),"")</f>
        <v/>
      </c>
      <c r="B20" s="7" t="str">
        <f t="array" ref="B20">IF(A20="","",IFERROR(INDEX(Entries!$E$2:$E$48,3),""))</f>
        <v/>
      </c>
      <c r="C20" s="7" t="str">
        <f>IF(A20="","","Tier2_Pick2")</f>
        <v/>
      </c>
      <c r="D20" s="7" t="str">
        <f t="shared" si="7"/>
        <v/>
      </c>
      <c r="E20" s="7" t="str">
        <f t="array" ref="E20">IF(A20="","",IFERROR(INDEX(Entries!$N$2:$N$48,3),""))</f>
        <v/>
      </c>
      <c r="F20" s="7" t="str">
        <f t="array" ref="F20">IF(E20="","",IFERROR(XLOOKUP(E20,Countries!$A$2:$A$72,Countries!$B$2:$B$72,"???"),"???"))</f>
        <v/>
      </c>
      <c r="G20" s="7">
        <f t="array" ref="G20">IF(E20="",0,IFERROR(XLOOKUP(E20,Countries!$A$2:$A$72,Countries!$E$2:$E$72,0),0))</f>
        <v>0</v>
      </c>
      <c r="H20" s="7">
        <f t="array" ref="H20">IF(E20="",0,IFERROR(XLOOKUP(E20,Medals!$B$2:$B$51,Medals!$D$2:$D$51,0),0))</f>
        <v>0</v>
      </c>
      <c r="I20" s="7">
        <f t="array" ref="I20">IF(E20="",0,IFERROR(XLOOKUP(E20,Medals!$B$2:$B$51,Medals!$E$2:$E$51,0),0))</f>
        <v>0</v>
      </c>
      <c r="J20" s="7">
        <f t="array" ref="J20">IF(E20="",0,IFERROR(XLOOKUP(E20,Medals!$B$2:$B$51,Medals!$F$2:$F$51,0),0))</f>
        <v>0</v>
      </c>
      <c r="K20" s="7">
        <f>H20*GoldPoints*G20</f>
        <v>0</v>
      </c>
      <c r="L20" s="7">
        <f>I20*SilverPoints*G20</f>
        <v>0</v>
      </c>
      <c r="M20" s="7">
        <f>J20*BronzePoints*G20</f>
        <v>0</v>
      </c>
      <c r="N20" s="7">
        <f t="shared" si="1"/>
        <v>0</v>
      </c>
      <c r="O20" s="7" t="b">
        <f t="array" ref="O20">IF(E20="",FALSE,IFERROR(AND(ISNUMBER(MATCH(E20,Countries!$A$2:$A$72,0)),XLOOKUP(E20,Countries!$A$2:$A$72,Countries!$I$2:$I$72,FALSE)),FALSE))</f>
        <v>0</v>
      </c>
      <c r="P20" s="7" t="b">
        <f t="array" ref="P20">IF(E20="",FALSE,IFERROR(XLOOKUP(E20,Countries!$A$2:$A$72,Countries!$G$2:$G$72,FALSE),FALSE))</f>
        <v>0</v>
      </c>
      <c r="Q20" s="7" t="str">
        <f t="shared" si="2"/>
        <v>⚪</v>
      </c>
    </row>
    <row r="21" ht="15.75" customHeight="1">
      <c r="A21" s="7" t="str">
        <f t="array" ref="A21">IFERROR(IF(INDEX(Entries!$C$2:$C$48,3)="","",INDEX(Entries!$Q$2:$Q$48,3)),"")</f>
        <v/>
      </c>
      <c r="B21" s="7" t="str">
        <f t="array" ref="B21">IF(A21="","",IFERROR(INDEX(Entries!$E$2:$E$48,3),""))</f>
        <v/>
      </c>
      <c r="C21" s="7" t="str">
        <f>IF(A21="","","Tier3_Pick1")</f>
        <v/>
      </c>
      <c r="D21" s="7" t="str">
        <f>IF(A21="","",3)</f>
        <v/>
      </c>
      <c r="E21" s="7" t="str">
        <f t="array" ref="E21">IF(A21="","",IFERROR(INDEX(Entries!$H$2:$H$48,3),""))</f>
        <v/>
      </c>
      <c r="F21" s="7" t="str">
        <f t="array" ref="F21">IF(E21="","",IFERROR(XLOOKUP(E21,Countries!$A$2:$A$72,Countries!$B$2:$B$72,"???"),"???"))</f>
        <v/>
      </c>
      <c r="G21" s="7">
        <f t="array" ref="G21">IF(E21="",0,IFERROR(XLOOKUP(E21,Countries!$A$2:$A$72,Countries!$E$2:$E$72,0),0))</f>
        <v>0</v>
      </c>
      <c r="H21" s="7">
        <f t="array" ref="H21">IF(E21="",0,IFERROR(XLOOKUP(E21,Medals!$B$2:$B$51,Medals!$D$2:$D$51,0),0))</f>
        <v>0</v>
      </c>
      <c r="I21" s="7">
        <f t="array" ref="I21">IF(E21="",0,IFERROR(XLOOKUP(E21,Medals!$B$2:$B$51,Medals!$E$2:$E$51,0),0))</f>
        <v>0</v>
      </c>
      <c r="J21" s="7">
        <f t="array" ref="J21">IF(E21="",0,IFERROR(XLOOKUP(E21,Medals!$B$2:$B$51,Medals!$F$2:$F$51,0),0))</f>
        <v>0</v>
      </c>
      <c r="K21" s="7">
        <f>H21*GoldPoints*G21</f>
        <v>0</v>
      </c>
      <c r="L21" s="7">
        <f>I21*SilverPoints*G21</f>
        <v>0</v>
      </c>
      <c r="M21" s="7">
        <f>J21*BronzePoints*G21</f>
        <v>0</v>
      </c>
      <c r="N21" s="7">
        <f t="shared" si="1"/>
        <v>0</v>
      </c>
      <c r="O21" s="7" t="b">
        <f t="array" ref="O21">IF(E21="",FALSE,IFERROR(AND(ISNUMBER(MATCH(E21,Countries!$A$2:$A$72,0)),XLOOKUP(E21,Countries!$A$2:$A$72,Countries!$I$2:$I$72,FALSE)),FALSE))</f>
        <v>0</v>
      </c>
      <c r="P21" s="7" t="b">
        <f t="array" ref="P21">IF(E21="",FALSE,IFERROR(XLOOKUP(E21,Countries!$A$2:$A$72,Countries!$G$2:$G$72,FALSE),FALSE))</f>
        <v>0</v>
      </c>
      <c r="Q21" s="7" t="str">
        <f t="shared" si="2"/>
        <v>⚪</v>
      </c>
    </row>
    <row r="22" ht="15.75" customHeight="1">
      <c r="A22" s="7" t="str">
        <f t="array" ref="A22">IFERROR(IF(INDEX(Entries!$C$2:$C$48,3)="","",INDEX(Entries!$Q$2:$Q$48,3)),"")</f>
        <v/>
      </c>
      <c r="B22" s="7" t="str">
        <f t="array" ref="B22">IF(A22="","",IFERROR(INDEX(Entries!$E$2:$E$48,3),""))</f>
        <v/>
      </c>
      <c r="C22" s="7" t="str">
        <f>IF(A22="","","Tier4_Pick1")</f>
        <v/>
      </c>
      <c r="D22" s="7" t="str">
        <f>IF(A22="","",4)</f>
        <v/>
      </c>
      <c r="E22" s="7" t="str">
        <f t="array" ref="E22">IF(A22="","",IFERROR(INDEX(Entries!$I$2:$I$48,3),""))</f>
        <v/>
      </c>
      <c r="F22" s="7" t="str">
        <f t="array" ref="F22">IF(E22="","",IFERROR(XLOOKUP(E22,Countries!$A$2:$A$72,Countries!$B$2:$B$72,"???"),"???"))</f>
        <v/>
      </c>
      <c r="G22" s="7">
        <f t="array" ref="G22">IF(E22="",0,IFERROR(XLOOKUP(E22,Countries!$A$2:$A$72,Countries!$E$2:$E$72,0),0))</f>
        <v>0</v>
      </c>
      <c r="H22" s="7">
        <f t="array" ref="H22">IF(E22="",0,IFERROR(XLOOKUP(E22,Medals!$B$2:$B$51,Medals!$D$2:$D$51,0),0))</f>
        <v>0</v>
      </c>
      <c r="I22" s="7">
        <f t="array" ref="I22">IF(E22="",0,IFERROR(XLOOKUP(E22,Medals!$B$2:$B$51,Medals!$E$2:$E$51,0),0))</f>
        <v>0</v>
      </c>
      <c r="J22" s="7">
        <f t="array" ref="J22">IF(E22="",0,IFERROR(XLOOKUP(E22,Medals!$B$2:$B$51,Medals!$F$2:$F$51,0),0))</f>
        <v>0</v>
      </c>
      <c r="K22" s="7">
        <f>H22*GoldPoints*G22</f>
        <v>0</v>
      </c>
      <c r="L22" s="7">
        <f>I22*SilverPoints*G22</f>
        <v>0</v>
      </c>
      <c r="M22" s="7">
        <f>J22*BronzePoints*G22</f>
        <v>0</v>
      </c>
      <c r="N22" s="7">
        <f t="shared" si="1"/>
        <v>0</v>
      </c>
      <c r="O22" s="7" t="b">
        <f t="array" ref="O22">IF(E22="",FALSE,IFERROR(AND(ISNUMBER(MATCH(E22,Countries!$A$2:$A$72,0)),XLOOKUP(E22,Countries!$A$2:$A$72,Countries!$I$2:$I$72,FALSE)),FALSE))</f>
        <v>0</v>
      </c>
      <c r="P22" s="7" t="b">
        <f t="array" ref="P22">IF(E22="",FALSE,IFERROR(XLOOKUP(E22,Countries!$A$2:$A$72,Countries!$G$2:$G$72,FALSE),FALSE))</f>
        <v>0</v>
      </c>
      <c r="Q22" s="7" t="str">
        <f t="shared" si="2"/>
        <v>⚪</v>
      </c>
    </row>
    <row r="23" ht="15.75" customHeight="1">
      <c r="A23" s="7" t="str">
        <f t="array" ref="A23">IFERROR(IF(INDEX(Entries!$C$2:$C$48,3)="","",INDEX(Entries!$Q$2:$Q$48,3)),"")</f>
        <v/>
      </c>
      <c r="B23" s="7" t="str">
        <f t="array" ref="B23">IF(A23="","",IFERROR(INDEX(Entries!$E$2:$E$48,3),""))</f>
        <v/>
      </c>
      <c r="C23" s="7" t="str">
        <f>IF(A23="","","Tier5_Pick1")</f>
        <v/>
      </c>
      <c r="D23" s="7" t="str">
        <f>IF(A23="","",5)</f>
        <v/>
      </c>
      <c r="E23" s="7" t="str">
        <f t="array" ref="E23">IF(A23="","",IFERROR(INDEX(Entries!$J$2:$J$48,3),""))</f>
        <v/>
      </c>
      <c r="F23" s="7" t="str">
        <f t="array" ref="F23">IF(E23="","",IFERROR(XLOOKUP(E23,Countries!$A$2:$A$72,Countries!$B$2:$B$72,"???"),"???"))</f>
        <v/>
      </c>
      <c r="G23" s="7">
        <f t="array" ref="G23">IF(E23="",0,IFERROR(XLOOKUP(E23,Countries!$A$2:$A$72,Countries!$E$2:$E$72,0),0))</f>
        <v>0</v>
      </c>
      <c r="H23" s="7">
        <f t="array" ref="H23">IF(E23="",0,IFERROR(XLOOKUP(E23,Medals!$B$2:$B$51,Medals!$D$2:$D$51,0),0))</f>
        <v>0</v>
      </c>
      <c r="I23" s="7">
        <f t="array" ref="I23">IF(E23="",0,IFERROR(XLOOKUP(E23,Medals!$B$2:$B$51,Medals!$E$2:$E$51,0),0))</f>
        <v>0</v>
      </c>
      <c r="J23" s="7">
        <f t="array" ref="J23">IF(E23="",0,IFERROR(XLOOKUP(E23,Medals!$B$2:$B$51,Medals!$F$2:$F$51,0),0))</f>
        <v>0</v>
      </c>
      <c r="K23" s="7">
        <f>H23*GoldPoints*G23</f>
        <v>0</v>
      </c>
      <c r="L23" s="7">
        <f>I23*SilverPoints*G23</f>
        <v>0</v>
      </c>
      <c r="M23" s="7">
        <f>J23*BronzePoints*G23</f>
        <v>0</v>
      </c>
      <c r="N23" s="7">
        <f t="shared" si="1"/>
        <v>0</v>
      </c>
      <c r="O23" s="7" t="b">
        <f t="array" ref="O23">IF(E23="",FALSE,IFERROR(AND(ISNUMBER(MATCH(E23,Countries!$A$2:$A$72,0)),XLOOKUP(E23,Countries!$A$2:$A$72,Countries!$I$2:$I$72,FALSE)),FALSE))</f>
        <v>0</v>
      </c>
      <c r="P23" s="7" t="b">
        <f t="array" ref="P23">IF(E23="",FALSE,IFERROR(XLOOKUP(E23,Countries!$A$2:$A$72,Countries!$G$2:$G$72,FALSE),FALSE))</f>
        <v>0</v>
      </c>
      <c r="Q23" s="7" t="str">
        <f t="shared" si="2"/>
        <v>⚪</v>
      </c>
    </row>
    <row r="24" ht="15.75" customHeight="1">
      <c r="A24" s="7" t="str">
        <f t="array" ref="A24">IFERROR(IF(INDEX(Entries!$C$2:$C$48,3)="","",INDEX(Entries!$Q$2:$Q$48,3)),"")</f>
        <v/>
      </c>
      <c r="B24" s="7" t="str">
        <f t="array" ref="B24">IF(A24="","",IFERROR(INDEX(Entries!$E$2:$E$48,3),""))</f>
        <v/>
      </c>
      <c r="C24" s="7" t="str">
        <f>IF(A24="","","Tier6_Pick1")</f>
        <v/>
      </c>
      <c r="D24" s="7" t="str">
        <f t="shared" ref="D24:D25" si="8">IF(A24="","",6)</f>
        <v/>
      </c>
      <c r="E24" s="7" t="str">
        <f t="array" ref="E24">IF(A24="","",IFERROR(INDEX(Entries!$O$2:$O$48,3),""))</f>
        <v/>
      </c>
      <c r="F24" s="7" t="str">
        <f t="array" ref="F24">IF(E24="","",IFERROR(XLOOKUP(E24,Countries!$A$2:$A$72,Countries!$B$2:$B$72,"???"),"???"))</f>
        <v/>
      </c>
      <c r="G24" s="7">
        <f t="array" ref="G24">IF(E24="",0,IFERROR(XLOOKUP(E24,Countries!$A$2:$A$72,Countries!$E$2:$E$72,0),0))</f>
        <v>0</v>
      </c>
      <c r="H24" s="7">
        <f t="array" ref="H24">IF(E24="",0,IFERROR(XLOOKUP(E24,Medals!$B$2:$B$51,Medals!$D$2:$D$51,0),0))</f>
        <v>0</v>
      </c>
      <c r="I24" s="7">
        <f t="array" ref="I24">IF(E24="",0,IFERROR(XLOOKUP(E24,Medals!$B$2:$B$51,Medals!$E$2:$E$51,0),0))</f>
        <v>0</v>
      </c>
      <c r="J24" s="7">
        <f t="array" ref="J24">IF(E24="",0,IFERROR(XLOOKUP(E24,Medals!$B$2:$B$51,Medals!$F$2:$F$51,0),0))</f>
        <v>0</v>
      </c>
      <c r="K24" s="7">
        <f>H24*GoldPoints*G24</f>
        <v>0</v>
      </c>
      <c r="L24" s="7">
        <f>I24*SilverPoints*G24</f>
        <v>0</v>
      </c>
      <c r="M24" s="7">
        <f>J24*BronzePoints*G24</f>
        <v>0</v>
      </c>
      <c r="N24" s="7">
        <f t="shared" si="1"/>
        <v>0</v>
      </c>
      <c r="O24" s="7" t="b">
        <f t="array" ref="O24">IF(E24="",FALSE,IFERROR(AND(ISNUMBER(MATCH(E24,Countries!$A$2:$A$72,0)),XLOOKUP(E24,Countries!$A$2:$A$72,Countries!$I$2:$I$72,FALSE)),FALSE))</f>
        <v>0</v>
      </c>
      <c r="P24" s="7" t="b">
        <f t="array" ref="P24">IF(E24="",FALSE,IFERROR(XLOOKUP(E24,Countries!$A$2:$A$72,Countries!$G$2:$G$72,FALSE),FALSE))</f>
        <v>0</v>
      </c>
      <c r="Q24" s="7" t="str">
        <f t="shared" si="2"/>
        <v>⚪</v>
      </c>
    </row>
    <row r="25" ht="15.75" customHeight="1">
      <c r="A25" s="7" t="str">
        <f t="array" ref="A25">IFERROR(IF(INDEX(Entries!$C$2:$C$48,3)="","",INDEX(Entries!$Q$2:$Q$48,3)),"")</f>
        <v/>
      </c>
      <c r="B25" s="7" t="str">
        <f t="array" ref="B25">IF(A25="","",IFERROR(INDEX(Entries!$E$2:$E$48,3),""))</f>
        <v/>
      </c>
      <c r="C25" s="7" t="str">
        <f>IF(A25="","","Tier6_Pick2")</f>
        <v/>
      </c>
      <c r="D25" s="7" t="str">
        <f t="shared" si="8"/>
        <v/>
      </c>
      <c r="E25" s="7" t="str">
        <f t="array" ref="E25">IF(A25="","",IFERROR(INDEX(Entries!$P$2:$P$48,3),""))</f>
        <v/>
      </c>
      <c r="F25" s="7" t="str">
        <f t="array" ref="F25">IF(E25="","",IFERROR(XLOOKUP(E25,Countries!$A$2:$A$72,Countries!$B$2:$B$72,"???"),"???"))</f>
        <v/>
      </c>
      <c r="G25" s="7">
        <f t="array" ref="G25">IF(E25="",0,IFERROR(XLOOKUP(E25,Countries!$A$2:$A$72,Countries!$E$2:$E$72,0),0))</f>
        <v>0</v>
      </c>
      <c r="H25" s="7">
        <f t="array" ref="H25">IF(E25="",0,IFERROR(XLOOKUP(E25,Medals!$B$2:$B$51,Medals!$D$2:$D$51,0),0))</f>
        <v>0</v>
      </c>
      <c r="I25" s="7">
        <f t="array" ref="I25">IF(E25="",0,IFERROR(XLOOKUP(E25,Medals!$B$2:$B$51,Medals!$E$2:$E$51,0),0))</f>
        <v>0</v>
      </c>
      <c r="J25" s="7">
        <f t="array" ref="J25">IF(E25="",0,IFERROR(XLOOKUP(E25,Medals!$B$2:$B$51,Medals!$F$2:$F$51,0),0))</f>
        <v>0</v>
      </c>
      <c r="K25" s="7">
        <f>H25*GoldPoints*G25</f>
        <v>0</v>
      </c>
      <c r="L25" s="7">
        <f>I25*SilverPoints*G25</f>
        <v>0</v>
      </c>
      <c r="M25" s="7">
        <f>J25*BronzePoints*G25</f>
        <v>0</v>
      </c>
      <c r="N25" s="7">
        <f t="shared" si="1"/>
        <v>0</v>
      </c>
      <c r="O25" s="7" t="b">
        <f t="array" ref="O25">IF(E25="",FALSE,IFERROR(AND(ISNUMBER(MATCH(E25,Countries!$A$2:$A$72,0)),XLOOKUP(E25,Countries!$A$2:$A$72,Countries!$I$2:$I$72,FALSE)),FALSE))</f>
        <v>0</v>
      </c>
      <c r="P25" s="7" t="b">
        <f t="array" ref="P25">IF(E25="",FALSE,IFERROR(XLOOKUP(E25,Countries!$A$2:$A$72,Countries!$G$2:$G$72,FALSE),FALSE))</f>
        <v>0</v>
      </c>
      <c r="Q25" s="7" t="str">
        <f t="shared" si="2"/>
        <v>⚪</v>
      </c>
    </row>
    <row r="26" ht="15.75" customHeight="1">
      <c r="A26" s="7" t="str">
        <f t="array" ref="A26">IFERROR(IF(INDEX(Entries!$C$2:$C$48,4)="","",INDEX(Entries!$Q$2:$Q$48,4)),"")</f>
        <v/>
      </c>
      <c r="B26" s="7" t="str">
        <f t="array" ref="B26">IF(A26="","",IFERROR(INDEX(Entries!$E$2:$E$48,4),""))</f>
        <v/>
      </c>
      <c r="C26" s="7" t="str">
        <f>IF(A26="","","Tier1_Pick1")</f>
        <v/>
      </c>
      <c r="D26" s="7" t="str">
        <f>IF(A26="","",1)</f>
        <v/>
      </c>
      <c r="E26" s="7" t="str">
        <f t="array" ref="E26">IF(A26="","",IFERROR(INDEX(Entries!$F$2:$F$48,4),""))</f>
        <v/>
      </c>
      <c r="F26" s="7" t="str">
        <f>IF(E26="","",IFERROR(_xludf.XLOOKUP(E26,Countries!$A$2:$A$72,Countries!$B$2:$B$72,"???"),"???"))</f>
        <v/>
      </c>
      <c r="G26" s="7">
        <f t="array" ref="G26">IF(E26="",0,IFERROR(XLOOKUP(E26,Countries!$A$2:$A$72,Countries!$E$2:$E$72,0),0))</f>
        <v>0</v>
      </c>
      <c r="H26" s="7">
        <f t="array" ref="H26">IF(E26="",0,IFERROR(XLOOKUP(E26,Medals!$B$2:$B$51,Medals!$D$2:$D$51,0),0))</f>
        <v>0</v>
      </c>
      <c r="I26" s="7">
        <f t="array" ref="I26">IF(E26="",0,IFERROR(XLOOKUP(E26,Medals!$B$2:$B$51,Medals!$E$2:$E$51,0),0))</f>
        <v>0</v>
      </c>
      <c r="J26" s="7">
        <f t="array" ref="J26">IF(E26="",0,IFERROR(XLOOKUP(E26,Medals!$B$2:$B$51,Medals!$F$2:$F$51,0),0))</f>
        <v>0</v>
      </c>
      <c r="K26" s="7">
        <f>H26*GoldPoints*G26</f>
        <v>0</v>
      </c>
      <c r="L26" s="7">
        <f>I26*SilverPoints*G26</f>
        <v>0</v>
      </c>
      <c r="M26" s="7">
        <f>J26*BronzePoints*G26</f>
        <v>0</v>
      </c>
      <c r="N26" s="7">
        <f t="shared" si="1"/>
        <v>0</v>
      </c>
      <c r="O26" s="7" t="b">
        <f t="array" ref="O26">IF(E26="",FALSE,IFERROR(AND(ISNUMBER(MATCH(E26,Countries!$A$2:$A$72,0)),XLOOKUP(E26,Countries!$A$2:$A$72,Countries!$I$2:$I$72,FALSE)),FALSE))</f>
        <v>0</v>
      </c>
      <c r="P26" s="7" t="b">
        <f t="array" ref="P26">IF(E26="",FALSE,IFERROR(XLOOKUP(E26,Countries!$A$2:$A$72,Countries!$G$2:$G$72,FALSE),FALSE))</f>
        <v>0</v>
      </c>
      <c r="Q26" s="7" t="str">
        <f t="shared" si="2"/>
        <v>⚪</v>
      </c>
    </row>
    <row r="27" ht="15.75" customHeight="1">
      <c r="A27" s="7" t="str">
        <f t="array" ref="A27">IFERROR(IF(INDEX(Entries!$C$2:$C$48,4)="","",INDEX(Entries!$Q$2:$Q$48,4)),"")</f>
        <v/>
      </c>
      <c r="B27" s="7" t="str">
        <f t="array" ref="B27">IF(A27="","",IFERROR(INDEX(Entries!$E$2:$E$48,4),""))</f>
        <v/>
      </c>
      <c r="C27" s="7" t="str">
        <f>IF(A27="","","Tier2_Pick1")</f>
        <v/>
      </c>
      <c r="D27" s="7" t="str">
        <f t="shared" ref="D27:D28" si="9">IF(A27="","",2)</f>
        <v/>
      </c>
      <c r="E27" s="7" t="str">
        <f t="array" ref="E27">IF(A27="","",IFERROR(INDEX(Entries!$M$2:$M$48,4),""))</f>
        <v/>
      </c>
      <c r="F27" s="7" t="str">
        <f>IF(E27="","",IFERROR(_xludf.XLOOKUP(E27,Countries!$A$2:$A$72,Countries!$B$2:$B$72,"???"),"???"))</f>
        <v/>
      </c>
      <c r="G27" s="7">
        <f t="array" ref="G27">IF(E27="",0,IFERROR(XLOOKUP(E27,Countries!$A$2:$A$72,Countries!$E$2:$E$72,0),0))</f>
        <v>0</v>
      </c>
      <c r="H27" s="7">
        <f t="array" ref="H27">IF(E27="",0,IFERROR(XLOOKUP(E27,Medals!$B$2:$B$51,Medals!$D$2:$D$51,0),0))</f>
        <v>0</v>
      </c>
      <c r="I27" s="7">
        <f t="array" ref="I27">IF(E27="",0,IFERROR(XLOOKUP(E27,Medals!$B$2:$B$51,Medals!$E$2:$E$51,0),0))</f>
        <v>0</v>
      </c>
      <c r="J27" s="7">
        <f t="array" ref="J27">IF(E27="",0,IFERROR(XLOOKUP(E27,Medals!$B$2:$B$51,Medals!$F$2:$F$51,0),0))</f>
        <v>0</v>
      </c>
      <c r="K27" s="7">
        <f>H27*GoldPoints*G27</f>
        <v>0</v>
      </c>
      <c r="L27" s="7">
        <f>I27*SilverPoints*G27</f>
        <v>0</v>
      </c>
      <c r="M27" s="7">
        <f>J27*BronzePoints*G27</f>
        <v>0</v>
      </c>
      <c r="N27" s="7">
        <f t="shared" si="1"/>
        <v>0</v>
      </c>
      <c r="O27" s="7" t="b">
        <f t="array" ref="O27">IF(E27="",FALSE,IFERROR(AND(ISNUMBER(MATCH(E27,Countries!$A$2:$A$72,0)),XLOOKUP(E27,Countries!$A$2:$A$72,Countries!$I$2:$I$72,FALSE)),FALSE))</f>
        <v>0</v>
      </c>
      <c r="P27" s="7" t="b">
        <f t="array" ref="P27">IF(E27="",FALSE,IFERROR(XLOOKUP(E27,Countries!$A$2:$A$72,Countries!$G$2:$G$72,FALSE),FALSE))</f>
        <v>0</v>
      </c>
      <c r="Q27" s="7" t="str">
        <f t="shared" si="2"/>
        <v>⚪</v>
      </c>
    </row>
    <row r="28" ht="15.75" customHeight="1">
      <c r="A28" s="7" t="str">
        <f t="array" ref="A28">IFERROR(IF(INDEX(Entries!$C$2:$C$48,4)="","",INDEX(Entries!$Q$2:$Q$48,4)),"")</f>
        <v/>
      </c>
      <c r="B28" s="7" t="str">
        <f t="array" ref="B28">IF(A28="","",IFERROR(INDEX(Entries!$E$2:$E$48,4),""))</f>
        <v/>
      </c>
      <c r="C28" s="7" t="str">
        <f>IF(A28="","","Tier2_Pick2")</f>
        <v/>
      </c>
      <c r="D28" s="7" t="str">
        <f t="shared" si="9"/>
        <v/>
      </c>
      <c r="E28" s="7" t="str">
        <f t="array" ref="E28">IF(A28="","",IFERROR(INDEX(Entries!$N$2:$N$48,4),""))</f>
        <v/>
      </c>
      <c r="F28" s="7" t="str">
        <f>IF(E28="","",IFERROR(_xludf.XLOOKUP(E28,Countries!$A$2:$A$72,Countries!$B$2:$B$72,"???"),"???"))</f>
        <v/>
      </c>
      <c r="G28" s="7">
        <f t="array" ref="G28">IF(E28="",0,IFERROR(XLOOKUP(E28,Countries!$A$2:$A$72,Countries!$E$2:$E$72,0),0))</f>
        <v>0</v>
      </c>
      <c r="H28" s="7">
        <f t="array" ref="H28">IF(E28="",0,IFERROR(XLOOKUP(E28,Medals!$B$2:$B$51,Medals!$D$2:$D$51,0),0))</f>
        <v>0</v>
      </c>
      <c r="I28" s="7">
        <f t="array" ref="I28">IF(E28="",0,IFERROR(XLOOKUP(E28,Medals!$B$2:$B$51,Medals!$E$2:$E$51,0),0))</f>
        <v>0</v>
      </c>
      <c r="J28" s="7">
        <f t="array" ref="J28">IF(E28="",0,IFERROR(XLOOKUP(E28,Medals!$B$2:$B$51,Medals!$F$2:$F$51,0),0))</f>
        <v>0</v>
      </c>
      <c r="K28" s="7">
        <f>H28*GoldPoints*G28</f>
        <v>0</v>
      </c>
      <c r="L28" s="7">
        <f>I28*SilverPoints*G28</f>
        <v>0</v>
      </c>
      <c r="M28" s="7">
        <f>J28*BronzePoints*G28</f>
        <v>0</v>
      </c>
      <c r="N28" s="7">
        <f t="shared" si="1"/>
        <v>0</v>
      </c>
      <c r="O28" s="7" t="b">
        <f t="array" ref="O28">IF(E28="",FALSE,IFERROR(AND(ISNUMBER(MATCH(E28,Countries!$A$2:$A$72,0)),XLOOKUP(E28,Countries!$A$2:$A$72,Countries!$I$2:$I$72,FALSE)),FALSE))</f>
        <v>0</v>
      </c>
      <c r="P28" s="7" t="b">
        <f t="array" ref="P28">IF(E28="",FALSE,IFERROR(XLOOKUP(E28,Countries!$A$2:$A$72,Countries!$G$2:$G$72,FALSE),FALSE))</f>
        <v>0</v>
      </c>
      <c r="Q28" s="7" t="str">
        <f t="shared" si="2"/>
        <v>⚪</v>
      </c>
    </row>
    <row r="29" ht="15.75" customHeight="1">
      <c r="A29" s="7" t="str">
        <f t="array" ref="A29">IFERROR(IF(INDEX(Entries!$C$2:$C$48,4)="","",INDEX(Entries!$Q$2:$Q$48,4)),"")</f>
        <v/>
      </c>
      <c r="B29" s="7" t="str">
        <f t="array" ref="B29">IF(A29="","",IFERROR(INDEX(Entries!$E$2:$E$48,4),""))</f>
        <v/>
      </c>
      <c r="C29" s="7" t="str">
        <f>IF(A29="","","Tier3_Pick1")</f>
        <v/>
      </c>
      <c r="D29" s="7" t="str">
        <f>IF(A29="","",3)</f>
        <v/>
      </c>
      <c r="E29" s="7" t="str">
        <f t="array" ref="E29">IF(A29="","",IFERROR(INDEX(Entries!$H$2:$H$48,4),""))</f>
        <v/>
      </c>
      <c r="F29" s="7" t="str">
        <f>IF(E29="","",IFERROR(_xludf.XLOOKUP(E29,Countries!$A$2:$A$72,Countries!$B$2:$B$72,"???"),"???"))</f>
        <v/>
      </c>
      <c r="G29" s="7">
        <f t="array" ref="G29">IF(E29="",0,IFERROR(XLOOKUP(E29,Countries!$A$2:$A$72,Countries!$E$2:$E$72,0),0))</f>
        <v>0</v>
      </c>
      <c r="H29" s="7">
        <f t="array" ref="H29">IF(E29="",0,IFERROR(XLOOKUP(E29,Medals!$B$2:$B$51,Medals!$D$2:$D$51,0),0))</f>
        <v>0</v>
      </c>
      <c r="I29" s="7">
        <f t="array" ref="I29">IF(E29="",0,IFERROR(XLOOKUP(E29,Medals!$B$2:$B$51,Medals!$E$2:$E$51,0),0))</f>
        <v>0</v>
      </c>
      <c r="J29" s="7">
        <f t="array" ref="J29">IF(E29="",0,IFERROR(XLOOKUP(E29,Medals!$B$2:$B$51,Medals!$F$2:$F$51,0),0))</f>
        <v>0</v>
      </c>
      <c r="K29" s="7">
        <f>H29*GoldPoints*G29</f>
        <v>0</v>
      </c>
      <c r="L29" s="7">
        <f>I29*SilverPoints*G29</f>
        <v>0</v>
      </c>
      <c r="M29" s="7">
        <f>J29*BronzePoints*G29</f>
        <v>0</v>
      </c>
      <c r="N29" s="7">
        <f t="shared" si="1"/>
        <v>0</v>
      </c>
      <c r="O29" s="7" t="b">
        <f t="array" ref="O29">IF(E29="",FALSE,IFERROR(AND(ISNUMBER(MATCH(E29,Countries!$A$2:$A$72,0)),XLOOKUP(E29,Countries!$A$2:$A$72,Countries!$I$2:$I$72,FALSE)),FALSE))</f>
        <v>0</v>
      </c>
      <c r="P29" s="7" t="b">
        <f t="array" ref="P29">IF(E29="",FALSE,IFERROR(XLOOKUP(E29,Countries!$A$2:$A$72,Countries!$G$2:$G$72,FALSE),FALSE))</f>
        <v>0</v>
      </c>
      <c r="Q29" s="7" t="str">
        <f t="shared" si="2"/>
        <v>⚪</v>
      </c>
    </row>
    <row r="30" ht="15.75" customHeight="1">
      <c r="A30" s="7" t="str">
        <f t="array" ref="A30">IFERROR(IF(INDEX(Entries!$C$2:$C$48,4)="","",INDEX(Entries!$Q$2:$Q$48,4)),"")</f>
        <v/>
      </c>
      <c r="B30" s="7" t="str">
        <f t="array" ref="B30">IF(A30="","",IFERROR(INDEX(Entries!$E$2:$E$48,4),""))</f>
        <v/>
      </c>
      <c r="C30" s="7" t="str">
        <f>IF(A30="","","Tier4_Pick1")</f>
        <v/>
      </c>
      <c r="D30" s="7" t="str">
        <f>IF(A30="","",4)</f>
        <v/>
      </c>
      <c r="E30" s="7" t="str">
        <f t="array" ref="E30">IF(A30="","",IFERROR(INDEX(Entries!$I$2:$I$48,4),""))</f>
        <v/>
      </c>
      <c r="F30" s="7" t="str">
        <f>IF(E30="","",IFERROR(_xludf.XLOOKUP(E30,Countries!$A$2:$A$72,Countries!$B$2:$B$72,"???"),"???"))</f>
        <v/>
      </c>
      <c r="G30" s="7">
        <f t="array" ref="G30">IF(E30="",0,IFERROR(XLOOKUP(E30,Countries!$A$2:$A$72,Countries!$E$2:$E$72,0),0))</f>
        <v>0</v>
      </c>
      <c r="H30" s="7">
        <f t="array" ref="H30">IF(E30="",0,IFERROR(XLOOKUP(E30,Medals!$B$2:$B$51,Medals!$D$2:$D$51,0),0))</f>
        <v>0</v>
      </c>
      <c r="I30" s="7">
        <f t="array" ref="I30">IF(E30="",0,IFERROR(XLOOKUP(E30,Medals!$B$2:$B$51,Medals!$E$2:$E$51,0),0))</f>
        <v>0</v>
      </c>
      <c r="J30" s="7">
        <f t="array" ref="J30">IF(E30="",0,IFERROR(XLOOKUP(E30,Medals!$B$2:$B$51,Medals!$F$2:$F$51,0),0))</f>
        <v>0</v>
      </c>
      <c r="K30" s="7">
        <f>H30*GoldPoints*G30</f>
        <v>0</v>
      </c>
      <c r="L30" s="7">
        <f>I30*SilverPoints*G30</f>
        <v>0</v>
      </c>
      <c r="M30" s="7">
        <f>J30*BronzePoints*G30</f>
        <v>0</v>
      </c>
      <c r="N30" s="7">
        <f t="shared" si="1"/>
        <v>0</v>
      </c>
      <c r="O30" s="7" t="b">
        <f t="array" ref="O30">IF(E30="",FALSE,IFERROR(AND(ISNUMBER(MATCH(E30,Countries!$A$2:$A$72,0)),XLOOKUP(E30,Countries!$A$2:$A$72,Countries!$I$2:$I$72,FALSE)),FALSE))</f>
        <v>0</v>
      </c>
      <c r="P30" s="7" t="b">
        <f t="array" ref="P30">IF(E30="",FALSE,IFERROR(XLOOKUP(E30,Countries!$A$2:$A$72,Countries!$G$2:$G$72,FALSE),FALSE))</f>
        <v>0</v>
      </c>
      <c r="Q30" s="7" t="str">
        <f t="shared" si="2"/>
        <v>⚪</v>
      </c>
    </row>
    <row r="31" ht="15.75" customHeight="1">
      <c r="A31" s="7" t="str">
        <f t="array" ref="A31">IFERROR(IF(INDEX(Entries!$C$2:$C$48,4)="","",INDEX(Entries!$Q$2:$Q$48,4)),"")</f>
        <v/>
      </c>
      <c r="B31" s="7" t="str">
        <f t="array" ref="B31">IF(A31="","",IFERROR(INDEX(Entries!$E$2:$E$48,4),""))</f>
        <v/>
      </c>
      <c r="C31" s="7" t="str">
        <f>IF(A31="","","Tier5_Pick1")</f>
        <v/>
      </c>
      <c r="D31" s="7" t="str">
        <f>IF(A31="","",5)</f>
        <v/>
      </c>
      <c r="E31" s="7" t="str">
        <f t="array" ref="E31">IF(A31="","",IFERROR(INDEX(Entries!$J$2:$J$48,4),""))</f>
        <v/>
      </c>
      <c r="F31" s="7" t="str">
        <f>IF(E31="","",IFERROR(_xludf.XLOOKUP(E31,Countries!$A$2:$A$72,Countries!$B$2:$B$72,"???"),"???"))</f>
        <v/>
      </c>
      <c r="G31" s="7">
        <f t="array" ref="G31">IF(E31="",0,IFERROR(XLOOKUP(E31,Countries!$A$2:$A$72,Countries!$E$2:$E$72,0),0))</f>
        <v>0</v>
      </c>
      <c r="H31" s="7">
        <f t="array" ref="H31">IF(E31="",0,IFERROR(XLOOKUP(E31,Medals!$B$2:$B$51,Medals!$D$2:$D$51,0),0))</f>
        <v>0</v>
      </c>
      <c r="I31" s="7">
        <f t="array" ref="I31">IF(E31="",0,IFERROR(XLOOKUP(E31,Medals!$B$2:$B$51,Medals!$E$2:$E$51,0),0))</f>
        <v>0</v>
      </c>
      <c r="J31" s="7">
        <f t="array" ref="J31">IF(E31="",0,IFERROR(XLOOKUP(E31,Medals!$B$2:$B$51,Medals!$F$2:$F$51,0),0))</f>
        <v>0</v>
      </c>
      <c r="K31" s="7">
        <f>H31*GoldPoints*G31</f>
        <v>0</v>
      </c>
      <c r="L31" s="7">
        <f>I31*SilverPoints*G31</f>
        <v>0</v>
      </c>
      <c r="M31" s="7">
        <f>J31*BronzePoints*G31</f>
        <v>0</v>
      </c>
      <c r="N31" s="7">
        <f t="shared" si="1"/>
        <v>0</v>
      </c>
      <c r="O31" s="7" t="b">
        <f t="array" ref="O31">IF(E31="",FALSE,IFERROR(AND(ISNUMBER(MATCH(E31,Countries!$A$2:$A$72,0)),XLOOKUP(E31,Countries!$A$2:$A$72,Countries!$I$2:$I$72,FALSE)),FALSE))</f>
        <v>0</v>
      </c>
      <c r="P31" s="7" t="b">
        <f t="array" ref="P31">IF(E31="",FALSE,IFERROR(XLOOKUP(E31,Countries!$A$2:$A$72,Countries!$G$2:$G$72,FALSE),FALSE))</f>
        <v>0</v>
      </c>
      <c r="Q31" s="7" t="str">
        <f t="shared" si="2"/>
        <v>⚪</v>
      </c>
    </row>
    <row r="32" ht="15.75" customHeight="1">
      <c r="A32" s="7" t="str">
        <f t="array" ref="A32">IFERROR(IF(INDEX(Entries!$C$2:$C$48,4)="","",INDEX(Entries!$Q$2:$Q$48,4)),"")</f>
        <v/>
      </c>
      <c r="B32" s="7" t="str">
        <f t="array" ref="B32">IF(A32="","",IFERROR(INDEX(Entries!$E$2:$E$48,4),""))</f>
        <v/>
      </c>
      <c r="C32" s="7" t="str">
        <f>IF(A32="","","Tier6_Pick1")</f>
        <v/>
      </c>
      <c r="D32" s="7" t="str">
        <f t="shared" ref="D32:D33" si="10">IF(A32="","",6)</f>
        <v/>
      </c>
      <c r="E32" s="7" t="str">
        <f t="array" ref="E32">IF(A32="","",IFERROR(INDEX(Entries!$O$2:$O$48,4),""))</f>
        <v/>
      </c>
      <c r="F32" s="7" t="str">
        <f>IF(E32="","",IFERROR(_xludf.XLOOKUP(E32,Countries!$A$2:$A$72,Countries!$B$2:$B$72,"???"),"???"))</f>
        <v/>
      </c>
      <c r="G32" s="7">
        <f t="array" ref="G32">IF(E32="",0,IFERROR(XLOOKUP(E32,Countries!$A$2:$A$72,Countries!$E$2:$E$72,0),0))</f>
        <v>0</v>
      </c>
      <c r="H32" s="7">
        <f t="array" ref="H32">IF(E32="",0,IFERROR(XLOOKUP(E32,Medals!$B$2:$B$51,Medals!$D$2:$D$51,0),0))</f>
        <v>0</v>
      </c>
      <c r="I32" s="7">
        <f t="array" ref="I32">IF(E32="",0,IFERROR(XLOOKUP(E32,Medals!$B$2:$B$51,Medals!$E$2:$E$51,0),0))</f>
        <v>0</v>
      </c>
      <c r="J32" s="7">
        <f t="array" ref="J32">IF(E32="",0,IFERROR(XLOOKUP(E32,Medals!$B$2:$B$51,Medals!$F$2:$F$51,0),0))</f>
        <v>0</v>
      </c>
      <c r="K32" s="7">
        <f>H32*GoldPoints*G32</f>
        <v>0</v>
      </c>
      <c r="L32" s="7">
        <f>I32*SilverPoints*G32</f>
        <v>0</v>
      </c>
      <c r="M32" s="7">
        <f>J32*BronzePoints*G32</f>
        <v>0</v>
      </c>
      <c r="N32" s="7">
        <f t="shared" si="1"/>
        <v>0</v>
      </c>
      <c r="O32" s="7" t="b">
        <f t="array" ref="O32">IF(E32="",FALSE,IFERROR(AND(ISNUMBER(MATCH(E32,Countries!$A$2:$A$72,0)),XLOOKUP(E32,Countries!$A$2:$A$72,Countries!$I$2:$I$72,FALSE)),FALSE))</f>
        <v>0</v>
      </c>
      <c r="P32" s="7" t="b">
        <f t="array" ref="P32">IF(E32="",FALSE,IFERROR(XLOOKUP(E32,Countries!$A$2:$A$72,Countries!$G$2:$G$72,FALSE),FALSE))</f>
        <v>0</v>
      </c>
      <c r="Q32" s="7" t="str">
        <f t="shared" si="2"/>
        <v>⚪</v>
      </c>
    </row>
    <row r="33" ht="15.75" customHeight="1">
      <c r="A33" s="7" t="str">
        <f t="array" ref="A33">IFERROR(IF(INDEX(Entries!$C$2:$C$48,4)="","",INDEX(Entries!$Q$2:$Q$48,4)),"")</f>
        <v/>
      </c>
      <c r="B33" s="7" t="str">
        <f t="array" ref="B33">IF(A33="","",IFERROR(INDEX(Entries!$E$2:$E$48,4),""))</f>
        <v/>
      </c>
      <c r="C33" s="7" t="str">
        <f>IF(A33="","","Tier6_Pick2")</f>
        <v/>
      </c>
      <c r="D33" s="7" t="str">
        <f t="shared" si="10"/>
        <v/>
      </c>
      <c r="E33" s="7" t="str">
        <f t="array" ref="E33">IF(A33="","",IFERROR(INDEX(Entries!$P$2:$P$48,4),""))</f>
        <v/>
      </c>
      <c r="F33" s="7" t="str">
        <f>IF(E33="","",IFERROR(_xludf.XLOOKUP(E33,Countries!$A$2:$A$72,Countries!$B$2:$B$72,"???"),"???"))</f>
        <v/>
      </c>
      <c r="G33" s="7">
        <f t="array" ref="G33">IF(E33="",0,IFERROR(XLOOKUP(E33,Countries!$A$2:$A$72,Countries!$E$2:$E$72,0),0))</f>
        <v>0</v>
      </c>
      <c r="H33" s="7">
        <f t="array" ref="H33">IF(E33="",0,IFERROR(XLOOKUP(E33,Medals!$B$2:$B$51,Medals!$D$2:$D$51,0),0))</f>
        <v>0</v>
      </c>
      <c r="I33" s="7">
        <f t="array" ref="I33">IF(E33="",0,IFERROR(XLOOKUP(E33,Medals!$B$2:$B$51,Medals!$E$2:$E$51,0),0))</f>
        <v>0</v>
      </c>
      <c r="J33" s="7">
        <f t="array" ref="J33">IF(E33="",0,IFERROR(XLOOKUP(E33,Medals!$B$2:$B$51,Medals!$F$2:$F$51,0),0))</f>
        <v>0</v>
      </c>
      <c r="K33" s="7">
        <f>H33*GoldPoints*G33</f>
        <v>0</v>
      </c>
      <c r="L33" s="7">
        <f>I33*SilverPoints*G33</f>
        <v>0</v>
      </c>
      <c r="M33" s="7">
        <f>J33*BronzePoints*G33</f>
        <v>0</v>
      </c>
      <c r="N33" s="7">
        <f t="shared" si="1"/>
        <v>0</v>
      </c>
      <c r="O33" s="7" t="b">
        <f t="array" ref="O33">IF(E33="",FALSE,IFERROR(AND(ISNUMBER(MATCH(E33,Countries!$A$2:$A$72,0)),XLOOKUP(E33,Countries!$A$2:$A$72,Countries!$I$2:$I$72,FALSE)),FALSE))</f>
        <v>0</v>
      </c>
      <c r="P33" s="7" t="b">
        <f t="array" ref="P33">IF(E33="",FALSE,IFERROR(XLOOKUP(E33,Countries!$A$2:$A$72,Countries!$G$2:$G$72,FALSE),FALSE))</f>
        <v>0</v>
      </c>
      <c r="Q33" s="7" t="str">
        <f t="shared" si="2"/>
        <v>⚪</v>
      </c>
    </row>
    <row r="34" ht="15.75" customHeight="1">
      <c r="A34" s="7" t="str">
        <f t="array" ref="A34">IFERROR(IF(INDEX(Entries!$C$2:$C$48,5)="","",INDEX(Entries!$Q$2:$Q$48,5)),"")</f>
        <v/>
      </c>
      <c r="B34" s="7" t="str">
        <f t="array" ref="B34">IF(A34="","",IFERROR(INDEX(Entries!$E$2:$E$48,5),""))</f>
        <v/>
      </c>
      <c r="C34" s="7" t="str">
        <f>IF(A34="","","Tier1_Pick1")</f>
        <v/>
      </c>
      <c r="D34" s="7" t="str">
        <f>IF(A34="","",1)</f>
        <v/>
      </c>
      <c r="E34" s="7" t="str">
        <f t="array" ref="E34">IF(A34="","",IFERROR(INDEX(Entries!$F$2:$F$48,5),""))</f>
        <v/>
      </c>
      <c r="F34" s="7" t="str">
        <f>IF(E34="","",IFERROR(_xludf.XLOOKUP(E34,Countries!$A$2:$A$72,Countries!$B$2:$B$72,"???"),"???"))</f>
        <v/>
      </c>
      <c r="G34" s="7">
        <f t="array" ref="G34">IF(E34="",0,IFERROR(XLOOKUP(E34,Countries!$A$2:$A$72,Countries!$E$2:$E$72,0),0))</f>
        <v>0</v>
      </c>
      <c r="H34" s="7">
        <f t="array" ref="H34">IF(E34="",0,IFERROR(XLOOKUP(E34,Medals!$B$2:$B$51,Medals!$D$2:$D$51,0),0))</f>
        <v>0</v>
      </c>
      <c r="I34" s="7">
        <f t="array" ref="I34">IF(E34="",0,IFERROR(XLOOKUP(E34,Medals!$B$2:$B$51,Medals!$E$2:$E$51,0),0))</f>
        <v>0</v>
      </c>
      <c r="J34" s="7">
        <f t="array" ref="J34">IF(E34="",0,IFERROR(XLOOKUP(E34,Medals!$B$2:$B$51,Medals!$F$2:$F$51,0),0))</f>
        <v>0</v>
      </c>
      <c r="K34" s="7">
        <f>H34*GoldPoints*G34</f>
        <v>0</v>
      </c>
      <c r="L34" s="7">
        <f>I34*SilverPoints*G34</f>
        <v>0</v>
      </c>
      <c r="M34" s="7">
        <f>J34*BronzePoints*G34</f>
        <v>0</v>
      </c>
      <c r="N34" s="7">
        <f t="shared" si="1"/>
        <v>0</v>
      </c>
      <c r="O34" s="7" t="b">
        <f t="array" ref="O34">IF(E34="",FALSE,IFERROR(AND(ISNUMBER(MATCH(E34,Countries!$A$2:$A$72,0)),XLOOKUP(E34,Countries!$A$2:$A$72,Countries!$I$2:$I$72,FALSE)),FALSE))</f>
        <v>0</v>
      </c>
      <c r="P34" s="7" t="b">
        <f t="array" ref="P34">IF(E34="",FALSE,IFERROR(XLOOKUP(E34,Countries!$A$2:$A$72,Countries!$G$2:$G$72,FALSE),FALSE))</f>
        <v>0</v>
      </c>
      <c r="Q34" s="7" t="str">
        <f t="shared" si="2"/>
        <v>⚪</v>
      </c>
    </row>
    <row r="35" ht="15.75" customHeight="1">
      <c r="A35" s="7" t="str">
        <f t="array" ref="A35">IFERROR(IF(INDEX(Entries!$C$2:$C$48,5)="","",INDEX(Entries!$Q$2:$Q$48,5)),"")</f>
        <v/>
      </c>
      <c r="B35" s="7" t="str">
        <f t="array" ref="B35">IF(A35="","",IFERROR(INDEX(Entries!$E$2:$E$48,5),""))</f>
        <v/>
      </c>
      <c r="C35" s="7" t="str">
        <f>IF(A35="","","Tier2_Pick1")</f>
        <v/>
      </c>
      <c r="D35" s="7" t="str">
        <f t="shared" ref="D35:D36" si="11">IF(A35="","",2)</f>
        <v/>
      </c>
      <c r="E35" s="7" t="str">
        <f t="array" ref="E35">IF(A35="","",IFERROR(INDEX(Entries!$M$2:$M$48,5),""))</f>
        <v/>
      </c>
      <c r="F35" s="7" t="str">
        <f>IF(E35="","",IFERROR(_xludf.XLOOKUP(E35,Countries!$A$2:$A$72,Countries!$B$2:$B$72,"???"),"???"))</f>
        <v/>
      </c>
      <c r="G35" s="7">
        <f t="array" ref="G35">IF(E35="",0,IFERROR(XLOOKUP(E35,Countries!$A$2:$A$72,Countries!$E$2:$E$72,0),0))</f>
        <v>0</v>
      </c>
      <c r="H35" s="7">
        <f t="array" ref="H35">IF(E35="",0,IFERROR(XLOOKUP(E35,Medals!$B$2:$B$51,Medals!$D$2:$D$51,0),0))</f>
        <v>0</v>
      </c>
      <c r="I35" s="7">
        <f t="array" ref="I35">IF(E35="",0,IFERROR(XLOOKUP(E35,Medals!$B$2:$B$51,Medals!$E$2:$E$51,0),0))</f>
        <v>0</v>
      </c>
      <c r="J35" s="7">
        <f t="array" ref="J35">IF(E35="",0,IFERROR(XLOOKUP(E35,Medals!$B$2:$B$51,Medals!$F$2:$F$51,0),0))</f>
        <v>0</v>
      </c>
      <c r="K35" s="7">
        <f>H35*GoldPoints*G35</f>
        <v>0</v>
      </c>
      <c r="L35" s="7">
        <f>I35*SilverPoints*G35</f>
        <v>0</v>
      </c>
      <c r="M35" s="7">
        <f>J35*BronzePoints*G35</f>
        <v>0</v>
      </c>
      <c r="N35" s="7">
        <f t="shared" si="1"/>
        <v>0</v>
      </c>
      <c r="O35" s="7" t="b">
        <f t="array" ref="O35">IF(E35="",FALSE,IFERROR(AND(ISNUMBER(MATCH(E35,Countries!$A$2:$A$72,0)),XLOOKUP(E35,Countries!$A$2:$A$72,Countries!$I$2:$I$72,FALSE)),FALSE))</f>
        <v>0</v>
      </c>
      <c r="P35" s="7" t="b">
        <f t="array" ref="P35">IF(E35="",FALSE,IFERROR(XLOOKUP(E35,Countries!$A$2:$A$72,Countries!$G$2:$G$72,FALSE),FALSE))</f>
        <v>0</v>
      </c>
      <c r="Q35" s="7" t="str">
        <f t="shared" si="2"/>
        <v>⚪</v>
      </c>
    </row>
    <row r="36" ht="15.75" customHeight="1">
      <c r="A36" s="7" t="str">
        <f t="array" ref="A36">IFERROR(IF(INDEX(Entries!$C$2:$C$48,5)="","",INDEX(Entries!$Q$2:$Q$48,5)),"")</f>
        <v/>
      </c>
      <c r="B36" s="7" t="str">
        <f t="array" ref="B36">IF(A36="","",IFERROR(INDEX(Entries!$E$2:$E$48,5),""))</f>
        <v/>
      </c>
      <c r="C36" s="7" t="str">
        <f>IF(A36="","","Tier2_Pick2")</f>
        <v/>
      </c>
      <c r="D36" s="7" t="str">
        <f t="shared" si="11"/>
        <v/>
      </c>
      <c r="E36" s="7" t="str">
        <f t="array" ref="E36">IF(A36="","",IFERROR(INDEX(Entries!$N$2:$N$48,5),""))</f>
        <v/>
      </c>
      <c r="F36" s="7" t="str">
        <f>IF(E36="","",IFERROR(_xludf.XLOOKUP(E36,Countries!$A$2:$A$72,Countries!$B$2:$B$72,"???"),"???"))</f>
        <v/>
      </c>
      <c r="G36" s="7">
        <f t="array" ref="G36">IF(E36="",0,IFERROR(XLOOKUP(E36,Countries!$A$2:$A$72,Countries!$E$2:$E$72,0),0))</f>
        <v>0</v>
      </c>
      <c r="H36" s="7">
        <f t="array" ref="H36">IF(E36="",0,IFERROR(XLOOKUP(E36,Medals!$B$2:$B$51,Medals!$D$2:$D$51,0),0))</f>
        <v>0</v>
      </c>
      <c r="I36" s="7">
        <f t="array" ref="I36">IF(E36="",0,IFERROR(XLOOKUP(E36,Medals!$B$2:$B$51,Medals!$E$2:$E$51,0),0))</f>
        <v>0</v>
      </c>
      <c r="J36" s="7">
        <f t="array" ref="J36">IF(E36="",0,IFERROR(XLOOKUP(E36,Medals!$B$2:$B$51,Medals!$F$2:$F$51,0),0))</f>
        <v>0</v>
      </c>
      <c r="K36" s="7">
        <f>H36*GoldPoints*G36</f>
        <v>0</v>
      </c>
      <c r="L36" s="7">
        <f>I36*SilverPoints*G36</f>
        <v>0</v>
      </c>
      <c r="M36" s="7">
        <f>J36*BronzePoints*G36</f>
        <v>0</v>
      </c>
      <c r="N36" s="7">
        <f t="shared" si="1"/>
        <v>0</v>
      </c>
      <c r="O36" s="7" t="b">
        <f t="array" ref="O36">IF(E36="",FALSE,IFERROR(AND(ISNUMBER(MATCH(E36,Countries!$A$2:$A$72,0)),XLOOKUP(E36,Countries!$A$2:$A$72,Countries!$I$2:$I$72,FALSE)),FALSE))</f>
        <v>0</v>
      </c>
      <c r="P36" s="7" t="b">
        <f t="array" ref="P36">IF(E36="",FALSE,IFERROR(XLOOKUP(E36,Countries!$A$2:$A$72,Countries!$G$2:$G$72,FALSE),FALSE))</f>
        <v>0</v>
      </c>
      <c r="Q36" s="7" t="str">
        <f t="shared" si="2"/>
        <v>⚪</v>
      </c>
    </row>
    <row r="37" ht="15.75" customHeight="1">
      <c r="A37" s="7" t="str">
        <f t="array" ref="A37">IFERROR(IF(INDEX(Entries!$C$2:$C$48,5)="","",INDEX(Entries!$Q$2:$Q$48,5)),"")</f>
        <v/>
      </c>
      <c r="B37" s="7" t="str">
        <f t="array" ref="B37">IF(A37="","",IFERROR(INDEX(Entries!$E$2:$E$48,5),""))</f>
        <v/>
      </c>
      <c r="C37" s="7" t="str">
        <f>IF(A37="","","Tier3_Pick1")</f>
        <v/>
      </c>
      <c r="D37" s="7" t="str">
        <f>IF(A37="","",3)</f>
        <v/>
      </c>
      <c r="E37" s="7" t="str">
        <f t="array" ref="E37">IF(A37="","",IFERROR(INDEX(Entries!$H$2:$H$48,5),""))</f>
        <v/>
      </c>
      <c r="F37" s="7" t="str">
        <f>IF(E37="","",IFERROR(_xludf.XLOOKUP(E37,Countries!$A$2:$A$72,Countries!$B$2:$B$72,"???"),"???"))</f>
        <v/>
      </c>
      <c r="G37" s="7">
        <f t="array" ref="G37">IF(E37="",0,IFERROR(XLOOKUP(E37,Countries!$A$2:$A$72,Countries!$E$2:$E$72,0),0))</f>
        <v>0</v>
      </c>
      <c r="H37" s="7">
        <f t="array" ref="H37">IF(E37="",0,IFERROR(XLOOKUP(E37,Medals!$B$2:$B$51,Medals!$D$2:$D$51,0),0))</f>
        <v>0</v>
      </c>
      <c r="I37" s="7">
        <f t="array" ref="I37">IF(E37="",0,IFERROR(XLOOKUP(E37,Medals!$B$2:$B$51,Medals!$E$2:$E$51,0),0))</f>
        <v>0</v>
      </c>
      <c r="J37" s="7">
        <f t="array" ref="J37">IF(E37="",0,IFERROR(XLOOKUP(E37,Medals!$B$2:$B$51,Medals!$F$2:$F$51,0),0))</f>
        <v>0</v>
      </c>
      <c r="K37" s="7">
        <f>H37*GoldPoints*G37</f>
        <v>0</v>
      </c>
      <c r="L37" s="7">
        <f>I37*SilverPoints*G37</f>
        <v>0</v>
      </c>
      <c r="M37" s="7">
        <f>J37*BronzePoints*G37</f>
        <v>0</v>
      </c>
      <c r="N37" s="7">
        <f t="shared" si="1"/>
        <v>0</v>
      </c>
      <c r="O37" s="7" t="b">
        <f t="array" ref="O37">IF(E37="",FALSE,IFERROR(AND(ISNUMBER(MATCH(E37,Countries!$A$2:$A$72,0)),XLOOKUP(E37,Countries!$A$2:$A$72,Countries!$I$2:$I$72,FALSE)),FALSE))</f>
        <v>0</v>
      </c>
      <c r="P37" s="7" t="b">
        <f t="array" ref="P37">IF(E37="",FALSE,IFERROR(XLOOKUP(E37,Countries!$A$2:$A$72,Countries!$G$2:$G$72,FALSE),FALSE))</f>
        <v>0</v>
      </c>
      <c r="Q37" s="7" t="str">
        <f t="shared" si="2"/>
        <v>⚪</v>
      </c>
    </row>
    <row r="38" ht="15.75" customHeight="1">
      <c r="A38" s="7" t="str">
        <f t="array" ref="A38">IFERROR(IF(INDEX(Entries!$C$2:$C$48,5)="","",INDEX(Entries!$Q$2:$Q$48,5)),"")</f>
        <v/>
      </c>
      <c r="B38" s="7" t="str">
        <f t="array" ref="B38">IF(A38="","",IFERROR(INDEX(Entries!$E$2:$E$48,5),""))</f>
        <v/>
      </c>
      <c r="C38" s="7" t="str">
        <f>IF(A38="","","Tier4_Pick1")</f>
        <v/>
      </c>
      <c r="D38" s="7" t="str">
        <f>IF(A38="","",4)</f>
        <v/>
      </c>
      <c r="E38" s="7" t="str">
        <f t="array" ref="E38">IF(A38="","",IFERROR(INDEX(Entries!$I$2:$I$48,5),""))</f>
        <v/>
      </c>
      <c r="F38" s="7" t="str">
        <f>IF(E38="","",IFERROR(_xludf.XLOOKUP(E38,Countries!$A$2:$A$72,Countries!$B$2:$B$72,"???"),"???"))</f>
        <v/>
      </c>
      <c r="G38" s="7">
        <f t="array" ref="G38">IF(E38="",0,IFERROR(XLOOKUP(E38,Countries!$A$2:$A$72,Countries!$E$2:$E$72,0),0))</f>
        <v>0</v>
      </c>
      <c r="H38" s="7">
        <f t="array" ref="H38">IF(E38="",0,IFERROR(XLOOKUP(E38,Medals!$B$2:$B$51,Medals!$D$2:$D$51,0),0))</f>
        <v>0</v>
      </c>
      <c r="I38" s="7">
        <f t="array" ref="I38">IF(E38="",0,IFERROR(XLOOKUP(E38,Medals!$B$2:$B$51,Medals!$E$2:$E$51,0),0))</f>
        <v>0</v>
      </c>
      <c r="J38" s="7">
        <f t="array" ref="J38">IF(E38="",0,IFERROR(XLOOKUP(E38,Medals!$B$2:$B$51,Medals!$F$2:$F$51,0),0))</f>
        <v>0</v>
      </c>
      <c r="K38" s="7">
        <f>H38*GoldPoints*G38</f>
        <v>0</v>
      </c>
      <c r="L38" s="7">
        <f>I38*SilverPoints*G38</f>
        <v>0</v>
      </c>
      <c r="M38" s="7">
        <f>J38*BronzePoints*G38</f>
        <v>0</v>
      </c>
      <c r="N38" s="7">
        <f t="shared" si="1"/>
        <v>0</v>
      </c>
      <c r="O38" s="7" t="b">
        <f t="array" ref="O38">IF(E38="",FALSE,IFERROR(AND(ISNUMBER(MATCH(E38,Countries!$A$2:$A$72,0)),XLOOKUP(E38,Countries!$A$2:$A$72,Countries!$I$2:$I$72,FALSE)),FALSE))</f>
        <v>0</v>
      </c>
      <c r="P38" s="7" t="b">
        <f t="array" ref="P38">IF(E38="",FALSE,IFERROR(XLOOKUP(E38,Countries!$A$2:$A$72,Countries!$G$2:$G$72,FALSE),FALSE))</f>
        <v>0</v>
      </c>
      <c r="Q38" s="7" t="str">
        <f t="shared" si="2"/>
        <v>⚪</v>
      </c>
    </row>
    <row r="39" ht="15.75" customHeight="1">
      <c r="A39" s="7" t="str">
        <f t="array" ref="A39">IFERROR(IF(INDEX(Entries!$C$2:$C$48,5)="","",INDEX(Entries!$Q$2:$Q$48,5)),"")</f>
        <v/>
      </c>
      <c r="B39" s="7" t="str">
        <f t="array" ref="B39">IF(A39="","",IFERROR(INDEX(Entries!$E$2:$E$48,5),""))</f>
        <v/>
      </c>
      <c r="C39" s="7" t="str">
        <f>IF(A39="","","Tier5_Pick1")</f>
        <v/>
      </c>
      <c r="D39" s="7" t="str">
        <f>IF(A39="","",5)</f>
        <v/>
      </c>
      <c r="E39" s="7" t="str">
        <f t="array" ref="E39">IF(A39="","",IFERROR(INDEX(Entries!$J$2:$J$48,5),""))</f>
        <v/>
      </c>
      <c r="F39" s="7" t="str">
        <f>IF(E39="","",IFERROR(_xludf.XLOOKUP(E39,Countries!$A$2:$A$72,Countries!$B$2:$B$72,"???"),"???"))</f>
        <v/>
      </c>
      <c r="G39" s="7">
        <f t="array" ref="G39">IF(E39="",0,IFERROR(XLOOKUP(E39,Countries!$A$2:$A$72,Countries!$E$2:$E$72,0),0))</f>
        <v>0</v>
      </c>
      <c r="H39" s="7">
        <f t="array" ref="H39">IF(E39="",0,IFERROR(XLOOKUP(E39,Medals!$B$2:$B$51,Medals!$D$2:$D$51,0),0))</f>
        <v>0</v>
      </c>
      <c r="I39" s="7">
        <f t="array" ref="I39">IF(E39="",0,IFERROR(XLOOKUP(E39,Medals!$B$2:$B$51,Medals!$E$2:$E$51,0),0))</f>
        <v>0</v>
      </c>
      <c r="J39" s="7">
        <f t="array" ref="J39">IF(E39="",0,IFERROR(XLOOKUP(E39,Medals!$B$2:$B$51,Medals!$F$2:$F$51,0),0))</f>
        <v>0</v>
      </c>
      <c r="K39" s="7">
        <f>H39*GoldPoints*G39</f>
        <v>0</v>
      </c>
      <c r="L39" s="7">
        <f>I39*SilverPoints*G39</f>
        <v>0</v>
      </c>
      <c r="M39" s="7">
        <f>J39*BronzePoints*G39</f>
        <v>0</v>
      </c>
      <c r="N39" s="7">
        <f t="shared" si="1"/>
        <v>0</v>
      </c>
      <c r="O39" s="7" t="b">
        <f t="array" ref="O39">IF(E39="",FALSE,IFERROR(AND(ISNUMBER(MATCH(E39,Countries!$A$2:$A$72,0)),XLOOKUP(E39,Countries!$A$2:$A$72,Countries!$I$2:$I$72,FALSE)),FALSE))</f>
        <v>0</v>
      </c>
      <c r="P39" s="7" t="b">
        <f t="array" ref="P39">IF(E39="",FALSE,IFERROR(XLOOKUP(E39,Countries!$A$2:$A$72,Countries!$G$2:$G$72,FALSE),FALSE))</f>
        <v>0</v>
      </c>
      <c r="Q39" s="7" t="str">
        <f t="shared" si="2"/>
        <v>⚪</v>
      </c>
    </row>
    <row r="40" ht="15.75" customHeight="1">
      <c r="A40" s="7" t="str">
        <f t="array" ref="A40">IFERROR(IF(INDEX(Entries!$C$2:$C$48,5)="","",INDEX(Entries!$Q$2:$Q$48,5)),"")</f>
        <v/>
      </c>
      <c r="B40" s="7" t="str">
        <f t="array" ref="B40">IF(A40="","",IFERROR(INDEX(Entries!$E$2:$E$48,5),""))</f>
        <v/>
      </c>
      <c r="C40" s="7" t="str">
        <f>IF(A40="","","Tier6_Pick1")</f>
        <v/>
      </c>
      <c r="D40" s="7" t="str">
        <f t="shared" ref="D40:D41" si="12">IF(A40="","",6)</f>
        <v/>
      </c>
      <c r="E40" s="7" t="str">
        <f t="array" ref="E40">IF(A40="","",IFERROR(INDEX(Entries!$O$2:$O$48,5),""))</f>
        <v/>
      </c>
      <c r="F40" s="7" t="str">
        <f>IF(E40="","",IFERROR(_xludf.XLOOKUP(E40,Countries!$A$2:$A$72,Countries!$B$2:$B$72,"???"),"???"))</f>
        <v/>
      </c>
      <c r="G40" s="7">
        <f t="array" ref="G40">IF(E40="",0,IFERROR(XLOOKUP(E40,Countries!$A$2:$A$72,Countries!$E$2:$E$72,0),0))</f>
        <v>0</v>
      </c>
      <c r="H40" s="7">
        <f t="array" ref="H40">IF(E40="",0,IFERROR(XLOOKUP(E40,Medals!$B$2:$B$51,Medals!$D$2:$D$51,0),0))</f>
        <v>0</v>
      </c>
      <c r="I40" s="7">
        <f t="array" ref="I40">IF(E40="",0,IFERROR(XLOOKUP(E40,Medals!$B$2:$B$51,Medals!$E$2:$E$51,0),0))</f>
        <v>0</v>
      </c>
      <c r="J40" s="7">
        <f t="array" ref="J40">IF(E40="",0,IFERROR(XLOOKUP(E40,Medals!$B$2:$B$51,Medals!$F$2:$F$51,0),0))</f>
        <v>0</v>
      </c>
      <c r="K40" s="7">
        <f>H40*GoldPoints*G40</f>
        <v>0</v>
      </c>
      <c r="L40" s="7">
        <f>I40*SilverPoints*G40</f>
        <v>0</v>
      </c>
      <c r="M40" s="7">
        <f>J40*BronzePoints*G40</f>
        <v>0</v>
      </c>
      <c r="N40" s="7">
        <f t="shared" si="1"/>
        <v>0</v>
      </c>
      <c r="O40" s="7" t="b">
        <f t="array" ref="O40">IF(E40="",FALSE,IFERROR(AND(ISNUMBER(MATCH(E40,Countries!$A$2:$A$72,0)),XLOOKUP(E40,Countries!$A$2:$A$72,Countries!$I$2:$I$72,FALSE)),FALSE))</f>
        <v>0</v>
      </c>
      <c r="P40" s="7" t="b">
        <f t="array" ref="P40">IF(E40="",FALSE,IFERROR(XLOOKUP(E40,Countries!$A$2:$A$72,Countries!$G$2:$G$72,FALSE),FALSE))</f>
        <v>0</v>
      </c>
      <c r="Q40" s="7" t="str">
        <f t="shared" si="2"/>
        <v>⚪</v>
      </c>
    </row>
    <row r="41" ht="15.75" customHeight="1">
      <c r="A41" s="7" t="str">
        <f t="array" ref="A41">IFERROR(IF(INDEX(Entries!$C$2:$C$48,5)="","",INDEX(Entries!$Q$2:$Q$48,5)),"")</f>
        <v/>
      </c>
      <c r="B41" s="7" t="str">
        <f t="array" ref="B41">IF(A41="","",IFERROR(INDEX(Entries!$E$2:$E$48,5),""))</f>
        <v/>
      </c>
      <c r="C41" s="7" t="str">
        <f>IF(A41="","","Tier6_Pick2")</f>
        <v/>
      </c>
      <c r="D41" s="7" t="str">
        <f t="shared" si="12"/>
        <v/>
      </c>
      <c r="E41" s="7" t="str">
        <f t="array" ref="E41">IF(A41="","",IFERROR(INDEX(Entries!$P$2:$P$48,5),""))</f>
        <v/>
      </c>
      <c r="F41" s="7" t="str">
        <f>IF(E41="","",IFERROR(_xludf.XLOOKUP(E41,Countries!$A$2:$A$72,Countries!$B$2:$B$72,"???"),"???"))</f>
        <v/>
      </c>
      <c r="G41" s="7">
        <f t="array" ref="G41">IF(E41="",0,IFERROR(XLOOKUP(E41,Countries!$A$2:$A$72,Countries!$E$2:$E$72,0),0))</f>
        <v>0</v>
      </c>
      <c r="H41" s="7">
        <f t="array" ref="H41">IF(E41="",0,IFERROR(XLOOKUP(E41,Medals!$B$2:$B$51,Medals!$D$2:$D$51,0),0))</f>
        <v>0</v>
      </c>
      <c r="I41" s="7">
        <f t="array" ref="I41">IF(E41="",0,IFERROR(XLOOKUP(E41,Medals!$B$2:$B$51,Medals!$E$2:$E$51,0),0))</f>
        <v>0</v>
      </c>
      <c r="J41" s="7">
        <f t="array" ref="J41">IF(E41="",0,IFERROR(XLOOKUP(E41,Medals!$B$2:$B$51,Medals!$F$2:$F$51,0),0))</f>
        <v>0</v>
      </c>
      <c r="K41" s="7">
        <f>H41*GoldPoints*G41</f>
        <v>0</v>
      </c>
      <c r="L41" s="7">
        <f>I41*SilverPoints*G41</f>
        <v>0</v>
      </c>
      <c r="M41" s="7">
        <f>J41*BronzePoints*G41</f>
        <v>0</v>
      </c>
      <c r="N41" s="7">
        <f t="shared" si="1"/>
        <v>0</v>
      </c>
      <c r="O41" s="7" t="b">
        <f t="array" ref="O41">IF(E41="",FALSE,IFERROR(AND(ISNUMBER(MATCH(E41,Countries!$A$2:$A$72,0)),XLOOKUP(E41,Countries!$A$2:$A$72,Countries!$I$2:$I$72,FALSE)),FALSE))</f>
        <v>0</v>
      </c>
      <c r="P41" s="7" t="b">
        <f t="array" ref="P41">IF(E41="",FALSE,IFERROR(XLOOKUP(E41,Countries!$A$2:$A$72,Countries!$G$2:$G$72,FALSE),FALSE))</f>
        <v>0</v>
      </c>
      <c r="Q41" s="7" t="str">
        <f t="shared" si="2"/>
        <v>⚪</v>
      </c>
    </row>
    <row r="42" ht="15.75" customHeight="1">
      <c r="A42" s="7" t="str">
        <f t="array" ref="A42">IFERROR(IF(INDEX(Entries!$C$2:$C$48,6)="","",INDEX(Entries!$Q$2:$Q$48,6)),"")</f>
        <v/>
      </c>
      <c r="B42" s="7" t="str">
        <f t="array" ref="B42">IF(A42="","",IFERROR(INDEX(Entries!$E$2:$E$48,6),""))</f>
        <v/>
      </c>
      <c r="C42" s="7" t="str">
        <f>IF(A42="","","Tier1_Pick1")</f>
        <v/>
      </c>
      <c r="D42" s="7" t="str">
        <f>IF(A42="","",1)</f>
        <v/>
      </c>
      <c r="E42" s="7" t="str">
        <f t="array" ref="E42">IF(A42="","",IFERROR(INDEX(Entries!$F$2:$F$48,6),""))</f>
        <v/>
      </c>
      <c r="F42" s="7" t="str">
        <f>IF(E42="","",IFERROR(_xludf.XLOOKUP(E42,Countries!$A$2:$A$72,Countries!$B$2:$B$72,"???"),"???"))</f>
        <v/>
      </c>
      <c r="G42" s="7">
        <f t="array" ref="G42">IF(E42="",0,IFERROR(XLOOKUP(E42,Countries!$A$2:$A$72,Countries!$E$2:$E$72,0),0))</f>
        <v>0</v>
      </c>
      <c r="H42" s="7">
        <f t="array" ref="H42">IF(E42="",0,IFERROR(XLOOKUP(E42,Medals!$B$2:$B$51,Medals!$D$2:$D$51,0),0))</f>
        <v>0</v>
      </c>
      <c r="I42" s="7">
        <f t="array" ref="I42">IF(E42="",0,IFERROR(XLOOKUP(E42,Medals!$B$2:$B$51,Medals!$E$2:$E$51,0),0))</f>
        <v>0</v>
      </c>
      <c r="J42" s="7">
        <f t="array" ref="J42">IF(E42="",0,IFERROR(XLOOKUP(E42,Medals!$B$2:$B$51,Medals!$F$2:$F$51,0),0))</f>
        <v>0</v>
      </c>
      <c r="K42" s="7">
        <f>H42*GoldPoints*G42</f>
        <v>0</v>
      </c>
      <c r="L42" s="7">
        <f>I42*SilverPoints*G42</f>
        <v>0</v>
      </c>
      <c r="M42" s="7">
        <f>J42*BronzePoints*G42</f>
        <v>0</v>
      </c>
      <c r="N42" s="7">
        <f t="shared" si="1"/>
        <v>0</v>
      </c>
      <c r="O42" s="7" t="b">
        <f t="array" ref="O42">IF(E42="",FALSE,IFERROR(AND(ISNUMBER(MATCH(E42,Countries!$A$2:$A$72,0)),XLOOKUP(E42,Countries!$A$2:$A$72,Countries!$I$2:$I$72,FALSE)),FALSE))</f>
        <v>0</v>
      </c>
      <c r="P42" s="7" t="b">
        <f t="array" ref="P42">IF(E42="",FALSE,IFERROR(XLOOKUP(E42,Countries!$A$2:$A$72,Countries!$G$2:$G$72,FALSE),FALSE))</f>
        <v>0</v>
      </c>
      <c r="Q42" s="7" t="str">
        <f t="shared" si="2"/>
        <v>⚪</v>
      </c>
    </row>
    <row r="43" ht="15.75" customHeight="1">
      <c r="A43" s="7" t="str">
        <f t="array" ref="A43">IFERROR(IF(INDEX(Entries!$C$2:$C$48,6)="","",INDEX(Entries!$Q$2:$Q$48,6)),"")</f>
        <v/>
      </c>
      <c r="B43" s="7" t="str">
        <f t="array" ref="B43">IF(A43="","",IFERROR(INDEX(Entries!$E$2:$E$48,6),""))</f>
        <v/>
      </c>
      <c r="C43" s="7" t="str">
        <f>IF(A43="","","Tier2_Pick1")</f>
        <v/>
      </c>
      <c r="D43" s="7" t="str">
        <f t="shared" ref="D43:D44" si="13">IF(A43="","",2)</f>
        <v/>
      </c>
      <c r="E43" s="7" t="str">
        <f t="array" ref="E43">IF(A43="","",IFERROR(INDEX(Entries!$M$2:$M$48,6),""))</f>
        <v/>
      </c>
      <c r="F43" s="7" t="str">
        <f>IF(E43="","",IFERROR(_xludf.XLOOKUP(E43,Countries!$A$2:$A$72,Countries!$B$2:$B$72,"???"),"???"))</f>
        <v/>
      </c>
      <c r="G43" s="7">
        <f t="array" ref="G43">IF(E43="",0,IFERROR(XLOOKUP(E43,Countries!$A$2:$A$72,Countries!$E$2:$E$72,0),0))</f>
        <v>0</v>
      </c>
      <c r="H43" s="7">
        <f t="array" ref="H43">IF(E43="",0,IFERROR(XLOOKUP(E43,Medals!$B$2:$B$51,Medals!$D$2:$D$51,0),0))</f>
        <v>0</v>
      </c>
      <c r="I43" s="7">
        <f t="array" ref="I43">IF(E43="",0,IFERROR(XLOOKUP(E43,Medals!$B$2:$B$51,Medals!$E$2:$E$51,0),0))</f>
        <v>0</v>
      </c>
      <c r="J43" s="7">
        <f t="array" ref="J43">IF(E43="",0,IFERROR(XLOOKUP(E43,Medals!$B$2:$B$51,Medals!$F$2:$F$51,0),0))</f>
        <v>0</v>
      </c>
      <c r="K43" s="7">
        <f>H43*GoldPoints*G43</f>
        <v>0</v>
      </c>
      <c r="L43" s="7">
        <f>I43*SilverPoints*G43</f>
        <v>0</v>
      </c>
      <c r="M43" s="7">
        <f>J43*BronzePoints*G43</f>
        <v>0</v>
      </c>
      <c r="N43" s="7">
        <f t="shared" si="1"/>
        <v>0</v>
      </c>
      <c r="O43" s="7" t="b">
        <f t="array" ref="O43">IF(E43="",FALSE,IFERROR(AND(ISNUMBER(MATCH(E43,Countries!$A$2:$A$72,0)),XLOOKUP(E43,Countries!$A$2:$A$72,Countries!$I$2:$I$72,FALSE)),FALSE))</f>
        <v>0</v>
      </c>
      <c r="P43" s="7" t="b">
        <f t="array" ref="P43">IF(E43="",FALSE,IFERROR(XLOOKUP(E43,Countries!$A$2:$A$72,Countries!$G$2:$G$72,FALSE),FALSE))</f>
        <v>0</v>
      </c>
      <c r="Q43" s="7" t="str">
        <f t="shared" si="2"/>
        <v>⚪</v>
      </c>
    </row>
    <row r="44" ht="15.75" customHeight="1">
      <c r="A44" s="7" t="str">
        <f t="array" ref="A44">IFERROR(IF(INDEX(Entries!$C$2:$C$48,6)="","",INDEX(Entries!$Q$2:$Q$48,6)),"")</f>
        <v/>
      </c>
      <c r="B44" s="7" t="str">
        <f t="array" ref="B44">IF(A44="","",IFERROR(INDEX(Entries!$E$2:$E$48,6),""))</f>
        <v/>
      </c>
      <c r="C44" s="7" t="str">
        <f>IF(A44="","","Tier2_Pick2")</f>
        <v/>
      </c>
      <c r="D44" s="7" t="str">
        <f t="shared" si="13"/>
        <v/>
      </c>
      <c r="E44" s="7" t="str">
        <f t="array" ref="E44">IF(A44="","",IFERROR(INDEX(Entries!$N$2:$N$48,6),""))</f>
        <v/>
      </c>
      <c r="F44" s="7" t="str">
        <f>IF(E44="","",IFERROR(_xludf.XLOOKUP(E44,Countries!$A$2:$A$72,Countries!$B$2:$B$72,"???"),"???"))</f>
        <v/>
      </c>
      <c r="G44" s="7">
        <f t="array" ref="G44">IF(E44="",0,IFERROR(XLOOKUP(E44,Countries!$A$2:$A$72,Countries!$E$2:$E$72,0),0))</f>
        <v>0</v>
      </c>
      <c r="H44" s="7">
        <f t="array" ref="H44">IF(E44="",0,IFERROR(XLOOKUP(E44,Medals!$B$2:$B$51,Medals!$D$2:$D$51,0),0))</f>
        <v>0</v>
      </c>
      <c r="I44" s="7">
        <f t="array" ref="I44">IF(E44="",0,IFERROR(XLOOKUP(E44,Medals!$B$2:$B$51,Medals!$E$2:$E$51,0),0))</f>
        <v>0</v>
      </c>
      <c r="J44" s="7">
        <f t="array" ref="J44">IF(E44="",0,IFERROR(XLOOKUP(E44,Medals!$B$2:$B$51,Medals!$F$2:$F$51,0),0))</f>
        <v>0</v>
      </c>
      <c r="K44" s="7">
        <f>H44*GoldPoints*G44</f>
        <v>0</v>
      </c>
      <c r="L44" s="7">
        <f>I44*SilverPoints*G44</f>
        <v>0</v>
      </c>
      <c r="M44" s="7">
        <f>J44*BronzePoints*G44</f>
        <v>0</v>
      </c>
      <c r="N44" s="7">
        <f t="shared" si="1"/>
        <v>0</v>
      </c>
      <c r="O44" s="7" t="b">
        <f t="array" ref="O44">IF(E44="",FALSE,IFERROR(AND(ISNUMBER(MATCH(E44,Countries!$A$2:$A$72,0)),XLOOKUP(E44,Countries!$A$2:$A$72,Countries!$I$2:$I$72,FALSE)),FALSE))</f>
        <v>0</v>
      </c>
      <c r="P44" s="7" t="b">
        <f t="array" ref="P44">IF(E44="",FALSE,IFERROR(XLOOKUP(E44,Countries!$A$2:$A$72,Countries!$G$2:$G$72,FALSE),FALSE))</f>
        <v>0</v>
      </c>
      <c r="Q44" s="7" t="str">
        <f t="shared" si="2"/>
        <v>⚪</v>
      </c>
    </row>
    <row r="45" ht="15.75" customHeight="1">
      <c r="A45" s="7" t="str">
        <f t="array" ref="A45">IFERROR(IF(INDEX(Entries!$C$2:$C$48,6)="","",INDEX(Entries!$Q$2:$Q$48,6)),"")</f>
        <v/>
      </c>
      <c r="B45" s="7" t="str">
        <f t="array" ref="B45">IF(A45="","",IFERROR(INDEX(Entries!$E$2:$E$48,6),""))</f>
        <v/>
      </c>
      <c r="C45" s="7" t="str">
        <f>IF(A45="","","Tier3_Pick1")</f>
        <v/>
      </c>
      <c r="D45" s="7" t="str">
        <f>IF(A45="","",3)</f>
        <v/>
      </c>
      <c r="E45" s="7" t="str">
        <f t="array" ref="E45">IF(A45="","",IFERROR(INDEX(Entries!$H$2:$H$48,6),""))</f>
        <v/>
      </c>
      <c r="F45" s="7" t="str">
        <f>IF(E45="","",IFERROR(_xludf.XLOOKUP(E45,Countries!$A$2:$A$72,Countries!$B$2:$B$72,"???"),"???"))</f>
        <v/>
      </c>
      <c r="G45" s="7">
        <f t="array" ref="G45">IF(E45="",0,IFERROR(XLOOKUP(E45,Countries!$A$2:$A$72,Countries!$E$2:$E$72,0),0))</f>
        <v>0</v>
      </c>
      <c r="H45" s="7">
        <f t="array" ref="H45">IF(E45="",0,IFERROR(XLOOKUP(E45,Medals!$B$2:$B$51,Medals!$D$2:$D$51,0),0))</f>
        <v>0</v>
      </c>
      <c r="I45" s="7">
        <f t="array" ref="I45">IF(E45="",0,IFERROR(XLOOKUP(E45,Medals!$B$2:$B$51,Medals!$E$2:$E$51,0),0))</f>
        <v>0</v>
      </c>
      <c r="J45" s="7">
        <f t="array" ref="J45">IF(E45="",0,IFERROR(XLOOKUP(E45,Medals!$B$2:$B$51,Medals!$F$2:$F$51,0),0))</f>
        <v>0</v>
      </c>
      <c r="K45" s="7">
        <f>H45*GoldPoints*G45</f>
        <v>0</v>
      </c>
      <c r="L45" s="7">
        <f>I45*SilverPoints*G45</f>
        <v>0</v>
      </c>
      <c r="M45" s="7">
        <f>J45*BronzePoints*G45</f>
        <v>0</v>
      </c>
      <c r="N45" s="7">
        <f t="shared" si="1"/>
        <v>0</v>
      </c>
      <c r="O45" s="7" t="b">
        <f t="array" ref="O45">IF(E45="",FALSE,IFERROR(AND(ISNUMBER(MATCH(E45,Countries!$A$2:$A$72,0)),XLOOKUP(E45,Countries!$A$2:$A$72,Countries!$I$2:$I$72,FALSE)),FALSE))</f>
        <v>0</v>
      </c>
      <c r="P45" s="7" t="b">
        <f t="array" ref="P45">IF(E45="",FALSE,IFERROR(XLOOKUP(E45,Countries!$A$2:$A$72,Countries!$G$2:$G$72,FALSE),FALSE))</f>
        <v>0</v>
      </c>
      <c r="Q45" s="7" t="str">
        <f t="shared" si="2"/>
        <v>⚪</v>
      </c>
    </row>
    <row r="46" ht="15.75" customHeight="1">
      <c r="A46" s="7" t="str">
        <f t="array" ref="A46">IFERROR(IF(INDEX(Entries!$C$2:$C$48,6)="","",INDEX(Entries!$Q$2:$Q$48,6)),"")</f>
        <v/>
      </c>
      <c r="B46" s="7" t="str">
        <f t="array" ref="B46">IF(A46="","",IFERROR(INDEX(Entries!$E$2:$E$48,6),""))</f>
        <v/>
      </c>
      <c r="C46" s="7" t="str">
        <f>IF(A46="","","Tier4_Pick1")</f>
        <v/>
      </c>
      <c r="D46" s="7" t="str">
        <f>IF(A46="","",4)</f>
        <v/>
      </c>
      <c r="E46" s="7" t="str">
        <f t="array" ref="E46">IF(A46="","",IFERROR(INDEX(Entries!$I$2:$I$48,6),""))</f>
        <v/>
      </c>
      <c r="F46" s="7" t="str">
        <f>IF(E46="","",IFERROR(_xludf.XLOOKUP(E46,Countries!$A$2:$A$72,Countries!$B$2:$B$72,"???"),"???"))</f>
        <v/>
      </c>
      <c r="G46" s="7">
        <f t="array" ref="G46">IF(E46="",0,IFERROR(XLOOKUP(E46,Countries!$A$2:$A$72,Countries!$E$2:$E$72,0),0))</f>
        <v>0</v>
      </c>
      <c r="H46" s="7">
        <f t="array" ref="H46">IF(E46="",0,IFERROR(XLOOKUP(E46,Medals!$B$2:$B$51,Medals!$D$2:$D$51,0),0))</f>
        <v>0</v>
      </c>
      <c r="I46" s="7">
        <f t="array" ref="I46">IF(E46="",0,IFERROR(XLOOKUP(E46,Medals!$B$2:$B$51,Medals!$E$2:$E$51,0),0))</f>
        <v>0</v>
      </c>
      <c r="J46" s="7">
        <f t="array" ref="J46">IF(E46="",0,IFERROR(XLOOKUP(E46,Medals!$B$2:$B$51,Medals!$F$2:$F$51,0),0))</f>
        <v>0</v>
      </c>
      <c r="K46" s="7">
        <f>H46*GoldPoints*G46</f>
        <v>0</v>
      </c>
      <c r="L46" s="7">
        <f>I46*SilverPoints*G46</f>
        <v>0</v>
      </c>
      <c r="M46" s="7">
        <f>J46*BronzePoints*G46</f>
        <v>0</v>
      </c>
      <c r="N46" s="7">
        <f t="shared" si="1"/>
        <v>0</v>
      </c>
      <c r="O46" s="7" t="b">
        <f t="array" ref="O46">IF(E46="",FALSE,IFERROR(AND(ISNUMBER(MATCH(E46,Countries!$A$2:$A$72,0)),XLOOKUP(E46,Countries!$A$2:$A$72,Countries!$I$2:$I$72,FALSE)),FALSE))</f>
        <v>0</v>
      </c>
      <c r="P46" s="7" t="b">
        <f t="array" ref="P46">IF(E46="",FALSE,IFERROR(XLOOKUP(E46,Countries!$A$2:$A$72,Countries!$G$2:$G$72,FALSE),FALSE))</f>
        <v>0</v>
      </c>
      <c r="Q46" s="7" t="str">
        <f t="shared" si="2"/>
        <v>⚪</v>
      </c>
    </row>
    <row r="47" ht="15.75" customHeight="1">
      <c r="A47" s="7" t="str">
        <f t="array" ref="A47">IFERROR(IF(INDEX(Entries!$C$2:$C$48,6)="","",INDEX(Entries!$Q$2:$Q$48,6)),"")</f>
        <v/>
      </c>
      <c r="B47" s="7" t="str">
        <f t="array" ref="B47">IF(A47="","",IFERROR(INDEX(Entries!$E$2:$E$48,6),""))</f>
        <v/>
      </c>
      <c r="C47" s="7" t="str">
        <f>IF(A47="","","Tier5_Pick1")</f>
        <v/>
      </c>
      <c r="D47" s="7" t="str">
        <f>IF(A47="","",5)</f>
        <v/>
      </c>
      <c r="E47" s="7" t="str">
        <f t="array" ref="E47">IF(A47="","",IFERROR(INDEX(Entries!$J$2:$J$48,6),""))</f>
        <v/>
      </c>
      <c r="F47" s="7" t="str">
        <f>IF(E47="","",IFERROR(_xludf.XLOOKUP(E47,Countries!$A$2:$A$72,Countries!$B$2:$B$72,"???"),"???"))</f>
        <v/>
      </c>
      <c r="G47" s="7">
        <f t="array" ref="G47">IF(E47="",0,IFERROR(XLOOKUP(E47,Countries!$A$2:$A$72,Countries!$E$2:$E$72,0),0))</f>
        <v>0</v>
      </c>
      <c r="H47" s="7">
        <f t="array" ref="H47">IF(E47="",0,IFERROR(XLOOKUP(E47,Medals!$B$2:$B$51,Medals!$D$2:$D$51,0),0))</f>
        <v>0</v>
      </c>
      <c r="I47" s="7">
        <f t="array" ref="I47">IF(E47="",0,IFERROR(XLOOKUP(E47,Medals!$B$2:$B$51,Medals!$E$2:$E$51,0),0))</f>
        <v>0</v>
      </c>
      <c r="J47" s="7">
        <f t="array" ref="J47">IF(E47="",0,IFERROR(XLOOKUP(E47,Medals!$B$2:$B$51,Medals!$F$2:$F$51,0),0))</f>
        <v>0</v>
      </c>
      <c r="K47" s="7">
        <f>H47*GoldPoints*G47</f>
        <v>0</v>
      </c>
      <c r="L47" s="7">
        <f>I47*SilverPoints*G47</f>
        <v>0</v>
      </c>
      <c r="M47" s="7">
        <f>J47*BronzePoints*G47</f>
        <v>0</v>
      </c>
      <c r="N47" s="7">
        <f t="shared" si="1"/>
        <v>0</v>
      </c>
      <c r="O47" s="7" t="b">
        <f t="array" ref="O47">IF(E47="",FALSE,IFERROR(AND(ISNUMBER(MATCH(E47,Countries!$A$2:$A$72,0)),XLOOKUP(E47,Countries!$A$2:$A$72,Countries!$I$2:$I$72,FALSE)),FALSE))</f>
        <v>0</v>
      </c>
      <c r="P47" s="7" t="b">
        <f t="array" ref="P47">IF(E47="",FALSE,IFERROR(XLOOKUP(E47,Countries!$A$2:$A$72,Countries!$G$2:$G$72,FALSE),FALSE))</f>
        <v>0</v>
      </c>
      <c r="Q47" s="7" t="str">
        <f t="shared" si="2"/>
        <v>⚪</v>
      </c>
    </row>
    <row r="48" ht="15.75" customHeight="1">
      <c r="A48" s="7" t="str">
        <f t="array" ref="A48">IFERROR(IF(INDEX(Entries!$C$2:$C$48,6)="","",INDEX(Entries!$Q$2:$Q$48,6)),"")</f>
        <v/>
      </c>
      <c r="B48" s="7" t="str">
        <f t="array" ref="B48">IF(A48="","",IFERROR(INDEX(Entries!$E$2:$E$48,6),""))</f>
        <v/>
      </c>
      <c r="C48" s="7" t="str">
        <f>IF(A48="","","Tier6_Pick1")</f>
        <v/>
      </c>
      <c r="D48" s="7" t="str">
        <f t="shared" ref="D48:D49" si="14">IF(A48="","",6)</f>
        <v/>
      </c>
      <c r="E48" s="7" t="str">
        <f t="array" ref="E48">IF(A48="","",IFERROR(INDEX(Entries!$O$2:$O$48,6),""))</f>
        <v/>
      </c>
      <c r="F48" s="7" t="str">
        <f>IF(E48="","",IFERROR(_xludf.XLOOKUP(E48,Countries!$A$2:$A$72,Countries!$B$2:$B$72,"???"),"???"))</f>
        <v/>
      </c>
      <c r="G48" s="7">
        <f t="array" ref="G48">IF(E48="",0,IFERROR(XLOOKUP(E48,Countries!$A$2:$A$72,Countries!$E$2:$E$72,0),0))</f>
        <v>0</v>
      </c>
      <c r="H48" s="7">
        <f t="array" ref="H48">IF(E48="",0,IFERROR(XLOOKUP(E48,Medals!$B$2:$B$51,Medals!$D$2:$D$51,0),0))</f>
        <v>0</v>
      </c>
      <c r="I48" s="7">
        <f t="array" ref="I48">IF(E48="",0,IFERROR(XLOOKUP(E48,Medals!$B$2:$B$51,Medals!$E$2:$E$51,0),0))</f>
        <v>0</v>
      </c>
      <c r="J48" s="7">
        <f t="array" ref="J48">IF(E48="",0,IFERROR(XLOOKUP(E48,Medals!$B$2:$B$51,Medals!$F$2:$F$51,0),0))</f>
        <v>0</v>
      </c>
      <c r="K48" s="7">
        <f>H48*GoldPoints*G48</f>
        <v>0</v>
      </c>
      <c r="L48" s="7">
        <f>I48*SilverPoints*G48</f>
        <v>0</v>
      </c>
      <c r="M48" s="7">
        <f>J48*BronzePoints*G48</f>
        <v>0</v>
      </c>
      <c r="N48" s="7">
        <f t="shared" si="1"/>
        <v>0</v>
      </c>
      <c r="O48" s="7" t="b">
        <f t="array" ref="O48">IF(E48="",FALSE,IFERROR(AND(ISNUMBER(MATCH(E48,Countries!$A$2:$A$72,0)),XLOOKUP(E48,Countries!$A$2:$A$72,Countries!$I$2:$I$72,FALSE)),FALSE))</f>
        <v>0</v>
      </c>
      <c r="P48" s="7" t="b">
        <f t="array" ref="P48">IF(E48="",FALSE,IFERROR(XLOOKUP(E48,Countries!$A$2:$A$72,Countries!$G$2:$G$72,FALSE),FALSE))</f>
        <v>0</v>
      </c>
      <c r="Q48" s="7" t="str">
        <f t="shared" si="2"/>
        <v>⚪</v>
      </c>
    </row>
    <row r="49" ht="15.75" customHeight="1">
      <c r="A49" s="7" t="str">
        <f t="array" ref="A49">IFERROR(IF(INDEX(Entries!$C$2:$C$48,6)="","",INDEX(Entries!$Q$2:$Q$48,6)),"")</f>
        <v/>
      </c>
      <c r="B49" s="7" t="str">
        <f t="array" ref="B49">IF(A49="","",IFERROR(INDEX(Entries!$E$2:$E$48,6),""))</f>
        <v/>
      </c>
      <c r="C49" s="7" t="str">
        <f>IF(A49="","","Tier6_Pick2")</f>
        <v/>
      </c>
      <c r="D49" s="7" t="str">
        <f t="shared" si="14"/>
        <v/>
      </c>
      <c r="E49" s="7" t="str">
        <f t="array" ref="E49">IF(A49="","",IFERROR(INDEX(Entries!$P$2:$P$48,6),""))</f>
        <v/>
      </c>
      <c r="F49" s="7" t="str">
        <f>IF(E49="","",IFERROR(_xludf.XLOOKUP(E49,Countries!$A$2:$A$72,Countries!$B$2:$B$72,"???"),"???"))</f>
        <v/>
      </c>
      <c r="G49" s="7">
        <f t="array" ref="G49">IF(E49="",0,IFERROR(XLOOKUP(E49,Countries!$A$2:$A$72,Countries!$E$2:$E$72,0),0))</f>
        <v>0</v>
      </c>
      <c r="H49" s="7">
        <f t="array" ref="H49">IF(E49="",0,IFERROR(XLOOKUP(E49,Medals!$B$2:$B$51,Medals!$D$2:$D$51,0),0))</f>
        <v>0</v>
      </c>
      <c r="I49" s="7">
        <f t="array" ref="I49">IF(E49="",0,IFERROR(XLOOKUP(E49,Medals!$B$2:$B$51,Medals!$E$2:$E$51,0),0))</f>
        <v>0</v>
      </c>
      <c r="J49" s="7">
        <f t="array" ref="J49">IF(E49="",0,IFERROR(XLOOKUP(E49,Medals!$B$2:$B$51,Medals!$F$2:$F$51,0),0))</f>
        <v>0</v>
      </c>
      <c r="K49" s="7">
        <f>H49*GoldPoints*G49</f>
        <v>0</v>
      </c>
      <c r="L49" s="7">
        <f>I49*SilverPoints*G49</f>
        <v>0</v>
      </c>
      <c r="M49" s="7">
        <f>J49*BronzePoints*G49</f>
        <v>0</v>
      </c>
      <c r="N49" s="7">
        <f t="shared" si="1"/>
        <v>0</v>
      </c>
      <c r="O49" s="7" t="b">
        <f t="array" ref="O49">IF(E49="",FALSE,IFERROR(AND(ISNUMBER(MATCH(E49,Countries!$A$2:$A$72,0)),XLOOKUP(E49,Countries!$A$2:$A$72,Countries!$I$2:$I$72,FALSE)),FALSE))</f>
        <v>0</v>
      </c>
      <c r="P49" s="7" t="b">
        <f t="array" ref="P49">IF(E49="",FALSE,IFERROR(XLOOKUP(E49,Countries!$A$2:$A$72,Countries!$G$2:$G$72,FALSE),FALSE))</f>
        <v>0</v>
      </c>
      <c r="Q49" s="7" t="str">
        <f t="shared" si="2"/>
        <v>⚪</v>
      </c>
    </row>
    <row r="50" ht="15.75" customHeight="1">
      <c r="A50" s="7" t="str">
        <f t="array" ref="A50">IFERROR(IF(INDEX(Entries!$C$2:$C$48,7)="","",INDEX(Entries!$Q$2:$Q$48,7)),"")</f>
        <v/>
      </c>
      <c r="B50" s="7" t="str">
        <f t="array" ref="B50">IF(A50="","",IFERROR(INDEX(Entries!$E$2:$E$48,7),""))</f>
        <v/>
      </c>
      <c r="C50" s="7" t="str">
        <f>IF(A50="","","Tier1_Pick1")</f>
        <v/>
      </c>
      <c r="D50" s="7" t="str">
        <f>IF(A50="","",1)</f>
        <v/>
      </c>
      <c r="E50" s="7" t="str">
        <f t="array" ref="E50">IF(A50="","",IFERROR(INDEX(Entries!$F$2:$F$48,7),""))</f>
        <v/>
      </c>
      <c r="F50" s="7" t="str">
        <f>IF(E50="","",IFERROR(_xludf.XLOOKUP(E50,Countries!$A$2:$A$72,Countries!$B$2:$B$72,"???"),"???"))</f>
        <v/>
      </c>
      <c r="G50" s="7">
        <f t="array" ref="G50">IF(E50="",0,IFERROR(XLOOKUP(E50,Countries!$A$2:$A$72,Countries!$E$2:$E$72,0),0))</f>
        <v>0</v>
      </c>
      <c r="H50" s="7">
        <f t="array" ref="H50">IF(E50="",0,IFERROR(XLOOKUP(E50,Medals!$B$2:$B$51,Medals!$D$2:$D$51,0),0))</f>
        <v>0</v>
      </c>
      <c r="I50" s="7">
        <f t="array" ref="I50">IF(E50="",0,IFERROR(XLOOKUP(E50,Medals!$B$2:$B$51,Medals!$E$2:$E$51,0),0))</f>
        <v>0</v>
      </c>
      <c r="J50" s="7">
        <f t="array" ref="J50">IF(E50="",0,IFERROR(XLOOKUP(E50,Medals!$B$2:$B$51,Medals!$F$2:$F$51,0),0))</f>
        <v>0</v>
      </c>
      <c r="K50" s="7">
        <f>H50*GoldPoints*G50</f>
        <v>0</v>
      </c>
      <c r="L50" s="7">
        <f>I50*SilverPoints*G50</f>
        <v>0</v>
      </c>
      <c r="M50" s="7">
        <f>J50*BronzePoints*G50</f>
        <v>0</v>
      </c>
      <c r="N50" s="7">
        <f t="shared" si="1"/>
        <v>0</v>
      </c>
      <c r="O50" s="7" t="b">
        <f t="array" ref="O50">IF(E50="",FALSE,IFERROR(AND(ISNUMBER(MATCH(E50,Countries!$A$2:$A$72,0)),XLOOKUP(E50,Countries!$A$2:$A$72,Countries!$I$2:$I$72,FALSE)),FALSE))</f>
        <v>0</v>
      </c>
      <c r="P50" s="7" t="b">
        <f t="array" ref="P50">IF(E50="",FALSE,IFERROR(XLOOKUP(E50,Countries!$A$2:$A$72,Countries!$G$2:$G$72,FALSE),FALSE))</f>
        <v>0</v>
      </c>
      <c r="Q50" s="7" t="str">
        <f t="shared" si="2"/>
        <v>⚪</v>
      </c>
    </row>
    <row r="51" ht="15.75" customHeight="1">
      <c r="A51" s="7" t="str">
        <f t="array" ref="A51">IFERROR(IF(INDEX(Entries!$C$2:$C$48,7)="","",INDEX(Entries!$Q$2:$Q$48,7)),"")</f>
        <v/>
      </c>
      <c r="B51" s="7" t="str">
        <f t="array" ref="B51">IF(A51="","",IFERROR(INDEX(Entries!$E$2:$E$48,7),""))</f>
        <v/>
      </c>
      <c r="C51" s="7" t="str">
        <f>IF(A51="","","Tier2_Pick1")</f>
        <v/>
      </c>
      <c r="D51" s="7" t="str">
        <f t="shared" ref="D51:D52" si="15">IF(A51="","",2)</f>
        <v/>
      </c>
      <c r="E51" s="7" t="str">
        <f t="array" ref="E51">IF(A51="","",IFERROR(INDEX(Entries!$M$2:$M$48,7),""))</f>
        <v/>
      </c>
      <c r="F51" s="7" t="str">
        <f>IF(E51="","",IFERROR(_xludf.XLOOKUP(E51,Countries!$A$2:$A$72,Countries!$B$2:$B$72,"???"),"???"))</f>
        <v/>
      </c>
      <c r="G51" s="7">
        <f t="array" ref="G51">IF(E51="",0,IFERROR(XLOOKUP(E51,Countries!$A$2:$A$72,Countries!$E$2:$E$72,0),0))</f>
        <v>0</v>
      </c>
      <c r="H51" s="7">
        <f t="array" ref="H51">IF(E51="",0,IFERROR(XLOOKUP(E51,Medals!$B$2:$B$51,Medals!$D$2:$D$51,0),0))</f>
        <v>0</v>
      </c>
      <c r="I51" s="7">
        <f t="array" ref="I51">IF(E51="",0,IFERROR(XLOOKUP(E51,Medals!$B$2:$B$51,Medals!$E$2:$E$51,0),0))</f>
        <v>0</v>
      </c>
      <c r="J51" s="7">
        <f t="array" ref="J51">IF(E51="",0,IFERROR(XLOOKUP(E51,Medals!$B$2:$B$51,Medals!$F$2:$F$51,0),0))</f>
        <v>0</v>
      </c>
      <c r="K51" s="7">
        <f>H51*GoldPoints*G51</f>
        <v>0</v>
      </c>
      <c r="L51" s="7">
        <f>I51*SilverPoints*G51</f>
        <v>0</v>
      </c>
      <c r="M51" s="7">
        <f>J51*BronzePoints*G51</f>
        <v>0</v>
      </c>
      <c r="N51" s="7">
        <f t="shared" si="1"/>
        <v>0</v>
      </c>
      <c r="O51" s="7" t="b">
        <f t="array" ref="O51">IF(E51="",FALSE,IFERROR(AND(ISNUMBER(MATCH(E51,Countries!$A$2:$A$72,0)),XLOOKUP(E51,Countries!$A$2:$A$72,Countries!$I$2:$I$72,FALSE)),FALSE))</f>
        <v>0</v>
      </c>
      <c r="P51" s="7" t="b">
        <f t="array" ref="P51">IF(E51="",FALSE,IFERROR(XLOOKUP(E51,Countries!$A$2:$A$72,Countries!$G$2:$G$72,FALSE),FALSE))</f>
        <v>0</v>
      </c>
      <c r="Q51" s="7" t="str">
        <f t="shared" si="2"/>
        <v>⚪</v>
      </c>
    </row>
    <row r="52" ht="15.75" customHeight="1">
      <c r="A52" s="7" t="str">
        <f t="array" ref="A52">IFERROR(IF(INDEX(Entries!$C$2:$C$48,7)="","",INDEX(Entries!$Q$2:$Q$48,7)),"")</f>
        <v/>
      </c>
      <c r="B52" s="7" t="str">
        <f t="array" ref="B52">IF(A52="","",IFERROR(INDEX(Entries!$E$2:$E$48,7),""))</f>
        <v/>
      </c>
      <c r="C52" s="7" t="str">
        <f>IF(A52="","","Tier2_Pick2")</f>
        <v/>
      </c>
      <c r="D52" s="7" t="str">
        <f t="shared" si="15"/>
        <v/>
      </c>
      <c r="E52" s="7" t="str">
        <f t="array" ref="E52">IF(A52="","",IFERROR(INDEX(Entries!$N$2:$N$48,7),""))</f>
        <v/>
      </c>
      <c r="F52" s="7" t="str">
        <f>IF(E52="","",IFERROR(_xludf.XLOOKUP(E52,Countries!$A$2:$A$72,Countries!$B$2:$B$72,"???"),"???"))</f>
        <v/>
      </c>
      <c r="G52" s="7">
        <f t="array" ref="G52">IF(E52="",0,IFERROR(XLOOKUP(E52,Countries!$A$2:$A$72,Countries!$E$2:$E$72,0),0))</f>
        <v>0</v>
      </c>
      <c r="H52" s="7">
        <f t="array" ref="H52">IF(E52="",0,IFERROR(XLOOKUP(E52,Medals!$B$2:$B$51,Medals!$D$2:$D$51,0),0))</f>
        <v>0</v>
      </c>
      <c r="I52" s="7">
        <f t="array" ref="I52">IF(E52="",0,IFERROR(XLOOKUP(E52,Medals!$B$2:$B$51,Medals!$E$2:$E$51,0),0))</f>
        <v>0</v>
      </c>
      <c r="J52" s="7">
        <f t="array" ref="J52">IF(E52="",0,IFERROR(XLOOKUP(E52,Medals!$B$2:$B$51,Medals!$F$2:$F$51,0),0))</f>
        <v>0</v>
      </c>
      <c r="K52" s="7">
        <f>H52*GoldPoints*G52</f>
        <v>0</v>
      </c>
      <c r="L52" s="7">
        <f>I52*SilverPoints*G52</f>
        <v>0</v>
      </c>
      <c r="M52" s="7">
        <f>J52*BronzePoints*G52</f>
        <v>0</v>
      </c>
      <c r="N52" s="7">
        <f t="shared" si="1"/>
        <v>0</v>
      </c>
      <c r="O52" s="7" t="b">
        <f t="array" ref="O52">IF(E52="",FALSE,IFERROR(AND(ISNUMBER(MATCH(E52,Countries!$A$2:$A$72,0)),XLOOKUP(E52,Countries!$A$2:$A$72,Countries!$I$2:$I$72,FALSE)),FALSE))</f>
        <v>0</v>
      </c>
      <c r="P52" s="7" t="b">
        <f t="array" ref="P52">IF(E52="",FALSE,IFERROR(XLOOKUP(E52,Countries!$A$2:$A$72,Countries!$G$2:$G$72,FALSE),FALSE))</f>
        <v>0</v>
      </c>
      <c r="Q52" s="7" t="str">
        <f t="shared" si="2"/>
        <v>⚪</v>
      </c>
    </row>
    <row r="53" ht="15.75" customHeight="1">
      <c r="A53" s="7" t="str">
        <f t="array" ref="A53">IFERROR(IF(INDEX(Entries!$C$2:$C$48,7)="","",INDEX(Entries!$Q$2:$Q$48,7)),"")</f>
        <v/>
      </c>
      <c r="B53" s="7" t="str">
        <f t="array" ref="B53">IF(A53="","",IFERROR(INDEX(Entries!$E$2:$E$48,7),""))</f>
        <v/>
      </c>
      <c r="C53" s="7" t="str">
        <f>IF(A53="","","Tier3_Pick1")</f>
        <v/>
      </c>
      <c r="D53" s="7" t="str">
        <f>IF(A53="","",3)</f>
        <v/>
      </c>
      <c r="E53" s="7" t="str">
        <f t="array" ref="E53">IF(A53="","",IFERROR(INDEX(Entries!$H$2:$H$48,7),""))</f>
        <v/>
      </c>
      <c r="F53" s="7" t="str">
        <f>IF(E53="","",IFERROR(_xludf.XLOOKUP(E53,Countries!$A$2:$A$72,Countries!$B$2:$B$72,"???"),"???"))</f>
        <v/>
      </c>
      <c r="G53" s="7">
        <f t="array" ref="G53">IF(E53="",0,IFERROR(XLOOKUP(E53,Countries!$A$2:$A$72,Countries!$E$2:$E$72,0),0))</f>
        <v>0</v>
      </c>
      <c r="H53" s="7">
        <f t="array" ref="H53">IF(E53="",0,IFERROR(XLOOKUP(E53,Medals!$B$2:$B$51,Medals!$D$2:$D$51,0),0))</f>
        <v>0</v>
      </c>
      <c r="I53" s="7">
        <f t="array" ref="I53">IF(E53="",0,IFERROR(XLOOKUP(E53,Medals!$B$2:$B$51,Medals!$E$2:$E$51,0),0))</f>
        <v>0</v>
      </c>
      <c r="J53" s="7">
        <f t="array" ref="J53">IF(E53="",0,IFERROR(XLOOKUP(E53,Medals!$B$2:$B$51,Medals!$F$2:$F$51,0),0))</f>
        <v>0</v>
      </c>
      <c r="K53" s="7">
        <f>H53*GoldPoints*G53</f>
        <v>0</v>
      </c>
      <c r="L53" s="7">
        <f>I53*SilverPoints*G53</f>
        <v>0</v>
      </c>
      <c r="M53" s="7">
        <f>J53*BronzePoints*G53</f>
        <v>0</v>
      </c>
      <c r="N53" s="7">
        <f t="shared" si="1"/>
        <v>0</v>
      </c>
      <c r="O53" s="7" t="b">
        <f t="array" ref="O53">IF(E53="",FALSE,IFERROR(AND(ISNUMBER(MATCH(E53,Countries!$A$2:$A$72,0)),XLOOKUP(E53,Countries!$A$2:$A$72,Countries!$I$2:$I$72,FALSE)),FALSE))</f>
        <v>0</v>
      </c>
      <c r="P53" s="7" t="b">
        <f t="array" ref="P53">IF(E53="",FALSE,IFERROR(XLOOKUP(E53,Countries!$A$2:$A$72,Countries!$G$2:$G$72,FALSE),FALSE))</f>
        <v>0</v>
      </c>
      <c r="Q53" s="7" t="str">
        <f t="shared" si="2"/>
        <v>⚪</v>
      </c>
    </row>
    <row r="54" ht="15.75" customHeight="1">
      <c r="A54" s="7" t="str">
        <f t="array" ref="A54">IFERROR(IF(INDEX(Entries!$C$2:$C$48,7)="","",INDEX(Entries!$Q$2:$Q$48,7)),"")</f>
        <v/>
      </c>
      <c r="B54" s="7" t="str">
        <f t="array" ref="B54">IF(A54="","",IFERROR(INDEX(Entries!$E$2:$E$48,7),""))</f>
        <v/>
      </c>
      <c r="C54" s="7" t="str">
        <f>IF(A54="","","Tier4_Pick1")</f>
        <v/>
      </c>
      <c r="D54" s="7" t="str">
        <f>IF(A54="","",4)</f>
        <v/>
      </c>
      <c r="E54" s="7" t="str">
        <f t="array" ref="E54">IF(A54="","",IFERROR(INDEX(Entries!$I$2:$I$48,7),""))</f>
        <v/>
      </c>
      <c r="F54" s="7" t="str">
        <f>IF(E54="","",IFERROR(_xludf.XLOOKUP(E54,Countries!$A$2:$A$72,Countries!$B$2:$B$72,"???"),"???"))</f>
        <v/>
      </c>
      <c r="G54" s="7">
        <f t="array" ref="G54">IF(E54="",0,IFERROR(XLOOKUP(E54,Countries!$A$2:$A$72,Countries!$E$2:$E$72,0),0))</f>
        <v>0</v>
      </c>
      <c r="H54" s="7">
        <f t="array" ref="H54">IF(E54="",0,IFERROR(XLOOKUP(E54,Medals!$B$2:$B$51,Medals!$D$2:$D$51,0),0))</f>
        <v>0</v>
      </c>
      <c r="I54" s="7">
        <f t="array" ref="I54">IF(E54="",0,IFERROR(XLOOKUP(E54,Medals!$B$2:$B$51,Medals!$E$2:$E$51,0),0))</f>
        <v>0</v>
      </c>
      <c r="J54" s="7">
        <f t="array" ref="J54">IF(E54="",0,IFERROR(XLOOKUP(E54,Medals!$B$2:$B$51,Medals!$F$2:$F$51,0),0))</f>
        <v>0</v>
      </c>
      <c r="K54" s="7">
        <f>H54*GoldPoints*G54</f>
        <v>0</v>
      </c>
      <c r="L54" s="7">
        <f>I54*SilverPoints*G54</f>
        <v>0</v>
      </c>
      <c r="M54" s="7">
        <f>J54*BronzePoints*G54</f>
        <v>0</v>
      </c>
      <c r="N54" s="7">
        <f t="shared" si="1"/>
        <v>0</v>
      </c>
      <c r="O54" s="7" t="b">
        <f t="array" ref="O54">IF(E54="",FALSE,IFERROR(AND(ISNUMBER(MATCH(E54,Countries!$A$2:$A$72,0)),XLOOKUP(E54,Countries!$A$2:$A$72,Countries!$I$2:$I$72,FALSE)),FALSE))</f>
        <v>0</v>
      </c>
      <c r="P54" s="7" t="b">
        <f t="array" ref="P54">IF(E54="",FALSE,IFERROR(XLOOKUP(E54,Countries!$A$2:$A$72,Countries!$G$2:$G$72,FALSE),FALSE))</f>
        <v>0</v>
      </c>
      <c r="Q54" s="7" t="str">
        <f t="shared" si="2"/>
        <v>⚪</v>
      </c>
    </row>
    <row r="55" ht="15.75" customHeight="1">
      <c r="A55" s="7" t="str">
        <f t="array" ref="A55">IFERROR(IF(INDEX(Entries!$C$2:$C$48,7)="","",INDEX(Entries!$Q$2:$Q$48,7)),"")</f>
        <v/>
      </c>
      <c r="B55" s="7" t="str">
        <f t="array" ref="B55">IF(A55="","",IFERROR(INDEX(Entries!$E$2:$E$48,7),""))</f>
        <v/>
      </c>
      <c r="C55" s="7" t="str">
        <f>IF(A55="","","Tier5_Pick1")</f>
        <v/>
      </c>
      <c r="D55" s="7" t="str">
        <f>IF(A55="","",5)</f>
        <v/>
      </c>
      <c r="E55" s="7" t="str">
        <f t="array" ref="E55">IF(A55="","",IFERROR(INDEX(Entries!$J$2:$J$48,7),""))</f>
        <v/>
      </c>
      <c r="F55" s="7" t="str">
        <f>IF(E55="","",IFERROR(_xludf.XLOOKUP(E55,Countries!$A$2:$A$72,Countries!$B$2:$B$72,"???"),"???"))</f>
        <v/>
      </c>
      <c r="G55" s="7">
        <f t="array" ref="G55">IF(E55="",0,IFERROR(XLOOKUP(E55,Countries!$A$2:$A$72,Countries!$E$2:$E$72,0),0))</f>
        <v>0</v>
      </c>
      <c r="H55" s="7">
        <f t="array" ref="H55">IF(E55="",0,IFERROR(XLOOKUP(E55,Medals!$B$2:$B$51,Medals!$D$2:$D$51,0),0))</f>
        <v>0</v>
      </c>
      <c r="I55" s="7">
        <f t="array" ref="I55">IF(E55="",0,IFERROR(XLOOKUP(E55,Medals!$B$2:$B$51,Medals!$E$2:$E$51,0),0))</f>
        <v>0</v>
      </c>
      <c r="J55" s="7">
        <f t="array" ref="J55">IF(E55="",0,IFERROR(XLOOKUP(E55,Medals!$B$2:$B$51,Medals!$F$2:$F$51,0),0))</f>
        <v>0</v>
      </c>
      <c r="K55" s="7">
        <f>H55*GoldPoints*G55</f>
        <v>0</v>
      </c>
      <c r="L55" s="7">
        <f>I55*SilverPoints*G55</f>
        <v>0</v>
      </c>
      <c r="M55" s="7">
        <f>J55*BronzePoints*G55</f>
        <v>0</v>
      </c>
      <c r="N55" s="7">
        <f t="shared" si="1"/>
        <v>0</v>
      </c>
      <c r="O55" s="7" t="b">
        <f t="array" ref="O55">IF(E55="",FALSE,IFERROR(AND(ISNUMBER(MATCH(E55,Countries!$A$2:$A$72,0)),XLOOKUP(E55,Countries!$A$2:$A$72,Countries!$I$2:$I$72,FALSE)),FALSE))</f>
        <v>0</v>
      </c>
      <c r="P55" s="7" t="b">
        <f t="array" ref="P55">IF(E55="",FALSE,IFERROR(XLOOKUP(E55,Countries!$A$2:$A$72,Countries!$G$2:$G$72,FALSE),FALSE))</f>
        <v>0</v>
      </c>
      <c r="Q55" s="7" t="str">
        <f t="shared" si="2"/>
        <v>⚪</v>
      </c>
    </row>
    <row r="56" ht="15.75" customHeight="1">
      <c r="A56" s="7" t="str">
        <f t="array" ref="A56">IFERROR(IF(INDEX(Entries!$C$2:$C$48,7)="","",INDEX(Entries!$Q$2:$Q$48,7)),"")</f>
        <v/>
      </c>
      <c r="B56" s="7" t="str">
        <f t="array" ref="B56">IF(A56="","",IFERROR(INDEX(Entries!$E$2:$E$48,7),""))</f>
        <v/>
      </c>
      <c r="C56" s="7" t="str">
        <f>IF(A56="","","Tier6_Pick1")</f>
        <v/>
      </c>
      <c r="D56" s="7" t="str">
        <f t="shared" ref="D56:D57" si="16">IF(A56="","",6)</f>
        <v/>
      </c>
      <c r="E56" s="7" t="str">
        <f t="array" ref="E56">IF(A56="","",IFERROR(INDEX(Entries!$O$2:$O$48,7),""))</f>
        <v/>
      </c>
      <c r="F56" s="7" t="str">
        <f>IF(E56="","",IFERROR(_xludf.XLOOKUP(E56,Countries!$A$2:$A$72,Countries!$B$2:$B$72,"???"),"???"))</f>
        <v/>
      </c>
      <c r="G56" s="7">
        <f t="array" ref="G56">IF(E56="",0,IFERROR(XLOOKUP(E56,Countries!$A$2:$A$72,Countries!$E$2:$E$72,0),0))</f>
        <v>0</v>
      </c>
      <c r="H56" s="7">
        <f t="array" ref="H56">IF(E56="",0,IFERROR(XLOOKUP(E56,Medals!$B$2:$B$51,Medals!$D$2:$D$51,0),0))</f>
        <v>0</v>
      </c>
      <c r="I56" s="7">
        <f t="array" ref="I56">IF(E56="",0,IFERROR(XLOOKUP(E56,Medals!$B$2:$B$51,Medals!$E$2:$E$51,0),0))</f>
        <v>0</v>
      </c>
      <c r="J56" s="7">
        <f t="array" ref="J56">IF(E56="",0,IFERROR(XLOOKUP(E56,Medals!$B$2:$B$51,Medals!$F$2:$F$51,0),0))</f>
        <v>0</v>
      </c>
      <c r="K56" s="7">
        <f>H56*GoldPoints*G56</f>
        <v>0</v>
      </c>
      <c r="L56" s="7">
        <f>I56*SilverPoints*G56</f>
        <v>0</v>
      </c>
      <c r="M56" s="7">
        <f>J56*BronzePoints*G56</f>
        <v>0</v>
      </c>
      <c r="N56" s="7">
        <f t="shared" si="1"/>
        <v>0</v>
      </c>
      <c r="O56" s="7" t="b">
        <f t="array" ref="O56">IF(E56="",FALSE,IFERROR(AND(ISNUMBER(MATCH(E56,Countries!$A$2:$A$72,0)),XLOOKUP(E56,Countries!$A$2:$A$72,Countries!$I$2:$I$72,FALSE)),FALSE))</f>
        <v>0</v>
      </c>
      <c r="P56" s="7" t="b">
        <f t="array" ref="P56">IF(E56="",FALSE,IFERROR(XLOOKUP(E56,Countries!$A$2:$A$72,Countries!$G$2:$G$72,FALSE),FALSE))</f>
        <v>0</v>
      </c>
      <c r="Q56" s="7" t="str">
        <f t="shared" si="2"/>
        <v>⚪</v>
      </c>
    </row>
    <row r="57" ht="15.75" customHeight="1">
      <c r="A57" s="7" t="str">
        <f t="array" ref="A57">IFERROR(IF(INDEX(Entries!$C$2:$C$48,7)="","",INDEX(Entries!$Q$2:$Q$48,7)),"")</f>
        <v/>
      </c>
      <c r="B57" s="7" t="str">
        <f t="array" ref="B57">IF(A57="","",IFERROR(INDEX(Entries!$E$2:$E$48,7),""))</f>
        <v/>
      </c>
      <c r="C57" s="7" t="str">
        <f>IF(A57="","","Tier6_Pick2")</f>
        <v/>
      </c>
      <c r="D57" s="7" t="str">
        <f t="shared" si="16"/>
        <v/>
      </c>
      <c r="E57" s="7" t="str">
        <f t="array" ref="E57">IF(A57="","",IFERROR(INDEX(Entries!$P$2:$P$48,7),""))</f>
        <v/>
      </c>
      <c r="F57" s="7" t="str">
        <f>IF(E57="","",IFERROR(_xludf.XLOOKUP(E57,Countries!$A$2:$A$72,Countries!$B$2:$B$72,"???"),"???"))</f>
        <v/>
      </c>
      <c r="G57" s="7">
        <f t="array" ref="G57">IF(E57="",0,IFERROR(XLOOKUP(E57,Countries!$A$2:$A$72,Countries!$E$2:$E$72,0),0))</f>
        <v>0</v>
      </c>
      <c r="H57" s="7">
        <f t="array" ref="H57">IF(E57="",0,IFERROR(XLOOKUP(E57,Medals!$B$2:$B$51,Medals!$D$2:$D$51,0),0))</f>
        <v>0</v>
      </c>
      <c r="I57" s="7">
        <f t="array" ref="I57">IF(E57="",0,IFERROR(XLOOKUP(E57,Medals!$B$2:$B$51,Medals!$E$2:$E$51,0),0))</f>
        <v>0</v>
      </c>
      <c r="J57" s="7">
        <f t="array" ref="J57">IF(E57="",0,IFERROR(XLOOKUP(E57,Medals!$B$2:$B$51,Medals!$F$2:$F$51,0),0))</f>
        <v>0</v>
      </c>
      <c r="K57" s="7">
        <f>H57*GoldPoints*G57</f>
        <v>0</v>
      </c>
      <c r="L57" s="7">
        <f>I57*SilverPoints*G57</f>
        <v>0</v>
      </c>
      <c r="M57" s="7">
        <f>J57*BronzePoints*G57</f>
        <v>0</v>
      </c>
      <c r="N57" s="7">
        <f t="shared" si="1"/>
        <v>0</v>
      </c>
      <c r="O57" s="7" t="b">
        <f t="array" ref="O57">IF(E57="",FALSE,IFERROR(AND(ISNUMBER(MATCH(E57,Countries!$A$2:$A$72,0)),XLOOKUP(E57,Countries!$A$2:$A$72,Countries!$I$2:$I$72,FALSE)),FALSE))</f>
        <v>0</v>
      </c>
      <c r="P57" s="7" t="b">
        <f t="array" ref="P57">IF(E57="",FALSE,IFERROR(XLOOKUP(E57,Countries!$A$2:$A$72,Countries!$G$2:$G$72,FALSE),FALSE))</f>
        <v>0</v>
      </c>
      <c r="Q57" s="7" t="str">
        <f t="shared" si="2"/>
        <v>⚪</v>
      </c>
    </row>
    <row r="58" ht="15.75" customHeight="1">
      <c r="A58" s="7" t="str">
        <f t="array" ref="A58">IFERROR(IF(INDEX(Entries!$C$2:$C$48,8)="","",INDEX(Entries!$Q$2:$Q$48,8)),"")</f>
        <v/>
      </c>
      <c r="B58" s="7" t="str">
        <f t="array" ref="B58">IF(A58="","",IFERROR(INDEX(Entries!$E$2:$E$48,8),""))</f>
        <v/>
      </c>
      <c r="C58" s="7" t="str">
        <f>IF(A58="","","Tier1_Pick1")</f>
        <v/>
      </c>
      <c r="D58" s="7" t="str">
        <f>IF(A58="","",1)</f>
        <v/>
      </c>
      <c r="E58" s="7" t="str">
        <f t="array" ref="E58">IF(A58="","",IFERROR(INDEX(Entries!$F$2:$F$48,8),""))</f>
        <v/>
      </c>
      <c r="F58" s="7" t="str">
        <f>IF(E58="","",IFERROR(_xludf.XLOOKUP(E58,Countries!$A$2:$A$72,Countries!$B$2:$B$72,"???"),"???"))</f>
        <v/>
      </c>
      <c r="G58" s="7">
        <f t="array" ref="G58">IF(E58="",0,IFERROR(XLOOKUP(E58,Countries!$A$2:$A$72,Countries!$E$2:$E$72,0),0))</f>
        <v>0</v>
      </c>
      <c r="H58" s="7">
        <f t="array" ref="H58">IF(E58="",0,IFERROR(XLOOKUP(E58,Medals!$B$2:$B$51,Medals!$D$2:$D$51,0),0))</f>
        <v>0</v>
      </c>
      <c r="I58" s="7">
        <f t="array" ref="I58">IF(E58="",0,IFERROR(XLOOKUP(E58,Medals!$B$2:$B$51,Medals!$E$2:$E$51,0),0))</f>
        <v>0</v>
      </c>
      <c r="J58" s="7">
        <f t="array" ref="J58">IF(E58="",0,IFERROR(XLOOKUP(E58,Medals!$B$2:$B$51,Medals!$F$2:$F$51,0),0))</f>
        <v>0</v>
      </c>
      <c r="K58" s="7">
        <f>H58*GoldPoints*G58</f>
        <v>0</v>
      </c>
      <c r="L58" s="7">
        <f>I58*SilverPoints*G58</f>
        <v>0</v>
      </c>
      <c r="M58" s="7">
        <f>J58*BronzePoints*G58</f>
        <v>0</v>
      </c>
      <c r="N58" s="7">
        <f t="shared" si="1"/>
        <v>0</v>
      </c>
      <c r="O58" s="7" t="b">
        <f t="array" ref="O58">IF(E58="",FALSE,IFERROR(AND(ISNUMBER(MATCH(E58,Countries!$A$2:$A$72,0)),XLOOKUP(E58,Countries!$A$2:$A$72,Countries!$I$2:$I$72,FALSE)),FALSE))</f>
        <v>0</v>
      </c>
      <c r="P58" s="7" t="b">
        <f t="array" ref="P58">IF(E58="",FALSE,IFERROR(XLOOKUP(E58,Countries!$A$2:$A$72,Countries!$G$2:$G$72,FALSE),FALSE))</f>
        <v>0</v>
      </c>
      <c r="Q58" s="7" t="str">
        <f t="shared" si="2"/>
        <v>⚪</v>
      </c>
    </row>
    <row r="59" ht="15.75" customHeight="1">
      <c r="A59" s="7" t="str">
        <f t="array" ref="A59">IFERROR(IF(INDEX(Entries!$C$2:$C$48,8)="","",INDEX(Entries!$Q$2:$Q$48,8)),"")</f>
        <v/>
      </c>
      <c r="B59" s="7" t="str">
        <f t="array" ref="B59">IF(A59="","",IFERROR(INDEX(Entries!$E$2:$E$48,8),""))</f>
        <v/>
      </c>
      <c r="C59" s="7" t="str">
        <f>IF(A59="","","Tier2_Pick1")</f>
        <v/>
      </c>
      <c r="D59" s="7" t="str">
        <f t="shared" ref="D59:D60" si="17">IF(A59="","",2)</f>
        <v/>
      </c>
      <c r="E59" s="7" t="str">
        <f t="array" ref="E59">IF(A59="","",IFERROR(INDEX(Entries!$M$2:$M$48,8),""))</f>
        <v/>
      </c>
      <c r="F59" s="7" t="str">
        <f>IF(E59="","",IFERROR(_xludf.XLOOKUP(E59,Countries!$A$2:$A$72,Countries!$B$2:$B$72,"???"),"???"))</f>
        <v/>
      </c>
      <c r="G59" s="7">
        <f t="array" ref="G59">IF(E59="",0,IFERROR(XLOOKUP(E59,Countries!$A$2:$A$72,Countries!$E$2:$E$72,0),0))</f>
        <v>0</v>
      </c>
      <c r="H59" s="7">
        <f t="array" ref="H59">IF(E59="",0,IFERROR(XLOOKUP(E59,Medals!$B$2:$B$51,Medals!$D$2:$D$51,0),0))</f>
        <v>0</v>
      </c>
      <c r="I59" s="7">
        <f t="array" ref="I59">IF(E59="",0,IFERROR(XLOOKUP(E59,Medals!$B$2:$B$51,Medals!$E$2:$E$51,0),0))</f>
        <v>0</v>
      </c>
      <c r="J59" s="7">
        <f t="array" ref="J59">IF(E59="",0,IFERROR(XLOOKUP(E59,Medals!$B$2:$B$51,Medals!$F$2:$F$51,0),0))</f>
        <v>0</v>
      </c>
      <c r="K59" s="7">
        <f>H59*GoldPoints*G59</f>
        <v>0</v>
      </c>
      <c r="L59" s="7">
        <f>I59*SilverPoints*G59</f>
        <v>0</v>
      </c>
      <c r="M59" s="7">
        <f>J59*BronzePoints*G59</f>
        <v>0</v>
      </c>
      <c r="N59" s="7">
        <f t="shared" si="1"/>
        <v>0</v>
      </c>
      <c r="O59" s="7" t="b">
        <f t="array" ref="O59">IF(E59="",FALSE,IFERROR(AND(ISNUMBER(MATCH(E59,Countries!$A$2:$A$72,0)),XLOOKUP(E59,Countries!$A$2:$A$72,Countries!$I$2:$I$72,FALSE)),FALSE))</f>
        <v>0</v>
      </c>
      <c r="P59" s="7" t="b">
        <f t="array" ref="P59">IF(E59="",FALSE,IFERROR(XLOOKUP(E59,Countries!$A$2:$A$72,Countries!$G$2:$G$72,FALSE),FALSE))</f>
        <v>0</v>
      </c>
      <c r="Q59" s="7" t="str">
        <f t="shared" si="2"/>
        <v>⚪</v>
      </c>
    </row>
    <row r="60" ht="15.75" customHeight="1">
      <c r="A60" s="7" t="str">
        <f t="array" ref="A60">IFERROR(IF(INDEX(Entries!$C$2:$C$48,8)="","",INDEX(Entries!$Q$2:$Q$48,8)),"")</f>
        <v/>
      </c>
      <c r="B60" s="7" t="str">
        <f t="array" ref="B60">IF(A60="","",IFERROR(INDEX(Entries!$E$2:$E$48,8),""))</f>
        <v/>
      </c>
      <c r="C60" s="7" t="str">
        <f>IF(A60="","","Tier2_Pick2")</f>
        <v/>
      </c>
      <c r="D60" s="7" t="str">
        <f t="shared" si="17"/>
        <v/>
      </c>
      <c r="E60" s="7" t="str">
        <f t="array" ref="E60">IF(A60="","",IFERROR(INDEX(Entries!$N$2:$N$48,8),""))</f>
        <v/>
      </c>
      <c r="F60" s="7" t="str">
        <f>IF(E60="","",IFERROR(_xludf.XLOOKUP(E60,Countries!$A$2:$A$72,Countries!$B$2:$B$72,"???"),"???"))</f>
        <v/>
      </c>
      <c r="G60" s="7">
        <f t="array" ref="G60">IF(E60="",0,IFERROR(XLOOKUP(E60,Countries!$A$2:$A$72,Countries!$E$2:$E$72,0),0))</f>
        <v>0</v>
      </c>
      <c r="H60" s="7">
        <f t="array" ref="H60">IF(E60="",0,IFERROR(XLOOKUP(E60,Medals!$B$2:$B$51,Medals!$D$2:$D$51,0),0))</f>
        <v>0</v>
      </c>
      <c r="I60" s="7">
        <f t="array" ref="I60">IF(E60="",0,IFERROR(XLOOKUP(E60,Medals!$B$2:$B$51,Medals!$E$2:$E$51,0),0))</f>
        <v>0</v>
      </c>
      <c r="J60" s="7">
        <f t="array" ref="J60">IF(E60="",0,IFERROR(XLOOKUP(E60,Medals!$B$2:$B$51,Medals!$F$2:$F$51,0),0))</f>
        <v>0</v>
      </c>
      <c r="K60" s="7">
        <f>H60*GoldPoints*G60</f>
        <v>0</v>
      </c>
      <c r="L60" s="7">
        <f>I60*SilverPoints*G60</f>
        <v>0</v>
      </c>
      <c r="M60" s="7">
        <f>J60*BronzePoints*G60</f>
        <v>0</v>
      </c>
      <c r="N60" s="7">
        <f t="shared" si="1"/>
        <v>0</v>
      </c>
      <c r="O60" s="7" t="b">
        <f t="array" ref="O60">IF(E60="",FALSE,IFERROR(AND(ISNUMBER(MATCH(E60,Countries!$A$2:$A$72,0)),XLOOKUP(E60,Countries!$A$2:$A$72,Countries!$I$2:$I$72,FALSE)),FALSE))</f>
        <v>0</v>
      </c>
      <c r="P60" s="7" t="b">
        <f t="array" ref="P60">IF(E60="",FALSE,IFERROR(XLOOKUP(E60,Countries!$A$2:$A$72,Countries!$G$2:$G$72,FALSE),FALSE))</f>
        <v>0</v>
      </c>
      <c r="Q60" s="7" t="str">
        <f t="shared" si="2"/>
        <v>⚪</v>
      </c>
    </row>
    <row r="61" ht="15.75" customHeight="1">
      <c r="A61" s="7" t="str">
        <f t="array" ref="A61">IFERROR(IF(INDEX(Entries!$C$2:$C$48,8)="","",INDEX(Entries!$Q$2:$Q$48,8)),"")</f>
        <v/>
      </c>
      <c r="B61" s="7" t="str">
        <f t="array" ref="B61">IF(A61="","",IFERROR(INDEX(Entries!$E$2:$E$48,8),""))</f>
        <v/>
      </c>
      <c r="C61" s="7" t="str">
        <f>IF(A61="","","Tier3_Pick1")</f>
        <v/>
      </c>
      <c r="D61" s="7" t="str">
        <f>IF(A61="","",3)</f>
        <v/>
      </c>
      <c r="E61" s="7" t="str">
        <f t="array" ref="E61">IF(A61="","",IFERROR(INDEX(Entries!$H$2:$H$48,8),""))</f>
        <v/>
      </c>
      <c r="F61" s="7" t="str">
        <f>IF(E61="","",IFERROR(_xludf.XLOOKUP(E61,Countries!$A$2:$A$72,Countries!$B$2:$B$72,"???"),"???"))</f>
        <v/>
      </c>
      <c r="G61" s="7">
        <f t="array" ref="G61">IF(E61="",0,IFERROR(XLOOKUP(E61,Countries!$A$2:$A$72,Countries!$E$2:$E$72,0),0))</f>
        <v>0</v>
      </c>
      <c r="H61" s="7">
        <f t="array" ref="H61">IF(E61="",0,IFERROR(XLOOKUP(E61,Medals!$B$2:$B$51,Medals!$D$2:$D$51,0),0))</f>
        <v>0</v>
      </c>
      <c r="I61" s="7">
        <f t="array" ref="I61">IF(E61="",0,IFERROR(XLOOKUP(E61,Medals!$B$2:$B$51,Medals!$E$2:$E$51,0),0))</f>
        <v>0</v>
      </c>
      <c r="J61" s="7">
        <f t="array" ref="J61">IF(E61="",0,IFERROR(XLOOKUP(E61,Medals!$B$2:$B$51,Medals!$F$2:$F$51,0),0))</f>
        <v>0</v>
      </c>
      <c r="K61" s="7">
        <f>H61*GoldPoints*G61</f>
        <v>0</v>
      </c>
      <c r="L61" s="7">
        <f>I61*SilverPoints*G61</f>
        <v>0</v>
      </c>
      <c r="M61" s="7">
        <f>J61*BronzePoints*G61</f>
        <v>0</v>
      </c>
      <c r="N61" s="7">
        <f t="shared" si="1"/>
        <v>0</v>
      </c>
      <c r="O61" s="7" t="b">
        <f t="array" ref="O61">IF(E61="",FALSE,IFERROR(AND(ISNUMBER(MATCH(E61,Countries!$A$2:$A$72,0)),XLOOKUP(E61,Countries!$A$2:$A$72,Countries!$I$2:$I$72,FALSE)),FALSE))</f>
        <v>0</v>
      </c>
      <c r="P61" s="7" t="b">
        <f t="array" ref="P61">IF(E61="",FALSE,IFERROR(XLOOKUP(E61,Countries!$A$2:$A$72,Countries!$G$2:$G$72,FALSE),FALSE))</f>
        <v>0</v>
      </c>
      <c r="Q61" s="7" t="str">
        <f t="shared" si="2"/>
        <v>⚪</v>
      </c>
    </row>
    <row r="62" ht="15.75" customHeight="1">
      <c r="A62" s="7" t="str">
        <f t="array" ref="A62">IFERROR(IF(INDEX(Entries!$C$2:$C$48,8)="","",INDEX(Entries!$Q$2:$Q$48,8)),"")</f>
        <v/>
      </c>
      <c r="B62" s="7" t="str">
        <f t="array" ref="B62">IF(A62="","",IFERROR(INDEX(Entries!$E$2:$E$48,8),""))</f>
        <v/>
      </c>
      <c r="C62" s="7" t="str">
        <f>IF(A62="","","Tier4_Pick1")</f>
        <v/>
      </c>
      <c r="D62" s="7" t="str">
        <f>IF(A62="","",4)</f>
        <v/>
      </c>
      <c r="E62" s="7" t="str">
        <f t="array" ref="E62">IF(A62="","",IFERROR(INDEX(Entries!$I$2:$I$48,8),""))</f>
        <v/>
      </c>
      <c r="F62" s="7" t="str">
        <f>IF(E62="","",IFERROR(_xludf.XLOOKUP(E62,Countries!$A$2:$A$72,Countries!$B$2:$B$72,"???"),"???"))</f>
        <v/>
      </c>
      <c r="G62" s="7">
        <f t="array" ref="G62">IF(E62="",0,IFERROR(XLOOKUP(E62,Countries!$A$2:$A$72,Countries!$E$2:$E$72,0),0))</f>
        <v>0</v>
      </c>
      <c r="H62" s="7">
        <f t="array" ref="H62">IF(E62="",0,IFERROR(XLOOKUP(E62,Medals!$B$2:$B$51,Medals!$D$2:$D$51,0),0))</f>
        <v>0</v>
      </c>
      <c r="I62" s="7">
        <f t="array" ref="I62">IF(E62="",0,IFERROR(XLOOKUP(E62,Medals!$B$2:$B$51,Medals!$E$2:$E$51,0),0))</f>
        <v>0</v>
      </c>
      <c r="J62" s="7">
        <f t="array" ref="J62">IF(E62="",0,IFERROR(XLOOKUP(E62,Medals!$B$2:$B$51,Medals!$F$2:$F$51,0),0))</f>
        <v>0</v>
      </c>
      <c r="K62" s="7">
        <f>H62*GoldPoints*G62</f>
        <v>0</v>
      </c>
      <c r="L62" s="7">
        <f>I62*SilverPoints*G62</f>
        <v>0</v>
      </c>
      <c r="M62" s="7">
        <f>J62*BronzePoints*G62</f>
        <v>0</v>
      </c>
      <c r="N62" s="7">
        <f t="shared" si="1"/>
        <v>0</v>
      </c>
      <c r="O62" s="7" t="b">
        <f t="array" ref="O62">IF(E62="",FALSE,IFERROR(AND(ISNUMBER(MATCH(E62,Countries!$A$2:$A$72,0)),XLOOKUP(E62,Countries!$A$2:$A$72,Countries!$I$2:$I$72,FALSE)),FALSE))</f>
        <v>0</v>
      </c>
      <c r="P62" s="7" t="b">
        <f t="array" ref="P62">IF(E62="",FALSE,IFERROR(XLOOKUP(E62,Countries!$A$2:$A$72,Countries!$G$2:$G$72,FALSE),FALSE))</f>
        <v>0</v>
      </c>
      <c r="Q62" s="7" t="str">
        <f t="shared" si="2"/>
        <v>⚪</v>
      </c>
    </row>
    <row r="63" ht="15.75" customHeight="1">
      <c r="A63" s="7" t="str">
        <f t="array" ref="A63">IFERROR(IF(INDEX(Entries!$C$2:$C$48,8)="","",INDEX(Entries!$Q$2:$Q$48,8)),"")</f>
        <v/>
      </c>
      <c r="B63" s="7" t="str">
        <f t="array" ref="B63">IF(A63="","",IFERROR(INDEX(Entries!$E$2:$E$48,8),""))</f>
        <v/>
      </c>
      <c r="C63" s="7" t="str">
        <f>IF(A63="","","Tier5_Pick1")</f>
        <v/>
      </c>
      <c r="D63" s="7" t="str">
        <f>IF(A63="","",5)</f>
        <v/>
      </c>
      <c r="E63" s="7" t="str">
        <f t="array" ref="E63">IF(A63="","",IFERROR(INDEX(Entries!$J$2:$J$48,8),""))</f>
        <v/>
      </c>
      <c r="F63" s="7" t="str">
        <f>IF(E63="","",IFERROR(_xludf.XLOOKUP(E63,Countries!$A$2:$A$72,Countries!$B$2:$B$72,"???"),"???"))</f>
        <v/>
      </c>
      <c r="G63" s="7">
        <f t="array" ref="G63">IF(E63="",0,IFERROR(XLOOKUP(E63,Countries!$A$2:$A$72,Countries!$E$2:$E$72,0),0))</f>
        <v>0</v>
      </c>
      <c r="H63" s="7">
        <f t="array" ref="H63">IF(E63="",0,IFERROR(XLOOKUP(E63,Medals!$B$2:$B$51,Medals!$D$2:$D$51,0),0))</f>
        <v>0</v>
      </c>
      <c r="I63" s="7">
        <f t="array" ref="I63">IF(E63="",0,IFERROR(XLOOKUP(E63,Medals!$B$2:$B$51,Medals!$E$2:$E$51,0),0))</f>
        <v>0</v>
      </c>
      <c r="J63" s="7">
        <f t="array" ref="J63">IF(E63="",0,IFERROR(XLOOKUP(E63,Medals!$B$2:$B$51,Medals!$F$2:$F$51,0),0))</f>
        <v>0</v>
      </c>
      <c r="K63" s="7">
        <f>H63*GoldPoints*G63</f>
        <v>0</v>
      </c>
      <c r="L63" s="7">
        <f>I63*SilverPoints*G63</f>
        <v>0</v>
      </c>
      <c r="M63" s="7">
        <f>J63*BronzePoints*G63</f>
        <v>0</v>
      </c>
      <c r="N63" s="7">
        <f t="shared" si="1"/>
        <v>0</v>
      </c>
      <c r="O63" s="7" t="b">
        <f t="array" ref="O63">IF(E63="",FALSE,IFERROR(AND(ISNUMBER(MATCH(E63,Countries!$A$2:$A$72,0)),XLOOKUP(E63,Countries!$A$2:$A$72,Countries!$I$2:$I$72,FALSE)),FALSE))</f>
        <v>0</v>
      </c>
      <c r="P63" s="7" t="b">
        <f t="array" ref="P63">IF(E63="",FALSE,IFERROR(XLOOKUP(E63,Countries!$A$2:$A$72,Countries!$G$2:$G$72,FALSE),FALSE))</f>
        <v>0</v>
      </c>
      <c r="Q63" s="7" t="str">
        <f t="shared" si="2"/>
        <v>⚪</v>
      </c>
    </row>
    <row r="64" ht="15.75" customHeight="1">
      <c r="A64" s="7" t="str">
        <f t="array" ref="A64">IFERROR(IF(INDEX(Entries!$C$2:$C$48,8)="","",INDEX(Entries!$Q$2:$Q$48,8)),"")</f>
        <v/>
      </c>
      <c r="B64" s="7" t="str">
        <f t="array" ref="B64">IF(A64="","",IFERROR(INDEX(Entries!$E$2:$E$48,8),""))</f>
        <v/>
      </c>
      <c r="C64" s="7" t="str">
        <f>IF(A64="","","Tier6_Pick1")</f>
        <v/>
      </c>
      <c r="D64" s="7" t="str">
        <f t="shared" ref="D64:D65" si="18">IF(A64="","",6)</f>
        <v/>
      </c>
      <c r="E64" s="7" t="str">
        <f t="array" ref="E64">IF(A64="","",IFERROR(INDEX(Entries!$O$2:$O$48,8),""))</f>
        <v/>
      </c>
      <c r="F64" s="7" t="str">
        <f>IF(E64="","",IFERROR(_xludf.XLOOKUP(E64,Countries!$A$2:$A$72,Countries!$B$2:$B$72,"???"),"???"))</f>
        <v/>
      </c>
      <c r="G64" s="7">
        <f t="array" ref="G64">IF(E64="",0,IFERROR(XLOOKUP(E64,Countries!$A$2:$A$72,Countries!$E$2:$E$72,0),0))</f>
        <v>0</v>
      </c>
      <c r="H64" s="7">
        <f t="array" ref="H64">IF(E64="",0,IFERROR(XLOOKUP(E64,Medals!$B$2:$B$51,Medals!$D$2:$D$51,0),0))</f>
        <v>0</v>
      </c>
      <c r="I64" s="7">
        <f t="array" ref="I64">IF(E64="",0,IFERROR(XLOOKUP(E64,Medals!$B$2:$B$51,Medals!$E$2:$E$51,0),0))</f>
        <v>0</v>
      </c>
      <c r="J64" s="7">
        <f t="array" ref="J64">IF(E64="",0,IFERROR(XLOOKUP(E64,Medals!$B$2:$B$51,Medals!$F$2:$F$51,0),0))</f>
        <v>0</v>
      </c>
      <c r="K64" s="7">
        <f>H64*GoldPoints*G64</f>
        <v>0</v>
      </c>
      <c r="L64" s="7">
        <f>I64*SilverPoints*G64</f>
        <v>0</v>
      </c>
      <c r="M64" s="7">
        <f>J64*BronzePoints*G64</f>
        <v>0</v>
      </c>
      <c r="N64" s="7">
        <f t="shared" si="1"/>
        <v>0</v>
      </c>
      <c r="O64" s="7" t="b">
        <f t="array" ref="O64">IF(E64="",FALSE,IFERROR(AND(ISNUMBER(MATCH(E64,Countries!$A$2:$A$72,0)),XLOOKUP(E64,Countries!$A$2:$A$72,Countries!$I$2:$I$72,FALSE)),FALSE))</f>
        <v>0</v>
      </c>
      <c r="P64" s="7" t="b">
        <f t="array" ref="P64">IF(E64="",FALSE,IFERROR(XLOOKUP(E64,Countries!$A$2:$A$72,Countries!$G$2:$G$72,FALSE),FALSE))</f>
        <v>0</v>
      </c>
      <c r="Q64" s="7" t="str">
        <f t="shared" si="2"/>
        <v>⚪</v>
      </c>
    </row>
    <row r="65" ht="15.75" customHeight="1">
      <c r="A65" s="7" t="str">
        <f t="array" ref="A65">IFERROR(IF(INDEX(Entries!$C$2:$C$48,8)="","",INDEX(Entries!$Q$2:$Q$48,8)),"")</f>
        <v/>
      </c>
      <c r="B65" s="7" t="str">
        <f t="array" ref="B65">IF(A65="","",IFERROR(INDEX(Entries!$E$2:$E$48,8),""))</f>
        <v/>
      </c>
      <c r="C65" s="7" t="str">
        <f>IF(A65="","","Tier6_Pick2")</f>
        <v/>
      </c>
      <c r="D65" s="7" t="str">
        <f t="shared" si="18"/>
        <v/>
      </c>
      <c r="E65" s="7" t="str">
        <f t="array" ref="E65">IF(A65="","",IFERROR(INDEX(Entries!$P$2:$P$48,8),""))</f>
        <v/>
      </c>
      <c r="F65" s="7" t="str">
        <f>IF(E65="","",IFERROR(_xludf.XLOOKUP(E65,Countries!$A$2:$A$72,Countries!$B$2:$B$72,"???"),"???"))</f>
        <v/>
      </c>
      <c r="G65" s="7">
        <f t="array" ref="G65">IF(E65="",0,IFERROR(XLOOKUP(E65,Countries!$A$2:$A$72,Countries!$E$2:$E$72,0),0))</f>
        <v>0</v>
      </c>
      <c r="H65" s="7">
        <f t="array" ref="H65">IF(E65="",0,IFERROR(XLOOKUP(E65,Medals!$B$2:$B$51,Medals!$D$2:$D$51,0),0))</f>
        <v>0</v>
      </c>
      <c r="I65" s="7">
        <f t="array" ref="I65">IF(E65="",0,IFERROR(XLOOKUP(E65,Medals!$B$2:$B$51,Medals!$E$2:$E$51,0),0))</f>
        <v>0</v>
      </c>
      <c r="J65" s="7">
        <f t="array" ref="J65">IF(E65="",0,IFERROR(XLOOKUP(E65,Medals!$B$2:$B$51,Medals!$F$2:$F$51,0),0))</f>
        <v>0</v>
      </c>
      <c r="K65" s="7">
        <f>H65*GoldPoints*G65</f>
        <v>0</v>
      </c>
      <c r="L65" s="7">
        <f>I65*SilverPoints*G65</f>
        <v>0</v>
      </c>
      <c r="M65" s="7">
        <f>J65*BronzePoints*G65</f>
        <v>0</v>
      </c>
      <c r="N65" s="7">
        <f t="shared" si="1"/>
        <v>0</v>
      </c>
      <c r="O65" s="7" t="b">
        <f t="array" ref="O65">IF(E65="",FALSE,IFERROR(AND(ISNUMBER(MATCH(E65,Countries!$A$2:$A$72,0)),XLOOKUP(E65,Countries!$A$2:$A$72,Countries!$I$2:$I$72,FALSE)),FALSE))</f>
        <v>0</v>
      </c>
      <c r="P65" s="7" t="b">
        <f t="array" ref="P65">IF(E65="",FALSE,IFERROR(XLOOKUP(E65,Countries!$A$2:$A$72,Countries!$G$2:$G$72,FALSE),FALSE))</f>
        <v>0</v>
      </c>
      <c r="Q65" s="7" t="str">
        <f t="shared" si="2"/>
        <v>⚪</v>
      </c>
    </row>
    <row r="66" ht="15.75" customHeight="1">
      <c r="A66" s="7" t="str">
        <f t="array" ref="A66">IFERROR(IF(INDEX(Entries!$C$2:$C$48,9)="","",INDEX(Entries!$Q$2:$Q$48,9)),"")</f>
        <v/>
      </c>
      <c r="B66" s="7" t="str">
        <f t="array" ref="B66">IF(A66="","",IFERROR(INDEX(Entries!$E$2:$E$48,9),""))</f>
        <v/>
      </c>
      <c r="C66" s="7" t="str">
        <f>IF(A66="","","Tier1_Pick1")</f>
        <v/>
      </c>
      <c r="D66" s="7" t="str">
        <f>IF(A66="","",1)</f>
        <v/>
      </c>
      <c r="E66" s="7" t="str">
        <f t="array" ref="E66">IF(A66="","",IFERROR(INDEX(Entries!$F$2:$F$48,9),""))</f>
        <v/>
      </c>
      <c r="F66" s="7" t="str">
        <f>IF(E66="","",IFERROR(_xludf.XLOOKUP(E66,Countries!$A$2:$A$72,Countries!$B$2:$B$72,"???"),"???"))</f>
        <v/>
      </c>
      <c r="G66" s="7">
        <f t="array" ref="G66">IF(E66="",0,IFERROR(XLOOKUP(E66,Countries!$A$2:$A$72,Countries!$E$2:$E$72,0),0))</f>
        <v>0</v>
      </c>
      <c r="H66" s="7">
        <f t="array" ref="H66">IF(E66="",0,IFERROR(XLOOKUP(E66,Medals!$B$2:$B$51,Medals!$D$2:$D$51,0),0))</f>
        <v>0</v>
      </c>
      <c r="I66" s="7">
        <f t="array" ref="I66">IF(E66="",0,IFERROR(XLOOKUP(E66,Medals!$B$2:$B$51,Medals!$E$2:$E$51,0),0))</f>
        <v>0</v>
      </c>
      <c r="J66" s="7">
        <f t="array" ref="J66">IF(E66="",0,IFERROR(XLOOKUP(E66,Medals!$B$2:$B$51,Medals!$F$2:$F$51,0),0))</f>
        <v>0</v>
      </c>
      <c r="K66" s="7">
        <f>H66*GoldPoints*G66</f>
        <v>0</v>
      </c>
      <c r="L66" s="7">
        <f>I66*SilverPoints*G66</f>
        <v>0</v>
      </c>
      <c r="M66" s="7">
        <f>J66*BronzePoints*G66</f>
        <v>0</v>
      </c>
      <c r="N66" s="7">
        <f t="shared" si="1"/>
        <v>0</v>
      </c>
      <c r="O66" s="7" t="b">
        <f t="array" ref="O66">IF(E66="",FALSE,IFERROR(AND(ISNUMBER(MATCH(E66,Countries!$A$2:$A$72,0)),XLOOKUP(E66,Countries!$A$2:$A$72,Countries!$I$2:$I$72,FALSE)),FALSE))</f>
        <v>0</v>
      </c>
      <c r="P66" s="7" t="b">
        <f t="array" ref="P66">IF(E66="",FALSE,IFERROR(XLOOKUP(E66,Countries!$A$2:$A$72,Countries!$G$2:$G$72,FALSE),FALSE))</f>
        <v>0</v>
      </c>
      <c r="Q66" s="7" t="str">
        <f t="shared" si="2"/>
        <v>⚪</v>
      </c>
    </row>
    <row r="67" ht="15.75" customHeight="1">
      <c r="A67" s="7" t="str">
        <f t="array" ref="A67">IFERROR(IF(INDEX(Entries!$C$2:$C$48,9)="","",INDEX(Entries!$Q$2:$Q$48,9)),"")</f>
        <v/>
      </c>
      <c r="B67" s="7" t="str">
        <f t="array" ref="B67">IF(A67="","",IFERROR(INDEX(Entries!$E$2:$E$48,9),""))</f>
        <v/>
      </c>
      <c r="C67" s="7" t="str">
        <f>IF(A67="","","Tier2_Pick1")</f>
        <v/>
      </c>
      <c r="D67" s="7" t="str">
        <f t="shared" ref="D67:D68" si="19">IF(A67="","",2)</f>
        <v/>
      </c>
      <c r="E67" s="7" t="str">
        <f t="array" ref="E67">IF(A67="","",IFERROR(INDEX(Entries!$M$2:$M$48,9),""))</f>
        <v/>
      </c>
      <c r="F67" s="7" t="str">
        <f>IF(E67="","",IFERROR(_xludf.XLOOKUP(E67,Countries!$A$2:$A$72,Countries!$B$2:$B$72,"???"),"???"))</f>
        <v/>
      </c>
      <c r="G67" s="7">
        <f t="array" ref="G67">IF(E67="",0,IFERROR(XLOOKUP(E67,Countries!$A$2:$A$72,Countries!$E$2:$E$72,0),0))</f>
        <v>0</v>
      </c>
      <c r="H67" s="7">
        <f t="array" ref="H67">IF(E67="",0,IFERROR(XLOOKUP(E67,Medals!$B$2:$B$51,Medals!$D$2:$D$51,0),0))</f>
        <v>0</v>
      </c>
      <c r="I67" s="7">
        <f t="array" ref="I67">IF(E67="",0,IFERROR(XLOOKUP(E67,Medals!$B$2:$B$51,Medals!$E$2:$E$51,0),0))</f>
        <v>0</v>
      </c>
      <c r="J67" s="7">
        <f t="array" ref="J67">IF(E67="",0,IFERROR(XLOOKUP(E67,Medals!$B$2:$B$51,Medals!$F$2:$F$51,0),0))</f>
        <v>0</v>
      </c>
      <c r="K67" s="7">
        <f>H67*GoldPoints*G67</f>
        <v>0</v>
      </c>
      <c r="L67" s="7">
        <f>I67*SilverPoints*G67</f>
        <v>0</v>
      </c>
      <c r="M67" s="7">
        <f>J67*BronzePoints*G67</f>
        <v>0</v>
      </c>
      <c r="N67" s="7">
        <f t="shared" si="1"/>
        <v>0</v>
      </c>
      <c r="O67" s="7" t="b">
        <f t="array" ref="O67">IF(E67="",FALSE,IFERROR(AND(ISNUMBER(MATCH(E67,Countries!$A$2:$A$72,0)),XLOOKUP(E67,Countries!$A$2:$A$72,Countries!$I$2:$I$72,FALSE)),FALSE))</f>
        <v>0</v>
      </c>
      <c r="P67" s="7" t="b">
        <f t="array" ref="P67">IF(E67="",FALSE,IFERROR(XLOOKUP(E67,Countries!$A$2:$A$72,Countries!$G$2:$G$72,FALSE),FALSE))</f>
        <v>0</v>
      </c>
      <c r="Q67" s="7" t="str">
        <f t="shared" si="2"/>
        <v>⚪</v>
      </c>
    </row>
    <row r="68" ht="15.75" customHeight="1">
      <c r="A68" s="7" t="str">
        <f t="array" ref="A68">IFERROR(IF(INDEX(Entries!$C$2:$C$48,9)="","",INDEX(Entries!$Q$2:$Q$48,9)),"")</f>
        <v/>
      </c>
      <c r="B68" s="7" t="str">
        <f t="array" ref="B68">IF(A68="","",IFERROR(INDEX(Entries!$E$2:$E$48,9),""))</f>
        <v/>
      </c>
      <c r="C68" s="7" t="str">
        <f>IF(A68="","","Tier2_Pick2")</f>
        <v/>
      </c>
      <c r="D68" s="7" t="str">
        <f t="shared" si="19"/>
        <v/>
      </c>
      <c r="E68" s="7" t="str">
        <f t="array" ref="E68">IF(A68="","",IFERROR(INDEX(Entries!$N$2:$N$48,9),""))</f>
        <v/>
      </c>
      <c r="F68" s="7" t="str">
        <f>IF(E68="","",IFERROR(_xludf.XLOOKUP(E68,Countries!$A$2:$A$72,Countries!$B$2:$B$72,"???"),"???"))</f>
        <v/>
      </c>
      <c r="G68" s="7">
        <f t="array" ref="G68">IF(E68="",0,IFERROR(XLOOKUP(E68,Countries!$A$2:$A$72,Countries!$E$2:$E$72,0),0))</f>
        <v>0</v>
      </c>
      <c r="H68" s="7">
        <f t="array" ref="H68">IF(E68="",0,IFERROR(XLOOKUP(E68,Medals!$B$2:$B$51,Medals!$D$2:$D$51,0),0))</f>
        <v>0</v>
      </c>
      <c r="I68" s="7">
        <f t="array" ref="I68">IF(E68="",0,IFERROR(XLOOKUP(E68,Medals!$B$2:$B$51,Medals!$E$2:$E$51,0),0))</f>
        <v>0</v>
      </c>
      <c r="J68" s="7">
        <f t="array" ref="J68">IF(E68="",0,IFERROR(XLOOKUP(E68,Medals!$B$2:$B$51,Medals!$F$2:$F$51,0),0))</f>
        <v>0</v>
      </c>
      <c r="K68" s="7">
        <f>H68*GoldPoints*G68</f>
        <v>0</v>
      </c>
      <c r="L68" s="7">
        <f>I68*SilverPoints*G68</f>
        <v>0</v>
      </c>
      <c r="M68" s="7">
        <f>J68*BronzePoints*G68</f>
        <v>0</v>
      </c>
      <c r="N68" s="7">
        <f t="shared" si="1"/>
        <v>0</v>
      </c>
      <c r="O68" s="7" t="b">
        <f t="array" ref="O68">IF(E68="",FALSE,IFERROR(AND(ISNUMBER(MATCH(E68,Countries!$A$2:$A$72,0)),XLOOKUP(E68,Countries!$A$2:$A$72,Countries!$I$2:$I$72,FALSE)),FALSE))</f>
        <v>0</v>
      </c>
      <c r="P68" s="7" t="b">
        <f t="array" ref="P68">IF(E68="",FALSE,IFERROR(XLOOKUP(E68,Countries!$A$2:$A$72,Countries!$G$2:$G$72,FALSE),FALSE))</f>
        <v>0</v>
      </c>
      <c r="Q68" s="7" t="str">
        <f t="shared" si="2"/>
        <v>⚪</v>
      </c>
    </row>
    <row r="69" ht="15.75" customHeight="1">
      <c r="A69" s="7" t="str">
        <f t="array" ref="A69">IFERROR(IF(INDEX(Entries!$C$2:$C$48,9)="","",INDEX(Entries!$Q$2:$Q$48,9)),"")</f>
        <v/>
      </c>
      <c r="B69" s="7" t="str">
        <f t="array" ref="B69">IF(A69="","",IFERROR(INDEX(Entries!$E$2:$E$48,9),""))</f>
        <v/>
      </c>
      <c r="C69" s="7" t="str">
        <f>IF(A69="","","Tier3_Pick1")</f>
        <v/>
      </c>
      <c r="D69" s="7" t="str">
        <f>IF(A69="","",3)</f>
        <v/>
      </c>
      <c r="E69" s="7" t="str">
        <f t="array" ref="E69">IF(A69="","",IFERROR(INDEX(Entries!$H$2:$H$48,9),""))</f>
        <v/>
      </c>
      <c r="F69" s="7" t="str">
        <f>IF(E69="","",IFERROR(_xludf.XLOOKUP(E69,Countries!$A$2:$A$72,Countries!$B$2:$B$72,"???"),"???"))</f>
        <v/>
      </c>
      <c r="G69" s="7">
        <f t="array" ref="G69">IF(E69="",0,IFERROR(XLOOKUP(E69,Countries!$A$2:$A$72,Countries!$E$2:$E$72,0),0))</f>
        <v>0</v>
      </c>
      <c r="H69" s="7">
        <f t="array" ref="H69">IF(E69="",0,IFERROR(XLOOKUP(E69,Medals!$B$2:$B$51,Medals!$D$2:$D$51,0),0))</f>
        <v>0</v>
      </c>
      <c r="I69" s="7">
        <f t="array" ref="I69">IF(E69="",0,IFERROR(XLOOKUP(E69,Medals!$B$2:$B$51,Medals!$E$2:$E$51,0),0))</f>
        <v>0</v>
      </c>
      <c r="J69" s="7">
        <f t="array" ref="J69">IF(E69="",0,IFERROR(XLOOKUP(E69,Medals!$B$2:$B$51,Medals!$F$2:$F$51,0),0))</f>
        <v>0</v>
      </c>
      <c r="K69" s="7">
        <f>H69*GoldPoints*G69</f>
        <v>0</v>
      </c>
      <c r="L69" s="7">
        <f>I69*SilverPoints*G69</f>
        <v>0</v>
      </c>
      <c r="M69" s="7">
        <f>J69*BronzePoints*G69</f>
        <v>0</v>
      </c>
      <c r="N69" s="7">
        <f t="shared" si="1"/>
        <v>0</v>
      </c>
      <c r="O69" s="7" t="b">
        <f t="array" ref="O69">IF(E69="",FALSE,IFERROR(AND(ISNUMBER(MATCH(E69,Countries!$A$2:$A$72,0)),XLOOKUP(E69,Countries!$A$2:$A$72,Countries!$I$2:$I$72,FALSE)),FALSE))</f>
        <v>0</v>
      </c>
      <c r="P69" s="7" t="b">
        <f t="array" ref="P69">IF(E69="",FALSE,IFERROR(XLOOKUP(E69,Countries!$A$2:$A$72,Countries!$G$2:$G$72,FALSE),FALSE))</f>
        <v>0</v>
      </c>
      <c r="Q69" s="7" t="str">
        <f t="shared" si="2"/>
        <v>⚪</v>
      </c>
    </row>
    <row r="70" ht="15.75" customHeight="1">
      <c r="A70" s="7" t="str">
        <f t="array" ref="A70">IFERROR(IF(INDEX(Entries!$C$2:$C$48,9)="","",INDEX(Entries!$Q$2:$Q$48,9)),"")</f>
        <v/>
      </c>
      <c r="B70" s="7" t="str">
        <f t="array" ref="B70">IF(A70="","",IFERROR(INDEX(Entries!$E$2:$E$48,9),""))</f>
        <v/>
      </c>
      <c r="C70" s="7" t="str">
        <f>IF(A70="","","Tier4_Pick1")</f>
        <v/>
      </c>
      <c r="D70" s="7" t="str">
        <f>IF(A70="","",4)</f>
        <v/>
      </c>
      <c r="E70" s="7" t="str">
        <f t="array" ref="E70">IF(A70="","",IFERROR(INDEX(Entries!$I$2:$I$48,9),""))</f>
        <v/>
      </c>
      <c r="F70" s="7" t="str">
        <f>IF(E70="","",IFERROR(_xludf.XLOOKUP(E70,Countries!$A$2:$A$72,Countries!$B$2:$B$72,"???"),"???"))</f>
        <v/>
      </c>
      <c r="G70" s="7">
        <f t="array" ref="G70">IF(E70="",0,IFERROR(XLOOKUP(E70,Countries!$A$2:$A$72,Countries!$E$2:$E$72,0),0))</f>
        <v>0</v>
      </c>
      <c r="H70" s="7">
        <f t="array" ref="H70">IF(E70="",0,IFERROR(XLOOKUP(E70,Medals!$B$2:$B$51,Medals!$D$2:$D$51,0),0))</f>
        <v>0</v>
      </c>
      <c r="I70" s="7">
        <f t="array" ref="I70">IF(E70="",0,IFERROR(XLOOKUP(E70,Medals!$B$2:$B$51,Medals!$E$2:$E$51,0),0))</f>
        <v>0</v>
      </c>
      <c r="J70" s="7">
        <f t="array" ref="J70">IF(E70="",0,IFERROR(XLOOKUP(E70,Medals!$B$2:$B$51,Medals!$F$2:$F$51,0),0))</f>
        <v>0</v>
      </c>
      <c r="K70" s="7">
        <f>H70*GoldPoints*G70</f>
        <v>0</v>
      </c>
      <c r="L70" s="7">
        <f>I70*SilverPoints*G70</f>
        <v>0</v>
      </c>
      <c r="M70" s="7">
        <f>J70*BronzePoints*G70</f>
        <v>0</v>
      </c>
      <c r="N70" s="7">
        <f t="shared" si="1"/>
        <v>0</v>
      </c>
      <c r="O70" s="7" t="b">
        <f t="array" ref="O70">IF(E70="",FALSE,IFERROR(AND(ISNUMBER(MATCH(E70,Countries!$A$2:$A$72,0)),XLOOKUP(E70,Countries!$A$2:$A$72,Countries!$I$2:$I$72,FALSE)),FALSE))</f>
        <v>0</v>
      </c>
      <c r="P70" s="7" t="b">
        <f t="array" ref="P70">IF(E70="",FALSE,IFERROR(XLOOKUP(E70,Countries!$A$2:$A$72,Countries!$G$2:$G$72,FALSE),FALSE))</f>
        <v>0</v>
      </c>
      <c r="Q70" s="7" t="str">
        <f t="shared" si="2"/>
        <v>⚪</v>
      </c>
    </row>
    <row r="71" ht="15.75" customHeight="1">
      <c r="A71" s="7" t="str">
        <f t="array" ref="A71">IFERROR(IF(INDEX(Entries!$C$2:$C$48,9)="","",INDEX(Entries!$Q$2:$Q$48,9)),"")</f>
        <v/>
      </c>
      <c r="B71" s="7" t="str">
        <f t="array" ref="B71">IF(A71="","",IFERROR(INDEX(Entries!$E$2:$E$48,9),""))</f>
        <v/>
      </c>
      <c r="C71" s="7" t="str">
        <f>IF(A71="","","Tier5_Pick1")</f>
        <v/>
      </c>
      <c r="D71" s="7" t="str">
        <f>IF(A71="","",5)</f>
        <v/>
      </c>
      <c r="E71" s="7" t="str">
        <f t="array" ref="E71">IF(A71="","",IFERROR(INDEX(Entries!$J$2:$J$48,9),""))</f>
        <v/>
      </c>
      <c r="F71" s="7" t="str">
        <f>IF(E71="","",IFERROR(_xludf.XLOOKUP(E71,Countries!$A$2:$A$72,Countries!$B$2:$B$72,"???"),"???"))</f>
        <v/>
      </c>
      <c r="G71" s="7">
        <f t="array" ref="G71">IF(E71="",0,IFERROR(XLOOKUP(E71,Countries!$A$2:$A$72,Countries!$E$2:$E$72,0),0))</f>
        <v>0</v>
      </c>
      <c r="H71" s="7">
        <f t="array" ref="H71">IF(E71="",0,IFERROR(XLOOKUP(E71,Medals!$B$2:$B$51,Medals!$D$2:$D$51,0),0))</f>
        <v>0</v>
      </c>
      <c r="I71" s="7">
        <f t="array" ref="I71">IF(E71="",0,IFERROR(XLOOKUP(E71,Medals!$B$2:$B$51,Medals!$E$2:$E$51,0),0))</f>
        <v>0</v>
      </c>
      <c r="J71" s="7">
        <f t="array" ref="J71">IF(E71="",0,IFERROR(XLOOKUP(E71,Medals!$B$2:$B$51,Medals!$F$2:$F$51,0),0))</f>
        <v>0</v>
      </c>
      <c r="K71" s="7">
        <f>H71*GoldPoints*G71</f>
        <v>0</v>
      </c>
      <c r="L71" s="7">
        <f>I71*SilverPoints*G71</f>
        <v>0</v>
      </c>
      <c r="M71" s="7">
        <f>J71*BronzePoints*G71</f>
        <v>0</v>
      </c>
      <c r="N71" s="7">
        <f t="shared" si="1"/>
        <v>0</v>
      </c>
      <c r="O71" s="7" t="b">
        <f t="array" ref="O71">IF(E71="",FALSE,IFERROR(AND(ISNUMBER(MATCH(E71,Countries!$A$2:$A$72,0)),XLOOKUP(E71,Countries!$A$2:$A$72,Countries!$I$2:$I$72,FALSE)),FALSE))</f>
        <v>0</v>
      </c>
      <c r="P71" s="7" t="b">
        <f t="array" ref="P71">IF(E71="",FALSE,IFERROR(XLOOKUP(E71,Countries!$A$2:$A$72,Countries!$G$2:$G$72,FALSE),FALSE))</f>
        <v>0</v>
      </c>
      <c r="Q71" s="7" t="str">
        <f t="shared" si="2"/>
        <v>⚪</v>
      </c>
    </row>
    <row r="72" ht="15.75" customHeight="1">
      <c r="A72" s="7" t="str">
        <f t="array" ref="A72">IFERROR(IF(INDEX(Entries!$C$2:$C$48,9)="","",INDEX(Entries!$Q$2:$Q$48,9)),"")</f>
        <v/>
      </c>
      <c r="B72" s="7" t="str">
        <f t="array" ref="B72">IF(A72="","",IFERROR(INDEX(Entries!$E$2:$E$48,9),""))</f>
        <v/>
      </c>
      <c r="C72" s="7" t="str">
        <f>IF(A72="","","Tier6_Pick1")</f>
        <v/>
      </c>
      <c r="D72" s="7" t="str">
        <f t="shared" ref="D72:D73" si="20">IF(A72="","",6)</f>
        <v/>
      </c>
      <c r="E72" s="7" t="str">
        <f t="array" ref="E72">IF(A72="","",IFERROR(INDEX(Entries!$O$2:$O$48,9),""))</f>
        <v/>
      </c>
      <c r="F72" s="7" t="str">
        <f>IF(E72="","",IFERROR(_xludf.XLOOKUP(E72,Countries!$A$2:$A$72,Countries!$B$2:$B$72,"???"),"???"))</f>
        <v/>
      </c>
      <c r="G72" s="7">
        <f t="array" ref="G72">IF(E72="",0,IFERROR(XLOOKUP(E72,Countries!$A$2:$A$72,Countries!$E$2:$E$72,0),0))</f>
        <v>0</v>
      </c>
      <c r="H72" s="7">
        <f t="array" ref="H72">IF(E72="",0,IFERROR(XLOOKUP(E72,Medals!$B$2:$B$51,Medals!$D$2:$D$51,0),0))</f>
        <v>0</v>
      </c>
      <c r="I72" s="7">
        <f t="array" ref="I72">IF(E72="",0,IFERROR(XLOOKUP(E72,Medals!$B$2:$B$51,Medals!$E$2:$E$51,0),0))</f>
        <v>0</v>
      </c>
      <c r="J72" s="7">
        <f t="array" ref="J72">IF(E72="",0,IFERROR(XLOOKUP(E72,Medals!$B$2:$B$51,Medals!$F$2:$F$51,0),0))</f>
        <v>0</v>
      </c>
      <c r="K72" s="7">
        <f>H72*GoldPoints*G72</f>
        <v>0</v>
      </c>
      <c r="L72" s="7">
        <f>I72*SilverPoints*G72</f>
        <v>0</v>
      </c>
      <c r="M72" s="7">
        <f>J72*BronzePoints*G72</f>
        <v>0</v>
      </c>
      <c r="N72" s="7">
        <f t="shared" si="1"/>
        <v>0</v>
      </c>
      <c r="O72" s="7" t="b">
        <f t="array" ref="O72">IF(E72="",FALSE,IFERROR(AND(ISNUMBER(MATCH(E72,Countries!$A$2:$A$72,0)),XLOOKUP(E72,Countries!$A$2:$A$72,Countries!$I$2:$I$72,FALSE)),FALSE))</f>
        <v>0</v>
      </c>
      <c r="P72" s="7" t="b">
        <f t="array" ref="P72">IF(E72="",FALSE,IFERROR(XLOOKUP(E72,Countries!$A$2:$A$72,Countries!$G$2:$G$72,FALSE),FALSE))</f>
        <v>0</v>
      </c>
      <c r="Q72" s="7" t="str">
        <f t="shared" si="2"/>
        <v>⚪</v>
      </c>
    </row>
    <row r="73" ht="15.75" customHeight="1">
      <c r="A73" s="7" t="str">
        <f t="array" ref="A73">IFERROR(IF(INDEX(Entries!$C$2:$C$48,9)="","",INDEX(Entries!$Q$2:$Q$48,9)),"")</f>
        <v/>
      </c>
      <c r="B73" s="7" t="str">
        <f t="array" ref="B73">IF(A73="","",IFERROR(INDEX(Entries!$E$2:$E$48,9),""))</f>
        <v/>
      </c>
      <c r="C73" s="7" t="str">
        <f>IF(A73="","","Tier6_Pick2")</f>
        <v/>
      </c>
      <c r="D73" s="7" t="str">
        <f t="shared" si="20"/>
        <v/>
      </c>
      <c r="E73" s="7" t="str">
        <f t="array" ref="E73">IF(A73="","",IFERROR(INDEX(Entries!$P$2:$P$48,9),""))</f>
        <v/>
      </c>
      <c r="F73" s="7" t="str">
        <f>IF(E73="","",IFERROR(_xludf.XLOOKUP(E73,Countries!$A$2:$A$72,Countries!$B$2:$B$72,"???"),"???"))</f>
        <v/>
      </c>
      <c r="G73" s="7">
        <f t="array" ref="G73">IF(E73="",0,IFERROR(XLOOKUP(E73,Countries!$A$2:$A$72,Countries!$E$2:$E$72,0),0))</f>
        <v>0</v>
      </c>
      <c r="H73" s="7">
        <f t="array" ref="H73">IF(E73="",0,IFERROR(XLOOKUP(E73,Medals!$B$2:$B$51,Medals!$D$2:$D$51,0),0))</f>
        <v>0</v>
      </c>
      <c r="I73" s="7">
        <f t="array" ref="I73">IF(E73="",0,IFERROR(XLOOKUP(E73,Medals!$B$2:$B$51,Medals!$E$2:$E$51,0),0))</f>
        <v>0</v>
      </c>
      <c r="J73" s="7">
        <f t="array" ref="J73">IF(E73="",0,IFERROR(XLOOKUP(E73,Medals!$B$2:$B$51,Medals!$F$2:$F$51,0),0))</f>
        <v>0</v>
      </c>
      <c r="K73" s="7">
        <f>H73*GoldPoints*G73</f>
        <v>0</v>
      </c>
      <c r="L73" s="7">
        <f>I73*SilverPoints*G73</f>
        <v>0</v>
      </c>
      <c r="M73" s="7">
        <f>J73*BronzePoints*G73</f>
        <v>0</v>
      </c>
      <c r="N73" s="7">
        <f t="shared" si="1"/>
        <v>0</v>
      </c>
      <c r="O73" s="7" t="b">
        <f t="array" ref="O73">IF(E73="",FALSE,IFERROR(AND(ISNUMBER(MATCH(E73,Countries!$A$2:$A$72,0)),XLOOKUP(E73,Countries!$A$2:$A$72,Countries!$I$2:$I$72,FALSE)),FALSE))</f>
        <v>0</v>
      </c>
      <c r="P73" s="7" t="b">
        <f t="array" ref="P73">IF(E73="",FALSE,IFERROR(XLOOKUP(E73,Countries!$A$2:$A$72,Countries!$G$2:$G$72,FALSE),FALSE))</f>
        <v>0</v>
      </c>
      <c r="Q73" s="7" t="str">
        <f t="shared" si="2"/>
        <v>⚪</v>
      </c>
    </row>
    <row r="74" ht="15.75" customHeight="1">
      <c r="A74" s="7" t="str">
        <f t="array" ref="A74">IFERROR(IF(INDEX(Entries!$C$2:$C$48,10)="","",INDEX(Entries!$Q$2:$Q$48,10)),"")</f>
        <v/>
      </c>
      <c r="B74" s="7" t="str">
        <f t="array" ref="B74">IF(A74="","",IFERROR(INDEX(Entries!$E$2:$E$48,10),""))</f>
        <v/>
      </c>
      <c r="C74" s="7" t="str">
        <f>IF(A74="","","Tier1_Pick1")</f>
        <v/>
      </c>
      <c r="D74" s="7" t="str">
        <f>IF(A74="","",1)</f>
        <v/>
      </c>
      <c r="E74" s="7" t="str">
        <f t="array" ref="E74">IF(A74="","",IFERROR(INDEX(Entries!$F$2:$F$48,10),""))</f>
        <v/>
      </c>
      <c r="F74" s="7" t="str">
        <f>IF(E74="","",IFERROR(_xludf.XLOOKUP(E74,Countries!$A$2:$A$72,Countries!$B$2:$B$72,"???"),"???"))</f>
        <v/>
      </c>
      <c r="G74" s="7">
        <f t="array" ref="G74">IF(E74="",0,IFERROR(XLOOKUP(E74,Countries!$A$2:$A$72,Countries!$E$2:$E$72,0),0))</f>
        <v>0</v>
      </c>
      <c r="H74" s="7">
        <f t="array" ref="H74">IF(E74="",0,IFERROR(XLOOKUP(E74,Medals!$B$2:$B$51,Medals!$D$2:$D$51,0),0))</f>
        <v>0</v>
      </c>
      <c r="I74" s="7">
        <f t="array" ref="I74">IF(E74="",0,IFERROR(XLOOKUP(E74,Medals!$B$2:$B$51,Medals!$E$2:$E$51,0),0))</f>
        <v>0</v>
      </c>
      <c r="J74" s="7">
        <f t="array" ref="J74">IF(E74="",0,IFERROR(XLOOKUP(E74,Medals!$B$2:$B$51,Medals!$F$2:$F$51,0),0))</f>
        <v>0</v>
      </c>
      <c r="K74" s="7">
        <f>H74*GoldPoints*G74</f>
        <v>0</v>
      </c>
      <c r="L74" s="7">
        <f>I74*SilverPoints*G74</f>
        <v>0</v>
      </c>
      <c r="M74" s="7">
        <f>J74*BronzePoints*G74</f>
        <v>0</v>
      </c>
      <c r="N74" s="7">
        <f t="shared" si="1"/>
        <v>0</v>
      </c>
      <c r="O74" s="7" t="b">
        <f t="array" ref="O74">IF(E74="",FALSE,IFERROR(AND(ISNUMBER(MATCH(E74,Countries!$A$2:$A$72,0)),XLOOKUP(E74,Countries!$A$2:$A$72,Countries!$I$2:$I$72,FALSE)),FALSE))</f>
        <v>0</v>
      </c>
      <c r="P74" s="7" t="b">
        <f t="array" ref="P74">IF(E74="",FALSE,IFERROR(XLOOKUP(E74,Countries!$A$2:$A$72,Countries!$G$2:$G$72,FALSE),FALSE))</f>
        <v>0</v>
      </c>
      <c r="Q74" s="7" t="str">
        <f t="shared" si="2"/>
        <v>⚪</v>
      </c>
    </row>
    <row r="75" ht="15.75" customHeight="1">
      <c r="A75" s="7" t="str">
        <f t="array" ref="A75">IFERROR(IF(INDEX(Entries!$C$2:$C$48,10)="","",INDEX(Entries!$Q$2:$Q$48,10)),"")</f>
        <v/>
      </c>
      <c r="B75" s="7" t="str">
        <f t="array" ref="B75">IF(A75="","",IFERROR(INDEX(Entries!$E$2:$E$48,10),""))</f>
        <v/>
      </c>
      <c r="C75" s="7" t="str">
        <f>IF(A75="","","Tier2_Pick1")</f>
        <v/>
      </c>
      <c r="D75" s="7" t="str">
        <f t="shared" ref="D75:D76" si="21">IF(A75="","",2)</f>
        <v/>
      </c>
      <c r="E75" s="7" t="str">
        <f t="array" ref="E75">IF(A75="","",IFERROR(INDEX(Entries!$M$2:$M$48,10),""))</f>
        <v/>
      </c>
      <c r="F75" s="7" t="str">
        <f>IF(E75="","",IFERROR(_xludf.XLOOKUP(E75,Countries!$A$2:$A$72,Countries!$B$2:$B$72,"???"),"???"))</f>
        <v/>
      </c>
      <c r="G75" s="7">
        <f t="array" ref="G75">IF(E75="",0,IFERROR(XLOOKUP(E75,Countries!$A$2:$A$72,Countries!$E$2:$E$72,0),0))</f>
        <v>0</v>
      </c>
      <c r="H75" s="7">
        <f t="array" ref="H75">IF(E75="",0,IFERROR(XLOOKUP(E75,Medals!$B$2:$B$51,Medals!$D$2:$D$51,0),0))</f>
        <v>0</v>
      </c>
      <c r="I75" s="7">
        <f t="array" ref="I75">IF(E75="",0,IFERROR(XLOOKUP(E75,Medals!$B$2:$B$51,Medals!$E$2:$E$51,0),0))</f>
        <v>0</v>
      </c>
      <c r="J75" s="7">
        <f t="array" ref="J75">IF(E75="",0,IFERROR(XLOOKUP(E75,Medals!$B$2:$B$51,Medals!$F$2:$F$51,0),0))</f>
        <v>0</v>
      </c>
      <c r="K75" s="7">
        <f>H75*GoldPoints*G75</f>
        <v>0</v>
      </c>
      <c r="L75" s="7">
        <f>I75*SilverPoints*G75</f>
        <v>0</v>
      </c>
      <c r="M75" s="7">
        <f>J75*BronzePoints*G75</f>
        <v>0</v>
      </c>
      <c r="N75" s="7">
        <f t="shared" si="1"/>
        <v>0</v>
      </c>
      <c r="O75" s="7" t="b">
        <f t="array" ref="O75">IF(E75="",FALSE,IFERROR(AND(ISNUMBER(MATCH(E75,Countries!$A$2:$A$72,0)),XLOOKUP(E75,Countries!$A$2:$A$72,Countries!$I$2:$I$72,FALSE)),FALSE))</f>
        <v>0</v>
      </c>
      <c r="P75" s="7" t="b">
        <f t="array" ref="P75">IF(E75="",FALSE,IFERROR(XLOOKUP(E75,Countries!$A$2:$A$72,Countries!$G$2:$G$72,FALSE),FALSE))</f>
        <v>0</v>
      </c>
      <c r="Q75" s="7" t="str">
        <f t="shared" si="2"/>
        <v>⚪</v>
      </c>
    </row>
    <row r="76" ht="15.75" customHeight="1">
      <c r="A76" s="7" t="str">
        <f t="array" ref="A76">IFERROR(IF(INDEX(Entries!$C$2:$C$48,10)="","",INDEX(Entries!$Q$2:$Q$48,10)),"")</f>
        <v/>
      </c>
      <c r="B76" s="7" t="str">
        <f t="array" ref="B76">IF(A76="","",IFERROR(INDEX(Entries!$E$2:$E$48,10),""))</f>
        <v/>
      </c>
      <c r="C76" s="7" t="str">
        <f>IF(A76="","","Tier2_Pick2")</f>
        <v/>
      </c>
      <c r="D76" s="7" t="str">
        <f t="shared" si="21"/>
        <v/>
      </c>
      <c r="E76" s="7" t="str">
        <f t="array" ref="E76">IF(A76="","",IFERROR(INDEX(Entries!$N$2:$N$48,10),""))</f>
        <v/>
      </c>
      <c r="F76" s="7" t="str">
        <f>IF(E76="","",IFERROR(_xludf.XLOOKUP(E76,Countries!$A$2:$A$72,Countries!$B$2:$B$72,"???"),"???"))</f>
        <v/>
      </c>
      <c r="G76" s="7">
        <f t="array" ref="G76">IF(E76="",0,IFERROR(XLOOKUP(E76,Countries!$A$2:$A$72,Countries!$E$2:$E$72,0),0))</f>
        <v>0</v>
      </c>
      <c r="H76" s="7">
        <f t="array" ref="H76">IF(E76="",0,IFERROR(XLOOKUP(E76,Medals!$B$2:$B$51,Medals!$D$2:$D$51,0),0))</f>
        <v>0</v>
      </c>
      <c r="I76" s="7">
        <f t="array" ref="I76">IF(E76="",0,IFERROR(XLOOKUP(E76,Medals!$B$2:$B$51,Medals!$E$2:$E$51,0),0))</f>
        <v>0</v>
      </c>
      <c r="J76" s="7">
        <f t="array" ref="J76">IF(E76="",0,IFERROR(XLOOKUP(E76,Medals!$B$2:$B$51,Medals!$F$2:$F$51,0),0))</f>
        <v>0</v>
      </c>
      <c r="K76" s="7">
        <f>H76*GoldPoints*G76</f>
        <v>0</v>
      </c>
      <c r="L76" s="7">
        <f>I76*SilverPoints*G76</f>
        <v>0</v>
      </c>
      <c r="M76" s="7">
        <f>J76*BronzePoints*G76</f>
        <v>0</v>
      </c>
      <c r="N76" s="7">
        <f t="shared" si="1"/>
        <v>0</v>
      </c>
      <c r="O76" s="7" t="b">
        <f t="array" ref="O76">IF(E76="",FALSE,IFERROR(AND(ISNUMBER(MATCH(E76,Countries!$A$2:$A$72,0)),XLOOKUP(E76,Countries!$A$2:$A$72,Countries!$I$2:$I$72,FALSE)),FALSE))</f>
        <v>0</v>
      </c>
      <c r="P76" s="7" t="b">
        <f t="array" ref="P76">IF(E76="",FALSE,IFERROR(XLOOKUP(E76,Countries!$A$2:$A$72,Countries!$G$2:$G$72,FALSE),FALSE))</f>
        <v>0</v>
      </c>
      <c r="Q76" s="7" t="str">
        <f t="shared" si="2"/>
        <v>⚪</v>
      </c>
    </row>
    <row r="77" ht="15.75" customHeight="1">
      <c r="A77" s="7" t="str">
        <f t="array" ref="A77">IFERROR(IF(INDEX(Entries!$C$2:$C$48,10)="","",INDEX(Entries!$Q$2:$Q$48,10)),"")</f>
        <v/>
      </c>
      <c r="B77" s="7" t="str">
        <f t="array" ref="B77">IF(A77="","",IFERROR(INDEX(Entries!$E$2:$E$48,10),""))</f>
        <v/>
      </c>
      <c r="C77" s="7" t="str">
        <f>IF(A77="","","Tier3_Pick1")</f>
        <v/>
      </c>
      <c r="D77" s="7" t="str">
        <f>IF(A77="","",3)</f>
        <v/>
      </c>
      <c r="E77" s="7" t="str">
        <f t="array" ref="E77">IF(A77="","",IFERROR(INDEX(Entries!$H$2:$H$48,10),""))</f>
        <v/>
      </c>
      <c r="F77" s="7" t="str">
        <f>IF(E77="","",IFERROR(_xludf.XLOOKUP(E77,Countries!$A$2:$A$72,Countries!$B$2:$B$72,"???"),"???"))</f>
        <v/>
      </c>
      <c r="G77" s="7">
        <f t="array" ref="G77">IF(E77="",0,IFERROR(XLOOKUP(E77,Countries!$A$2:$A$72,Countries!$E$2:$E$72,0),0))</f>
        <v>0</v>
      </c>
      <c r="H77" s="7">
        <f t="array" ref="H77">IF(E77="",0,IFERROR(XLOOKUP(E77,Medals!$B$2:$B$51,Medals!$D$2:$D$51,0),0))</f>
        <v>0</v>
      </c>
      <c r="I77" s="7">
        <f t="array" ref="I77">IF(E77="",0,IFERROR(XLOOKUP(E77,Medals!$B$2:$B$51,Medals!$E$2:$E$51,0),0))</f>
        <v>0</v>
      </c>
      <c r="J77" s="7">
        <f t="array" ref="J77">IF(E77="",0,IFERROR(XLOOKUP(E77,Medals!$B$2:$B$51,Medals!$F$2:$F$51,0),0))</f>
        <v>0</v>
      </c>
      <c r="K77" s="7">
        <f>H77*GoldPoints*G77</f>
        <v>0</v>
      </c>
      <c r="L77" s="7">
        <f>I77*SilverPoints*G77</f>
        <v>0</v>
      </c>
      <c r="M77" s="7">
        <f>J77*BronzePoints*G77</f>
        <v>0</v>
      </c>
      <c r="N77" s="7">
        <f t="shared" si="1"/>
        <v>0</v>
      </c>
      <c r="O77" s="7" t="b">
        <f t="array" ref="O77">IF(E77="",FALSE,IFERROR(AND(ISNUMBER(MATCH(E77,Countries!$A$2:$A$72,0)),XLOOKUP(E77,Countries!$A$2:$A$72,Countries!$I$2:$I$72,FALSE)),FALSE))</f>
        <v>0</v>
      </c>
      <c r="P77" s="7" t="b">
        <f t="array" ref="P77">IF(E77="",FALSE,IFERROR(XLOOKUP(E77,Countries!$A$2:$A$72,Countries!$G$2:$G$72,FALSE),FALSE))</f>
        <v>0</v>
      </c>
      <c r="Q77" s="7" t="str">
        <f t="shared" si="2"/>
        <v>⚪</v>
      </c>
    </row>
    <row r="78" ht="15.75" customHeight="1">
      <c r="A78" s="7" t="str">
        <f t="array" ref="A78">IFERROR(IF(INDEX(Entries!$C$2:$C$48,10)="","",INDEX(Entries!$Q$2:$Q$48,10)),"")</f>
        <v/>
      </c>
      <c r="B78" s="7" t="str">
        <f t="array" ref="B78">IF(A78="","",IFERROR(INDEX(Entries!$E$2:$E$48,10),""))</f>
        <v/>
      </c>
      <c r="C78" s="7" t="str">
        <f>IF(A78="","","Tier4_Pick1")</f>
        <v/>
      </c>
      <c r="D78" s="7" t="str">
        <f>IF(A78="","",4)</f>
        <v/>
      </c>
      <c r="E78" s="7" t="str">
        <f t="array" ref="E78">IF(A78="","",IFERROR(INDEX(Entries!$I$2:$I$48,10),""))</f>
        <v/>
      </c>
      <c r="F78" s="7" t="str">
        <f>IF(E78="","",IFERROR(_xludf.XLOOKUP(E78,Countries!$A$2:$A$72,Countries!$B$2:$B$72,"???"),"???"))</f>
        <v/>
      </c>
      <c r="G78" s="7">
        <f t="array" ref="G78">IF(E78="",0,IFERROR(XLOOKUP(E78,Countries!$A$2:$A$72,Countries!$E$2:$E$72,0),0))</f>
        <v>0</v>
      </c>
      <c r="H78" s="7">
        <f t="array" ref="H78">IF(E78="",0,IFERROR(XLOOKUP(E78,Medals!$B$2:$B$51,Medals!$D$2:$D$51,0),0))</f>
        <v>0</v>
      </c>
      <c r="I78" s="7">
        <f t="array" ref="I78">IF(E78="",0,IFERROR(XLOOKUP(E78,Medals!$B$2:$B$51,Medals!$E$2:$E$51,0),0))</f>
        <v>0</v>
      </c>
      <c r="J78" s="7">
        <f t="array" ref="J78">IF(E78="",0,IFERROR(XLOOKUP(E78,Medals!$B$2:$B$51,Medals!$F$2:$F$51,0),0))</f>
        <v>0</v>
      </c>
      <c r="K78" s="7">
        <f>H78*GoldPoints*G78</f>
        <v>0</v>
      </c>
      <c r="L78" s="7">
        <f>I78*SilverPoints*G78</f>
        <v>0</v>
      </c>
      <c r="M78" s="7">
        <f>J78*BronzePoints*G78</f>
        <v>0</v>
      </c>
      <c r="N78" s="7">
        <f t="shared" si="1"/>
        <v>0</v>
      </c>
      <c r="O78" s="7" t="b">
        <f t="array" ref="O78">IF(E78="",FALSE,IFERROR(AND(ISNUMBER(MATCH(E78,Countries!$A$2:$A$72,0)),XLOOKUP(E78,Countries!$A$2:$A$72,Countries!$I$2:$I$72,FALSE)),FALSE))</f>
        <v>0</v>
      </c>
      <c r="P78" s="7" t="b">
        <f t="array" ref="P78">IF(E78="",FALSE,IFERROR(XLOOKUP(E78,Countries!$A$2:$A$72,Countries!$G$2:$G$72,FALSE),FALSE))</f>
        <v>0</v>
      </c>
      <c r="Q78" s="7" t="str">
        <f t="shared" si="2"/>
        <v>⚪</v>
      </c>
    </row>
    <row r="79" ht="15.75" customHeight="1">
      <c r="A79" s="7" t="str">
        <f t="array" ref="A79">IFERROR(IF(INDEX(Entries!$C$2:$C$48,10)="","",INDEX(Entries!$Q$2:$Q$48,10)),"")</f>
        <v/>
      </c>
      <c r="B79" s="7" t="str">
        <f t="array" ref="B79">IF(A79="","",IFERROR(INDEX(Entries!$E$2:$E$48,10),""))</f>
        <v/>
      </c>
      <c r="C79" s="7" t="str">
        <f>IF(A79="","","Tier5_Pick1")</f>
        <v/>
      </c>
      <c r="D79" s="7" t="str">
        <f>IF(A79="","",5)</f>
        <v/>
      </c>
      <c r="E79" s="7" t="str">
        <f t="array" ref="E79">IF(A79="","",IFERROR(INDEX(Entries!$J$2:$J$48,10),""))</f>
        <v/>
      </c>
      <c r="F79" s="7" t="str">
        <f>IF(E79="","",IFERROR(_xludf.XLOOKUP(E79,Countries!$A$2:$A$72,Countries!$B$2:$B$72,"???"),"???"))</f>
        <v/>
      </c>
      <c r="G79" s="7">
        <f t="array" ref="G79">IF(E79="",0,IFERROR(XLOOKUP(E79,Countries!$A$2:$A$72,Countries!$E$2:$E$72,0),0))</f>
        <v>0</v>
      </c>
      <c r="H79" s="7">
        <f t="array" ref="H79">IF(E79="",0,IFERROR(XLOOKUP(E79,Medals!$B$2:$B$51,Medals!$D$2:$D$51,0),0))</f>
        <v>0</v>
      </c>
      <c r="I79" s="7">
        <f t="array" ref="I79">IF(E79="",0,IFERROR(XLOOKUP(E79,Medals!$B$2:$B$51,Medals!$E$2:$E$51,0),0))</f>
        <v>0</v>
      </c>
      <c r="J79" s="7">
        <f t="array" ref="J79">IF(E79="",0,IFERROR(XLOOKUP(E79,Medals!$B$2:$B$51,Medals!$F$2:$F$51,0),0))</f>
        <v>0</v>
      </c>
      <c r="K79" s="7">
        <f>H79*GoldPoints*G79</f>
        <v>0</v>
      </c>
      <c r="L79" s="7">
        <f>I79*SilverPoints*G79</f>
        <v>0</v>
      </c>
      <c r="M79" s="7">
        <f>J79*BronzePoints*G79</f>
        <v>0</v>
      </c>
      <c r="N79" s="7">
        <f t="shared" si="1"/>
        <v>0</v>
      </c>
      <c r="O79" s="7" t="b">
        <f t="array" ref="O79">IF(E79="",FALSE,IFERROR(AND(ISNUMBER(MATCH(E79,Countries!$A$2:$A$72,0)),XLOOKUP(E79,Countries!$A$2:$A$72,Countries!$I$2:$I$72,FALSE)),FALSE))</f>
        <v>0</v>
      </c>
      <c r="P79" s="7" t="b">
        <f t="array" ref="P79">IF(E79="",FALSE,IFERROR(XLOOKUP(E79,Countries!$A$2:$A$72,Countries!$G$2:$G$72,FALSE),FALSE))</f>
        <v>0</v>
      </c>
      <c r="Q79" s="7" t="str">
        <f t="shared" si="2"/>
        <v>⚪</v>
      </c>
    </row>
    <row r="80" ht="15.75" customHeight="1">
      <c r="A80" s="7" t="str">
        <f t="array" ref="A80">IFERROR(IF(INDEX(Entries!$C$2:$C$48,10)="","",INDEX(Entries!$Q$2:$Q$48,10)),"")</f>
        <v/>
      </c>
      <c r="B80" s="7" t="str">
        <f t="array" ref="B80">IF(A80="","",IFERROR(INDEX(Entries!$E$2:$E$48,10),""))</f>
        <v/>
      </c>
      <c r="C80" s="7" t="str">
        <f>IF(A80="","","Tier6_Pick1")</f>
        <v/>
      </c>
      <c r="D80" s="7" t="str">
        <f t="shared" ref="D80:D81" si="22">IF(A80="","",6)</f>
        <v/>
      </c>
      <c r="E80" s="7" t="str">
        <f t="array" ref="E80">IF(A80="","",IFERROR(INDEX(Entries!$O$2:$O$48,10),""))</f>
        <v/>
      </c>
      <c r="F80" s="7" t="str">
        <f>IF(E80="","",IFERROR(_xludf.XLOOKUP(E80,Countries!$A$2:$A$72,Countries!$B$2:$B$72,"???"),"???"))</f>
        <v/>
      </c>
      <c r="G80" s="7">
        <f t="array" ref="G80">IF(E80="",0,IFERROR(XLOOKUP(E80,Countries!$A$2:$A$72,Countries!$E$2:$E$72,0),0))</f>
        <v>0</v>
      </c>
      <c r="H80" s="7">
        <f t="array" ref="H80">IF(E80="",0,IFERROR(XLOOKUP(E80,Medals!$B$2:$B$51,Medals!$D$2:$D$51,0),0))</f>
        <v>0</v>
      </c>
      <c r="I80" s="7">
        <f t="array" ref="I80">IF(E80="",0,IFERROR(XLOOKUP(E80,Medals!$B$2:$B$51,Medals!$E$2:$E$51,0),0))</f>
        <v>0</v>
      </c>
      <c r="J80" s="7">
        <f t="array" ref="J80">IF(E80="",0,IFERROR(XLOOKUP(E80,Medals!$B$2:$B$51,Medals!$F$2:$F$51,0),0))</f>
        <v>0</v>
      </c>
      <c r="K80" s="7">
        <f>H80*GoldPoints*G80</f>
        <v>0</v>
      </c>
      <c r="L80" s="7">
        <f>I80*SilverPoints*G80</f>
        <v>0</v>
      </c>
      <c r="M80" s="7">
        <f>J80*BronzePoints*G80</f>
        <v>0</v>
      </c>
      <c r="N80" s="7">
        <f t="shared" si="1"/>
        <v>0</v>
      </c>
      <c r="O80" s="7" t="b">
        <f t="array" ref="O80">IF(E80="",FALSE,IFERROR(AND(ISNUMBER(MATCH(E80,Countries!$A$2:$A$72,0)),XLOOKUP(E80,Countries!$A$2:$A$72,Countries!$I$2:$I$72,FALSE)),FALSE))</f>
        <v>0</v>
      </c>
      <c r="P80" s="7" t="b">
        <f t="array" ref="P80">IF(E80="",FALSE,IFERROR(XLOOKUP(E80,Countries!$A$2:$A$72,Countries!$G$2:$G$72,FALSE),FALSE))</f>
        <v>0</v>
      </c>
      <c r="Q80" s="7" t="str">
        <f t="shared" si="2"/>
        <v>⚪</v>
      </c>
    </row>
    <row r="81" ht="15.75" customHeight="1">
      <c r="A81" s="7" t="str">
        <f t="array" ref="A81">IFERROR(IF(INDEX(Entries!$C$2:$C$48,10)="","",INDEX(Entries!$Q$2:$Q$48,10)),"")</f>
        <v/>
      </c>
      <c r="B81" s="7" t="str">
        <f t="array" ref="B81">IF(A81="","",IFERROR(INDEX(Entries!$E$2:$E$48,10),""))</f>
        <v/>
      </c>
      <c r="C81" s="7" t="str">
        <f>IF(A81="","","Tier6_Pick2")</f>
        <v/>
      </c>
      <c r="D81" s="7" t="str">
        <f t="shared" si="22"/>
        <v/>
      </c>
      <c r="E81" s="7" t="str">
        <f t="array" ref="E81">IF(A81="","",IFERROR(INDEX(Entries!$P$2:$P$48,10),""))</f>
        <v/>
      </c>
      <c r="F81" s="7" t="str">
        <f>IF(E81="","",IFERROR(_xludf.XLOOKUP(E81,Countries!$A$2:$A$72,Countries!$B$2:$B$72,"???"),"???"))</f>
        <v/>
      </c>
      <c r="G81" s="7">
        <f t="array" ref="G81">IF(E81="",0,IFERROR(XLOOKUP(E81,Countries!$A$2:$A$72,Countries!$E$2:$E$72,0),0))</f>
        <v>0</v>
      </c>
      <c r="H81" s="7">
        <f t="array" ref="H81">IF(E81="",0,IFERROR(XLOOKUP(E81,Medals!$B$2:$B$51,Medals!$D$2:$D$51,0),0))</f>
        <v>0</v>
      </c>
      <c r="I81" s="7">
        <f t="array" ref="I81">IF(E81="",0,IFERROR(XLOOKUP(E81,Medals!$B$2:$B$51,Medals!$E$2:$E$51,0),0))</f>
        <v>0</v>
      </c>
      <c r="J81" s="7">
        <f t="array" ref="J81">IF(E81="",0,IFERROR(XLOOKUP(E81,Medals!$B$2:$B$51,Medals!$F$2:$F$51,0),0))</f>
        <v>0</v>
      </c>
      <c r="K81" s="7">
        <f>H81*GoldPoints*G81</f>
        <v>0</v>
      </c>
      <c r="L81" s="7">
        <f>I81*SilverPoints*G81</f>
        <v>0</v>
      </c>
      <c r="M81" s="7">
        <f>J81*BronzePoints*G81</f>
        <v>0</v>
      </c>
      <c r="N81" s="7">
        <f t="shared" si="1"/>
        <v>0</v>
      </c>
      <c r="O81" s="7" t="b">
        <f t="array" ref="O81">IF(E81="",FALSE,IFERROR(AND(ISNUMBER(MATCH(E81,Countries!$A$2:$A$72,0)),XLOOKUP(E81,Countries!$A$2:$A$72,Countries!$I$2:$I$72,FALSE)),FALSE))</f>
        <v>0</v>
      </c>
      <c r="P81" s="7" t="b">
        <f t="array" ref="P81">IF(E81="",FALSE,IFERROR(XLOOKUP(E81,Countries!$A$2:$A$72,Countries!$G$2:$G$72,FALSE),FALSE))</f>
        <v>0</v>
      </c>
      <c r="Q81" s="7" t="str">
        <f t="shared" si="2"/>
        <v>⚪</v>
      </c>
    </row>
    <row r="82" ht="15.75" customHeight="1">
      <c r="A82" s="7" t="str">
        <f t="array" ref="A82">IFERROR(IF(INDEX(Entries!$C$2:$C$48,11)="","",INDEX(Entries!$Q$2:$Q$48,11)),"")</f>
        <v/>
      </c>
      <c r="B82" s="7" t="str">
        <f t="array" ref="B82">IF(A82="","",IFERROR(INDEX(Entries!$E$2:$E$48,11),""))</f>
        <v/>
      </c>
      <c r="C82" s="7" t="str">
        <f>IF(A82="","","Tier1_Pick1")</f>
        <v/>
      </c>
      <c r="D82" s="7" t="str">
        <f>IF(A82="","",1)</f>
        <v/>
      </c>
      <c r="E82" s="7" t="str">
        <f t="array" ref="E82">IF(A82="","",IFERROR(INDEX(Entries!$F$2:$F$48,11),""))</f>
        <v/>
      </c>
      <c r="F82" s="7" t="str">
        <f>IF(E82="","",IFERROR(_xludf.XLOOKUP(E82,Countries!$A$2:$A$72,Countries!$B$2:$B$72,"???"),"???"))</f>
        <v/>
      </c>
      <c r="G82" s="7">
        <f t="array" ref="G82">IF(E82="",0,IFERROR(XLOOKUP(E82,Countries!$A$2:$A$72,Countries!$E$2:$E$72,0),0))</f>
        <v>0</v>
      </c>
      <c r="H82" s="7">
        <f t="array" ref="H82">IF(E82="",0,IFERROR(XLOOKUP(E82,Medals!$B$2:$B$51,Medals!$D$2:$D$51,0),0))</f>
        <v>0</v>
      </c>
      <c r="I82" s="7">
        <f t="array" ref="I82">IF(E82="",0,IFERROR(XLOOKUP(E82,Medals!$B$2:$B$51,Medals!$E$2:$E$51,0),0))</f>
        <v>0</v>
      </c>
      <c r="J82" s="7">
        <f t="array" ref="J82">IF(E82="",0,IFERROR(XLOOKUP(E82,Medals!$B$2:$B$51,Medals!$F$2:$F$51,0),0))</f>
        <v>0</v>
      </c>
      <c r="K82" s="7">
        <f>H82*GoldPoints*G82</f>
        <v>0</v>
      </c>
      <c r="L82" s="7">
        <f>I82*SilverPoints*G82</f>
        <v>0</v>
      </c>
      <c r="M82" s="7">
        <f>J82*BronzePoints*G82</f>
        <v>0</v>
      </c>
      <c r="N82" s="7">
        <f t="shared" si="1"/>
        <v>0</v>
      </c>
      <c r="O82" s="7" t="b">
        <f t="array" ref="O82">IF(E82="",FALSE,IFERROR(AND(ISNUMBER(MATCH(E82,Countries!$A$2:$A$72,0)),XLOOKUP(E82,Countries!$A$2:$A$72,Countries!$I$2:$I$72,FALSE)),FALSE))</f>
        <v>0</v>
      </c>
      <c r="P82" s="7" t="b">
        <f t="array" ref="P82">IF(E82="",FALSE,IFERROR(XLOOKUP(E82,Countries!$A$2:$A$72,Countries!$G$2:$G$72,FALSE),FALSE))</f>
        <v>0</v>
      </c>
      <c r="Q82" s="7" t="str">
        <f t="shared" si="2"/>
        <v>⚪</v>
      </c>
    </row>
    <row r="83" ht="15.75" customHeight="1">
      <c r="A83" s="7" t="str">
        <f t="array" ref="A83">IFERROR(IF(INDEX(Entries!$C$2:$C$48,11)="","",INDEX(Entries!$Q$2:$Q$48,11)),"")</f>
        <v/>
      </c>
      <c r="B83" s="7" t="str">
        <f t="array" ref="B83">IF(A83="","",IFERROR(INDEX(Entries!$E$2:$E$48,11),""))</f>
        <v/>
      </c>
      <c r="C83" s="7" t="str">
        <f>IF(A83="","","Tier2_Pick1")</f>
        <v/>
      </c>
      <c r="D83" s="7" t="str">
        <f t="shared" ref="D83:D84" si="23">IF(A83="","",2)</f>
        <v/>
      </c>
      <c r="E83" s="7" t="str">
        <f t="array" ref="E83">IF(A83="","",IFERROR(INDEX(Entries!$M$2:$M$48,11),""))</f>
        <v/>
      </c>
      <c r="F83" s="7" t="str">
        <f>IF(E83="","",IFERROR(_xludf.XLOOKUP(E83,Countries!$A$2:$A$72,Countries!$B$2:$B$72,"???"),"???"))</f>
        <v/>
      </c>
      <c r="G83" s="7">
        <f t="array" ref="G83">IF(E83="",0,IFERROR(XLOOKUP(E83,Countries!$A$2:$A$72,Countries!$E$2:$E$72,0),0))</f>
        <v>0</v>
      </c>
      <c r="H83" s="7">
        <f t="array" ref="H83">IF(E83="",0,IFERROR(XLOOKUP(E83,Medals!$B$2:$B$51,Medals!$D$2:$D$51,0),0))</f>
        <v>0</v>
      </c>
      <c r="I83" s="7">
        <f t="array" ref="I83">IF(E83="",0,IFERROR(XLOOKUP(E83,Medals!$B$2:$B$51,Medals!$E$2:$E$51,0),0))</f>
        <v>0</v>
      </c>
      <c r="J83" s="7">
        <f t="array" ref="J83">IF(E83="",0,IFERROR(XLOOKUP(E83,Medals!$B$2:$B$51,Medals!$F$2:$F$51,0),0))</f>
        <v>0</v>
      </c>
      <c r="K83" s="7">
        <f>H83*GoldPoints*G83</f>
        <v>0</v>
      </c>
      <c r="L83" s="7">
        <f>I83*SilverPoints*G83</f>
        <v>0</v>
      </c>
      <c r="M83" s="7">
        <f>J83*BronzePoints*G83</f>
        <v>0</v>
      </c>
      <c r="N83" s="7">
        <f t="shared" si="1"/>
        <v>0</v>
      </c>
      <c r="O83" s="7" t="b">
        <f t="array" ref="O83">IF(E83="",FALSE,IFERROR(AND(ISNUMBER(MATCH(E83,Countries!$A$2:$A$72,0)),XLOOKUP(E83,Countries!$A$2:$A$72,Countries!$I$2:$I$72,FALSE)),FALSE))</f>
        <v>0</v>
      </c>
      <c r="P83" s="7" t="b">
        <f t="array" ref="P83">IF(E83="",FALSE,IFERROR(XLOOKUP(E83,Countries!$A$2:$A$72,Countries!$G$2:$G$72,FALSE),FALSE))</f>
        <v>0</v>
      </c>
      <c r="Q83" s="7" t="str">
        <f t="shared" si="2"/>
        <v>⚪</v>
      </c>
    </row>
    <row r="84" ht="15.75" customHeight="1">
      <c r="A84" s="7" t="str">
        <f t="array" ref="A84">IFERROR(IF(INDEX(Entries!$C$2:$C$48,11)="","",INDEX(Entries!$Q$2:$Q$48,11)),"")</f>
        <v/>
      </c>
      <c r="B84" s="7" t="str">
        <f t="array" ref="B84">IF(A84="","",IFERROR(INDEX(Entries!$E$2:$E$48,11),""))</f>
        <v/>
      </c>
      <c r="C84" s="7" t="str">
        <f>IF(A84="","","Tier2_Pick2")</f>
        <v/>
      </c>
      <c r="D84" s="7" t="str">
        <f t="shared" si="23"/>
        <v/>
      </c>
      <c r="E84" s="7" t="str">
        <f t="array" ref="E84">IF(A84="","",IFERROR(INDEX(Entries!$N$2:$N$48,11),""))</f>
        <v/>
      </c>
      <c r="F84" s="7" t="str">
        <f>IF(E84="","",IFERROR(_xludf.XLOOKUP(E84,Countries!$A$2:$A$72,Countries!$B$2:$B$72,"???"),"???"))</f>
        <v/>
      </c>
      <c r="G84" s="7">
        <f t="array" ref="G84">IF(E84="",0,IFERROR(XLOOKUP(E84,Countries!$A$2:$A$72,Countries!$E$2:$E$72,0),0))</f>
        <v>0</v>
      </c>
      <c r="H84" s="7">
        <f t="array" ref="H84">IF(E84="",0,IFERROR(XLOOKUP(E84,Medals!$B$2:$B$51,Medals!$D$2:$D$51,0),0))</f>
        <v>0</v>
      </c>
      <c r="I84" s="7">
        <f t="array" ref="I84">IF(E84="",0,IFERROR(XLOOKUP(E84,Medals!$B$2:$B$51,Medals!$E$2:$E$51,0),0))</f>
        <v>0</v>
      </c>
      <c r="J84" s="7">
        <f t="array" ref="J84">IF(E84="",0,IFERROR(XLOOKUP(E84,Medals!$B$2:$B$51,Medals!$F$2:$F$51,0),0))</f>
        <v>0</v>
      </c>
      <c r="K84" s="7">
        <f>H84*GoldPoints*G84</f>
        <v>0</v>
      </c>
      <c r="L84" s="7">
        <f>I84*SilverPoints*G84</f>
        <v>0</v>
      </c>
      <c r="M84" s="7">
        <f>J84*BronzePoints*G84</f>
        <v>0</v>
      </c>
      <c r="N84" s="7">
        <f t="shared" si="1"/>
        <v>0</v>
      </c>
      <c r="O84" s="7" t="b">
        <f t="array" ref="O84">IF(E84="",FALSE,IFERROR(AND(ISNUMBER(MATCH(E84,Countries!$A$2:$A$72,0)),XLOOKUP(E84,Countries!$A$2:$A$72,Countries!$I$2:$I$72,FALSE)),FALSE))</f>
        <v>0</v>
      </c>
      <c r="P84" s="7" t="b">
        <f t="array" ref="P84">IF(E84="",FALSE,IFERROR(XLOOKUP(E84,Countries!$A$2:$A$72,Countries!$G$2:$G$72,FALSE),FALSE))</f>
        <v>0</v>
      </c>
      <c r="Q84" s="7" t="str">
        <f t="shared" si="2"/>
        <v>⚪</v>
      </c>
    </row>
    <row r="85" ht="15.75" customHeight="1">
      <c r="A85" s="7" t="str">
        <f t="array" ref="A85">IFERROR(IF(INDEX(Entries!$C$2:$C$48,11)="","",INDEX(Entries!$Q$2:$Q$48,11)),"")</f>
        <v/>
      </c>
      <c r="B85" s="7" t="str">
        <f t="array" ref="B85">IF(A85="","",IFERROR(INDEX(Entries!$E$2:$E$48,11),""))</f>
        <v/>
      </c>
      <c r="C85" s="7" t="str">
        <f>IF(A85="","","Tier3_Pick1")</f>
        <v/>
      </c>
      <c r="D85" s="7" t="str">
        <f>IF(A85="","",3)</f>
        <v/>
      </c>
      <c r="E85" s="7" t="str">
        <f t="array" ref="E85">IF(A85="","",IFERROR(INDEX(Entries!$H$2:$H$48,11),""))</f>
        <v/>
      </c>
      <c r="F85" s="7" t="str">
        <f>IF(E85="","",IFERROR(_xludf.XLOOKUP(E85,Countries!$A$2:$A$72,Countries!$B$2:$B$72,"???"),"???"))</f>
        <v/>
      </c>
      <c r="G85" s="7">
        <f t="array" ref="G85">IF(E85="",0,IFERROR(XLOOKUP(E85,Countries!$A$2:$A$72,Countries!$E$2:$E$72,0),0))</f>
        <v>0</v>
      </c>
      <c r="H85" s="7">
        <f t="array" ref="H85">IF(E85="",0,IFERROR(XLOOKUP(E85,Medals!$B$2:$B$51,Medals!$D$2:$D$51,0),0))</f>
        <v>0</v>
      </c>
      <c r="I85" s="7">
        <f t="array" ref="I85">IF(E85="",0,IFERROR(XLOOKUP(E85,Medals!$B$2:$B$51,Medals!$E$2:$E$51,0),0))</f>
        <v>0</v>
      </c>
      <c r="J85" s="7">
        <f t="array" ref="J85">IF(E85="",0,IFERROR(XLOOKUP(E85,Medals!$B$2:$B$51,Medals!$F$2:$F$51,0),0))</f>
        <v>0</v>
      </c>
      <c r="K85" s="7">
        <f>H85*GoldPoints*G85</f>
        <v>0</v>
      </c>
      <c r="L85" s="7">
        <f>I85*SilverPoints*G85</f>
        <v>0</v>
      </c>
      <c r="M85" s="7">
        <f>J85*BronzePoints*G85</f>
        <v>0</v>
      </c>
      <c r="N85" s="7">
        <f t="shared" si="1"/>
        <v>0</v>
      </c>
      <c r="O85" s="7" t="b">
        <f t="array" ref="O85">IF(E85="",FALSE,IFERROR(AND(ISNUMBER(MATCH(E85,Countries!$A$2:$A$72,0)),XLOOKUP(E85,Countries!$A$2:$A$72,Countries!$I$2:$I$72,FALSE)),FALSE))</f>
        <v>0</v>
      </c>
      <c r="P85" s="7" t="b">
        <f t="array" ref="P85">IF(E85="",FALSE,IFERROR(XLOOKUP(E85,Countries!$A$2:$A$72,Countries!$G$2:$G$72,FALSE),FALSE))</f>
        <v>0</v>
      </c>
      <c r="Q85" s="7" t="str">
        <f t="shared" si="2"/>
        <v>⚪</v>
      </c>
    </row>
    <row r="86" ht="15.75" customHeight="1">
      <c r="A86" s="7" t="str">
        <f t="array" ref="A86">IFERROR(IF(INDEX(Entries!$C$2:$C$48,11)="","",INDEX(Entries!$Q$2:$Q$48,11)),"")</f>
        <v/>
      </c>
      <c r="B86" s="7" t="str">
        <f t="array" ref="B86">IF(A86="","",IFERROR(INDEX(Entries!$E$2:$E$48,11),""))</f>
        <v/>
      </c>
      <c r="C86" s="7" t="str">
        <f>IF(A86="","","Tier4_Pick1")</f>
        <v/>
      </c>
      <c r="D86" s="7" t="str">
        <f>IF(A86="","",4)</f>
        <v/>
      </c>
      <c r="E86" s="7" t="str">
        <f t="array" ref="E86">IF(A86="","",IFERROR(INDEX(Entries!$I$2:$I$48,11),""))</f>
        <v/>
      </c>
      <c r="F86" s="7" t="str">
        <f>IF(E86="","",IFERROR(_xludf.XLOOKUP(E86,Countries!$A$2:$A$72,Countries!$B$2:$B$72,"???"),"???"))</f>
        <v/>
      </c>
      <c r="G86" s="7">
        <f t="array" ref="G86">IF(E86="",0,IFERROR(XLOOKUP(E86,Countries!$A$2:$A$72,Countries!$E$2:$E$72,0),0))</f>
        <v>0</v>
      </c>
      <c r="H86" s="7">
        <f t="array" ref="H86">IF(E86="",0,IFERROR(XLOOKUP(E86,Medals!$B$2:$B$51,Medals!$D$2:$D$51,0),0))</f>
        <v>0</v>
      </c>
      <c r="I86" s="7">
        <f t="array" ref="I86">IF(E86="",0,IFERROR(XLOOKUP(E86,Medals!$B$2:$B$51,Medals!$E$2:$E$51,0),0))</f>
        <v>0</v>
      </c>
      <c r="J86" s="7">
        <f t="array" ref="J86">IF(E86="",0,IFERROR(XLOOKUP(E86,Medals!$B$2:$B$51,Medals!$F$2:$F$51,0),0))</f>
        <v>0</v>
      </c>
      <c r="K86" s="7">
        <f>H86*GoldPoints*G86</f>
        <v>0</v>
      </c>
      <c r="L86" s="7">
        <f>I86*SilverPoints*G86</f>
        <v>0</v>
      </c>
      <c r="M86" s="7">
        <f>J86*BronzePoints*G86</f>
        <v>0</v>
      </c>
      <c r="N86" s="7">
        <f t="shared" si="1"/>
        <v>0</v>
      </c>
      <c r="O86" s="7" t="b">
        <f t="array" ref="O86">IF(E86="",FALSE,IFERROR(AND(ISNUMBER(MATCH(E86,Countries!$A$2:$A$72,0)),XLOOKUP(E86,Countries!$A$2:$A$72,Countries!$I$2:$I$72,FALSE)),FALSE))</f>
        <v>0</v>
      </c>
      <c r="P86" s="7" t="b">
        <f t="array" ref="P86">IF(E86="",FALSE,IFERROR(XLOOKUP(E86,Countries!$A$2:$A$72,Countries!$G$2:$G$72,FALSE),FALSE))</f>
        <v>0</v>
      </c>
      <c r="Q86" s="7" t="str">
        <f t="shared" si="2"/>
        <v>⚪</v>
      </c>
    </row>
    <row r="87" ht="15.75" customHeight="1">
      <c r="A87" s="7" t="str">
        <f t="array" ref="A87">IFERROR(IF(INDEX(Entries!$C$2:$C$48,11)="","",INDEX(Entries!$Q$2:$Q$48,11)),"")</f>
        <v/>
      </c>
      <c r="B87" s="7" t="str">
        <f t="array" ref="B87">IF(A87="","",IFERROR(INDEX(Entries!$E$2:$E$48,11),""))</f>
        <v/>
      </c>
      <c r="C87" s="7" t="str">
        <f>IF(A87="","","Tier5_Pick1")</f>
        <v/>
      </c>
      <c r="D87" s="7" t="str">
        <f>IF(A87="","",5)</f>
        <v/>
      </c>
      <c r="E87" s="7" t="str">
        <f t="array" ref="E87">IF(A87="","",IFERROR(INDEX(Entries!$J$2:$J$48,11),""))</f>
        <v/>
      </c>
      <c r="F87" s="7" t="str">
        <f>IF(E87="","",IFERROR(_xludf.XLOOKUP(E87,Countries!$A$2:$A$72,Countries!$B$2:$B$72,"???"),"???"))</f>
        <v/>
      </c>
      <c r="G87" s="7">
        <f t="array" ref="G87">IF(E87="",0,IFERROR(XLOOKUP(E87,Countries!$A$2:$A$72,Countries!$E$2:$E$72,0),0))</f>
        <v>0</v>
      </c>
      <c r="H87" s="7">
        <f t="array" ref="H87">IF(E87="",0,IFERROR(XLOOKUP(E87,Medals!$B$2:$B$51,Medals!$D$2:$D$51,0),0))</f>
        <v>0</v>
      </c>
      <c r="I87" s="7">
        <f t="array" ref="I87">IF(E87="",0,IFERROR(XLOOKUP(E87,Medals!$B$2:$B$51,Medals!$E$2:$E$51,0),0))</f>
        <v>0</v>
      </c>
      <c r="J87" s="7">
        <f t="array" ref="J87">IF(E87="",0,IFERROR(XLOOKUP(E87,Medals!$B$2:$B$51,Medals!$F$2:$F$51,0),0))</f>
        <v>0</v>
      </c>
      <c r="K87" s="7">
        <f>H87*GoldPoints*G87</f>
        <v>0</v>
      </c>
      <c r="L87" s="7">
        <f>I87*SilverPoints*G87</f>
        <v>0</v>
      </c>
      <c r="M87" s="7">
        <f>J87*BronzePoints*G87</f>
        <v>0</v>
      </c>
      <c r="N87" s="7">
        <f t="shared" si="1"/>
        <v>0</v>
      </c>
      <c r="O87" s="7" t="b">
        <f t="array" ref="O87">IF(E87="",FALSE,IFERROR(AND(ISNUMBER(MATCH(E87,Countries!$A$2:$A$72,0)),XLOOKUP(E87,Countries!$A$2:$A$72,Countries!$I$2:$I$72,FALSE)),FALSE))</f>
        <v>0</v>
      </c>
      <c r="P87" s="7" t="b">
        <f t="array" ref="P87">IF(E87="",FALSE,IFERROR(XLOOKUP(E87,Countries!$A$2:$A$72,Countries!$G$2:$G$72,FALSE),FALSE))</f>
        <v>0</v>
      </c>
      <c r="Q87" s="7" t="str">
        <f t="shared" si="2"/>
        <v>⚪</v>
      </c>
    </row>
    <row r="88" ht="15.75" customHeight="1">
      <c r="A88" s="7" t="str">
        <f t="array" ref="A88">IFERROR(IF(INDEX(Entries!$C$2:$C$48,11)="","",INDEX(Entries!$Q$2:$Q$48,11)),"")</f>
        <v/>
      </c>
      <c r="B88" s="7" t="str">
        <f t="array" ref="B88">IF(A88="","",IFERROR(INDEX(Entries!$E$2:$E$48,11),""))</f>
        <v/>
      </c>
      <c r="C88" s="7" t="str">
        <f>IF(A88="","","Tier6_Pick1")</f>
        <v/>
      </c>
      <c r="D88" s="7" t="str">
        <f t="shared" ref="D88:D89" si="24">IF(A88="","",6)</f>
        <v/>
      </c>
      <c r="E88" s="7" t="str">
        <f t="array" ref="E88">IF(A88="","",IFERROR(INDEX(Entries!$O$2:$O$48,11),""))</f>
        <v/>
      </c>
      <c r="F88" s="7" t="str">
        <f>IF(E88="","",IFERROR(_xludf.XLOOKUP(E88,Countries!$A$2:$A$72,Countries!$B$2:$B$72,"???"),"???"))</f>
        <v/>
      </c>
      <c r="G88" s="7">
        <f t="array" ref="G88">IF(E88="",0,IFERROR(XLOOKUP(E88,Countries!$A$2:$A$72,Countries!$E$2:$E$72,0),0))</f>
        <v>0</v>
      </c>
      <c r="H88" s="7">
        <f t="array" ref="H88">IF(E88="",0,IFERROR(XLOOKUP(E88,Medals!$B$2:$B$51,Medals!$D$2:$D$51,0),0))</f>
        <v>0</v>
      </c>
      <c r="I88" s="7">
        <f t="array" ref="I88">IF(E88="",0,IFERROR(XLOOKUP(E88,Medals!$B$2:$B$51,Medals!$E$2:$E$51,0),0))</f>
        <v>0</v>
      </c>
      <c r="J88" s="7">
        <f t="array" ref="J88">IF(E88="",0,IFERROR(XLOOKUP(E88,Medals!$B$2:$B$51,Medals!$F$2:$F$51,0),0))</f>
        <v>0</v>
      </c>
      <c r="K88" s="7">
        <f>H88*GoldPoints*G88</f>
        <v>0</v>
      </c>
      <c r="L88" s="7">
        <f>I88*SilverPoints*G88</f>
        <v>0</v>
      </c>
      <c r="M88" s="7">
        <f>J88*BronzePoints*G88</f>
        <v>0</v>
      </c>
      <c r="N88" s="7">
        <f t="shared" si="1"/>
        <v>0</v>
      </c>
      <c r="O88" s="7" t="b">
        <f t="array" ref="O88">IF(E88="",FALSE,IFERROR(AND(ISNUMBER(MATCH(E88,Countries!$A$2:$A$72,0)),XLOOKUP(E88,Countries!$A$2:$A$72,Countries!$I$2:$I$72,FALSE)),FALSE))</f>
        <v>0</v>
      </c>
      <c r="P88" s="7" t="b">
        <f t="array" ref="P88">IF(E88="",FALSE,IFERROR(XLOOKUP(E88,Countries!$A$2:$A$72,Countries!$G$2:$G$72,FALSE),FALSE))</f>
        <v>0</v>
      </c>
      <c r="Q88" s="7" t="str">
        <f t="shared" si="2"/>
        <v>⚪</v>
      </c>
    </row>
    <row r="89" ht="15.75" customHeight="1">
      <c r="A89" s="7" t="str">
        <f t="array" ref="A89">IFERROR(IF(INDEX(Entries!$C$2:$C$48,11)="","",INDEX(Entries!$Q$2:$Q$48,11)),"")</f>
        <v/>
      </c>
      <c r="B89" s="7" t="str">
        <f t="array" ref="B89">IF(A89="","",IFERROR(INDEX(Entries!$E$2:$E$48,11),""))</f>
        <v/>
      </c>
      <c r="C89" s="7" t="str">
        <f>IF(A89="","","Tier6_Pick2")</f>
        <v/>
      </c>
      <c r="D89" s="7" t="str">
        <f t="shared" si="24"/>
        <v/>
      </c>
      <c r="E89" s="7" t="str">
        <f t="array" ref="E89">IF(A89="","",IFERROR(INDEX(Entries!$P$2:$P$48,11),""))</f>
        <v/>
      </c>
      <c r="F89" s="7" t="str">
        <f>IF(E89="","",IFERROR(_xludf.XLOOKUP(E89,Countries!$A$2:$A$72,Countries!$B$2:$B$72,"???"),"???"))</f>
        <v/>
      </c>
      <c r="G89" s="7">
        <f t="array" ref="G89">IF(E89="",0,IFERROR(XLOOKUP(E89,Countries!$A$2:$A$72,Countries!$E$2:$E$72,0),0))</f>
        <v>0</v>
      </c>
      <c r="H89" s="7">
        <f t="array" ref="H89">IF(E89="",0,IFERROR(XLOOKUP(E89,Medals!$B$2:$B$51,Medals!$D$2:$D$51,0),0))</f>
        <v>0</v>
      </c>
      <c r="I89" s="7">
        <f t="array" ref="I89">IF(E89="",0,IFERROR(XLOOKUP(E89,Medals!$B$2:$B$51,Medals!$E$2:$E$51,0),0))</f>
        <v>0</v>
      </c>
      <c r="J89" s="7">
        <f t="array" ref="J89">IF(E89="",0,IFERROR(XLOOKUP(E89,Medals!$B$2:$B$51,Medals!$F$2:$F$51,0),0))</f>
        <v>0</v>
      </c>
      <c r="K89" s="7">
        <f>H89*GoldPoints*G89</f>
        <v>0</v>
      </c>
      <c r="L89" s="7">
        <f>I89*SilverPoints*G89</f>
        <v>0</v>
      </c>
      <c r="M89" s="7">
        <f>J89*BronzePoints*G89</f>
        <v>0</v>
      </c>
      <c r="N89" s="7">
        <f t="shared" si="1"/>
        <v>0</v>
      </c>
      <c r="O89" s="7" t="b">
        <f t="array" ref="O89">IF(E89="",FALSE,IFERROR(AND(ISNUMBER(MATCH(E89,Countries!$A$2:$A$72,0)),XLOOKUP(E89,Countries!$A$2:$A$72,Countries!$I$2:$I$72,FALSE)),FALSE))</f>
        <v>0</v>
      </c>
      <c r="P89" s="7" t="b">
        <f t="array" ref="P89">IF(E89="",FALSE,IFERROR(XLOOKUP(E89,Countries!$A$2:$A$72,Countries!$G$2:$G$72,FALSE),FALSE))</f>
        <v>0</v>
      </c>
      <c r="Q89" s="7" t="str">
        <f t="shared" si="2"/>
        <v>⚪</v>
      </c>
    </row>
    <row r="90" ht="15.75" customHeight="1">
      <c r="A90" s="7" t="str">
        <f t="array" ref="A90">IFERROR(IF(INDEX(Entries!$C$2:$C$48,12)="","",INDEX(Entries!$Q$2:$Q$48,12)),"")</f>
        <v/>
      </c>
      <c r="B90" s="7" t="str">
        <f t="array" ref="B90">IF(A90="","",IFERROR(INDEX(Entries!$E$2:$E$48,12),""))</f>
        <v/>
      </c>
      <c r="C90" s="7" t="str">
        <f>IF(A90="","","Tier1_Pick1")</f>
        <v/>
      </c>
      <c r="D90" s="7" t="str">
        <f>IF(A90="","",1)</f>
        <v/>
      </c>
      <c r="E90" s="7" t="str">
        <f t="array" ref="E90">IF(A90="","",IFERROR(INDEX(Entries!$F$2:$F$48,12),""))</f>
        <v/>
      </c>
      <c r="F90" s="7" t="str">
        <f>IF(E90="","",IFERROR(_xludf.XLOOKUP(E90,Countries!$A$2:$A$72,Countries!$B$2:$B$72,"???"),"???"))</f>
        <v/>
      </c>
      <c r="G90" s="7">
        <f t="array" ref="G90">IF(E90="",0,IFERROR(XLOOKUP(E90,Countries!$A$2:$A$72,Countries!$E$2:$E$72,0),0))</f>
        <v>0</v>
      </c>
      <c r="H90" s="7">
        <f t="array" ref="H90">IF(E90="",0,IFERROR(XLOOKUP(E90,Medals!$B$2:$B$51,Medals!$D$2:$D$51,0),0))</f>
        <v>0</v>
      </c>
      <c r="I90" s="7">
        <f t="array" ref="I90">IF(E90="",0,IFERROR(XLOOKUP(E90,Medals!$B$2:$B$51,Medals!$E$2:$E$51,0),0))</f>
        <v>0</v>
      </c>
      <c r="J90" s="7">
        <f t="array" ref="J90">IF(E90="",0,IFERROR(XLOOKUP(E90,Medals!$B$2:$B$51,Medals!$F$2:$F$51,0),0))</f>
        <v>0</v>
      </c>
      <c r="K90" s="7">
        <f>H90*GoldPoints*G90</f>
        <v>0</v>
      </c>
      <c r="L90" s="7">
        <f>I90*SilverPoints*G90</f>
        <v>0</v>
      </c>
      <c r="M90" s="7">
        <f>J90*BronzePoints*G90</f>
        <v>0</v>
      </c>
      <c r="N90" s="7">
        <f t="shared" si="1"/>
        <v>0</v>
      </c>
      <c r="O90" s="7" t="b">
        <f t="array" ref="O90">IF(E90="",FALSE,IFERROR(AND(ISNUMBER(MATCH(E90,Countries!$A$2:$A$72,0)),XLOOKUP(E90,Countries!$A$2:$A$72,Countries!$I$2:$I$72,FALSE)),FALSE))</f>
        <v>0</v>
      </c>
      <c r="P90" s="7" t="b">
        <f t="array" ref="P90">IF(E90="",FALSE,IFERROR(XLOOKUP(E90,Countries!$A$2:$A$72,Countries!$G$2:$G$72,FALSE),FALSE))</f>
        <v>0</v>
      </c>
      <c r="Q90" s="7" t="str">
        <f t="shared" si="2"/>
        <v>⚪</v>
      </c>
    </row>
    <row r="91" ht="15.75" customHeight="1">
      <c r="A91" s="7" t="str">
        <f t="array" ref="A91">IFERROR(IF(INDEX(Entries!$C$2:$C$48,12)="","",INDEX(Entries!$Q$2:$Q$48,12)),"")</f>
        <v/>
      </c>
      <c r="B91" s="7" t="str">
        <f t="array" ref="B91">IF(A91="","",IFERROR(INDEX(Entries!$E$2:$E$48,12),""))</f>
        <v/>
      </c>
      <c r="C91" s="7" t="str">
        <f>IF(A91="","","Tier2_Pick1")</f>
        <v/>
      </c>
      <c r="D91" s="7" t="str">
        <f t="shared" ref="D91:D92" si="25">IF(A91="","",2)</f>
        <v/>
      </c>
      <c r="E91" s="7" t="str">
        <f t="array" ref="E91">IF(A91="","",IFERROR(INDEX(Entries!$M$2:$M$48,12),""))</f>
        <v/>
      </c>
      <c r="F91" s="7" t="str">
        <f>IF(E91="","",IFERROR(_xludf.XLOOKUP(E91,Countries!$A$2:$A$72,Countries!$B$2:$B$72,"???"),"???"))</f>
        <v/>
      </c>
      <c r="G91" s="7">
        <f t="array" ref="G91">IF(E91="",0,IFERROR(XLOOKUP(E91,Countries!$A$2:$A$72,Countries!$E$2:$E$72,0),0))</f>
        <v>0</v>
      </c>
      <c r="H91" s="7">
        <f t="array" ref="H91">IF(E91="",0,IFERROR(XLOOKUP(E91,Medals!$B$2:$B$51,Medals!$D$2:$D$51,0),0))</f>
        <v>0</v>
      </c>
      <c r="I91" s="7">
        <f t="array" ref="I91">IF(E91="",0,IFERROR(XLOOKUP(E91,Medals!$B$2:$B$51,Medals!$E$2:$E$51,0),0))</f>
        <v>0</v>
      </c>
      <c r="J91" s="7">
        <f t="array" ref="J91">IF(E91="",0,IFERROR(XLOOKUP(E91,Medals!$B$2:$B$51,Medals!$F$2:$F$51,0),0))</f>
        <v>0</v>
      </c>
      <c r="K91" s="7">
        <f>H91*GoldPoints*G91</f>
        <v>0</v>
      </c>
      <c r="L91" s="7">
        <f>I91*SilverPoints*G91</f>
        <v>0</v>
      </c>
      <c r="M91" s="7">
        <f>J91*BronzePoints*G91</f>
        <v>0</v>
      </c>
      <c r="N91" s="7">
        <f t="shared" si="1"/>
        <v>0</v>
      </c>
      <c r="O91" s="7" t="b">
        <f t="array" ref="O91">IF(E91="",FALSE,IFERROR(AND(ISNUMBER(MATCH(E91,Countries!$A$2:$A$72,0)),XLOOKUP(E91,Countries!$A$2:$A$72,Countries!$I$2:$I$72,FALSE)),FALSE))</f>
        <v>0</v>
      </c>
      <c r="P91" s="7" t="b">
        <f t="array" ref="P91">IF(E91="",FALSE,IFERROR(XLOOKUP(E91,Countries!$A$2:$A$72,Countries!$G$2:$G$72,FALSE),FALSE))</f>
        <v>0</v>
      </c>
      <c r="Q91" s="7" t="str">
        <f t="shared" si="2"/>
        <v>⚪</v>
      </c>
    </row>
    <row r="92" ht="15.75" customHeight="1">
      <c r="A92" s="7" t="str">
        <f t="array" ref="A92">IFERROR(IF(INDEX(Entries!$C$2:$C$48,12)="","",INDEX(Entries!$Q$2:$Q$48,12)),"")</f>
        <v/>
      </c>
      <c r="B92" s="7" t="str">
        <f t="array" ref="B92">IF(A92="","",IFERROR(INDEX(Entries!$E$2:$E$48,12),""))</f>
        <v/>
      </c>
      <c r="C92" s="7" t="str">
        <f>IF(A92="","","Tier2_Pick2")</f>
        <v/>
      </c>
      <c r="D92" s="7" t="str">
        <f t="shared" si="25"/>
        <v/>
      </c>
      <c r="E92" s="7" t="str">
        <f t="array" ref="E92">IF(A92="","",IFERROR(INDEX(Entries!$N$2:$N$48,12),""))</f>
        <v/>
      </c>
      <c r="F92" s="7" t="str">
        <f>IF(E92="","",IFERROR(_xludf.XLOOKUP(E92,Countries!$A$2:$A$72,Countries!$B$2:$B$72,"???"),"???"))</f>
        <v/>
      </c>
      <c r="G92" s="7">
        <f t="array" ref="G92">IF(E92="",0,IFERROR(XLOOKUP(E92,Countries!$A$2:$A$72,Countries!$E$2:$E$72,0),0))</f>
        <v>0</v>
      </c>
      <c r="H92" s="7">
        <f t="array" ref="H92">IF(E92="",0,IFERROR(XLOOKUP(E92,Medals!$B$2:$B$51,Medals!$D$2:$D$51,0),0))</f>
        <v>0</v>
      </c>
      <c r="I92" s="7">
        <f t="array" ref="I92">IF(E92="",0,IFERROR(XLOOKUP(E92,Medals!$B$2:$B$51,Medals!$E$2:$E$51,0),0))</f>
        <v>0</v>
      </c>
      <c r="J92" s="7">
        <f t="array" ref="J92">IF(E92="",0,IFERROR(XLOOKUP(E92,Medals!$B$2:$B$51,Medals!$F$2:$F$51,0),0))</f>
        <v>0</v>
      </c>
      <c r="K92" s="7">
        <f>H92*GoldPoints*G92</f>
        <v>0</v>
      </c>
      <c r="L92" s="7">
        <f>I92*SilverPoints*G92</f>
        <v>0</v>
      </c>
      <c r="M92" s="7">
        <f>J92*BronzePoints*G92</f>
        <v>0</v>
      </c>
      <c r="N92" s="7">
        <f t="shared" si="1"/>
        <v>0</v>
      </c>
      <c r="O92" s="7" t="b">
        <f t="array" ref="O92">IF(E92="",FALSE,IFERROR(AND(ISNUMBER(MATCH(E92,Countries!$A$2:$A$72,0)),XLOOKUP(E92,Countries!$A$2:$A$72,Countries!$I$2:$I$72,FALSE)),FALSE))</f>
        <v>0</v>
      </c>
      <c r="P92" s="7" t="b">
        <f t="array" ref="P92">IF(E92="",FALSE,IFERROR(XLOOKUP(E92,Countries!$A$2:$A$72,Countries!$G$2:$G$72,FALSE),FALSE))</f>
        <v>0</v>
      </c>
      <c r="Q92" s="7" t="str">
        <f t="shared" si="2"/>
        <v>⚪</v>
      </c>
    </row>
    <row r="93" ht="15.75" customHeight="1">
      <c r="A93" s="7" t="str">
        <f t="array" ref="A93">IFERROR(IF(INDEX(Entries!$C$2:$C$48,12)="","",INDEX(Entries!$Q$2:$Q$48,12)),"")</f>
        <v/>
      </c>
      <c r="B93" s="7" t="str">
        <f t="array" ref="B93">IF(A93="","",IFERROR(INDEX(Entries!$E$2:$E$48,12),""))</f>
        <v/>
      </c>
      <c r="C93" s="7" t="str">
        <f>IF(A93="","","Tier3_Pick1")</f>
        <v/>
      </c>
      <c r="D93" s="7" t="str">
        <f>IF(A93="","",3)</f>
        <v/>
      </c>
      <c r="E93" s="7" t="str">
        <f t="array" ref="E93">IF(A93="","",IFERROR(INDEX(Entries!$H$2:$H$48,12),""))</f>
        <v/>
      </c>
      <c r="F93" s="7" t="str">
        <f>IF(E93="","",IFERROR(_xludf.XLOOKUP(E93,Countries!$A$2:$A$72,Countries!$B$2:$B$72,"???"),"???"))</f>
        <v/>
      </c>
      <c r="G93" s="7">
        <f t="array" ref="G93">IF(E93="",0,IFERROR(XLOOKUP(E93,Countries!$A$2:$A$72,Countries!$E$2:$E$72,0),0))</f>
        <v>0</v>
      </c>
      <c r="H93" s="7">
        <f t="array" ref="H93">IF(E93="",0,IFERROR(XLOOKUP(E93,Medals!$B$2:$B$51,Medals!$D$2:$D$51,0),0))</f>
        <v>0</v>
      </c>
      <c r="I93" s="7">
        <f t="array" ref="I93">IF(E93="",0,IFERROR(XLOOKUP(E93,Medals!$B$2:$B$51,Medals!$E$2:$E$51,0),0))</f>
        <v>0</v>
      </c>
      <c r="J93" s="7">
        <f t="array" ref="J93">IF(E93="",0,IFERROR(XLOOKUP(E93,Medals!$B$2:$B$51,Medals!$F$2:$F$51,0),0))</f>
        <v>0</v>
      </c>
      <c r="K93" s="7">
        <f>H93*GoldPoints*G93</f>
        <v>0</v>
      </c>
      <c r="L93" s="7">
        <f>I93*SilverPoints*G93</f>
        <v>0</v>
      </c>
      <c r="M93" s="7">
        <f>J93*BronzePoints*G93</f>
        <v>0</v>
      </c>
      <c r="N93" s="7">
        <f t="shared" si="1"/>
        <v>0</v>
      </c>
      <c r="O93" s="7" t="b">
        <f t="array" ref="O93">IF(E93="",FALSE,IFERROR(AND(ISNUMBER(MATCH(E93,Countries!$A$2:$A$72,0)),XLOOKUP(E93,Countries!$A$2:$A$72,Countries!$I$2:$I$72,FALSE)),FALSE))</f>
        <v>0</v>
      </c>
      <c r="P93" s="7" t="b">
        <f t="array" ref="P93">IF(E93="",FALSE,IFERROR(XLOOKUP(E93,Countries!$A$2:$A$72,Countries!$G$2:$G$72,FALSE),FALSE))</f>
        <v>0</v>
      </c>
      <c r="Q93" s="7" t="str">
        <f t="shared" si="2"/>
        <v>⚪</v>
      </c>
    </row>
    <row r="94" ht="15.75" customHeight="1">
      <c r="A94" s="7" t="str">
        <f t="array" ref="A94">IFERROR(IF(INDEX(Entries!$C$2:$C$48,12)="","",INDEX(Entries!$Q$2:$Q$48,12)),"")</f>
        <v/>
      </c>
      <c r="B94" s="7" t="str">
        <f t="array" ref="B94">IF(A94="","",IFERROR(INDEX(Entries!$E$2:$E$48,12),""))</f>
        <v/>
      </c>
      <c r="C94" s="7" t="str">
        <f>IF(A94="","","Tier4_Pick1")</f>
        <v/>
      </c>
      <c r="D94" s="7" t="str">
        <f>IF(A94="","",4)</f>
        <v/>
      </c>
      <c r="E94" s="7" t="str">
        <f t="array" ref="E94">IF(A94="","",IFERROR(INDEX(Entries!$I$2:$I$48,12),""))</f>
        <v/>
      </c>
      <c r="F94" s="7" t="str">
        <f>IF(E94="","",IFERROR(_xludf.XLOOKUP(E94,Countries!$A$2:$A$72,Countries!$B$2:$B$72,"???"),"???"))</f>
        <v/>
      </c>
      <c r="G94" s="7">
        <f t="array" ref="G94">IF(E94="",0,IFERROR(XLOOKUP(E94,Countries!$A$2:$A$72,Countries!$E$2:$E$72,0),0))</f>
        <v>0</v>
      </c>
      <c r="H94" s="7">
        <f t="array" ref="H94">IF(E94="",0,IFERROR(XLOOKUP(E94,Medals!$B$2:$B$51,Medals!$D$2:$D$51,0),0))</f>
        <v>0</v>
      </c>
      <c r="I94" s="7">
        <f t="array" ref="I94">IF(E94="",0,IFERROR(XLOOKUP(E94,Medals!$B$2:$B$51,Medals!$E$2:$E$51,0),0))</f>
        <v>0</v>
      </c>
      <c r="J94" s="7">
        <f t="array" ref="J94">IF(E94="",0,IFERROR(XLOOKUP(E94,Medals!$B$2:$B$51,Medals!$F$2:$F$51,0),0))</f>
        <v>0</v>
      </c>
      <c r="K94" s="7">
        <f>H94*GoldPoints*G94</f>
        <v>0</v>
      </c>
      <c r="L94" s="7">
        <f>I94*SilverPoints*G94</f>
        <v>0</v>
      </c>
      <c r="M94" s="7">
        <f>J94*BronzePoints*G94</f>
        <v>0</v>
      </c>
      <c r="N94" s="7">
        <f t="shared" si="1"/>
        <v>0</v>
      </c>
      <c r="O94" s="7" t="b">
        <f t="array" ref="O94">IF(E94="",FALSE,IFERROR(AND(ISNUMBER(MATCH(E94,Countries!$A$2:$A$72,0)),XLOOKUP(E94,Countries!$A$2:$A$72,Countries!$I$2:$I$72,FALSE)),FALSE))</f>
        <v>0</v>
      </c>
      <c r="P94" s="7" t="b">
        <f t="array" ref="P94">IF(E94="",FALSE,IFERROR(XLOOKUP(E94,Countries!$A$2:$A$72,Countries!$G$2:$G$72,FALSE),FALSE))</f>
        <v>0</v>
      </c>
      <c r="Q94" s="7" t="str">
        <f t="shared" si="2"/>
        <v>⚪</v>
      </c>
    </row>
    <row r="95" ht="15.75" customHeight="1">
      <c r="A95" s="7" t="str">
        <f t="array" ref="A95">IFERROR(IF(INDEX(Entries!$C$2:$C$48,12)="","",INDEX(Entries!$Q$2:$Q$48,12)),"")</f>
        <v/>
      </c>
      <c r="B95" s="7" t="str">
        <f t="array" ref="B95">IF(A95="","",IFERROR(INDEX(Entries!$E$2:$E$48,12),""))</f>
        <v/>
      </c>
      <c r="C95" s="7" t="str">
        <f>IF(A95="","","Tier5_Pick1")</f>
        <v/>
      </c>
      <c r="D95" s="7" t="str">
        <f>IF(A95="","",5)</f>
        <v/>
      </c>
      <c r="E95" s="7" t="str">
        <f t="array" ref="E95">IF(A95="","",IFERROR(INDEX(Entries!$J$2:$J$48,12),""))</f>
        <v/>
      </c>
      <c r="F95" s="7" t="str">
        <f>IF(E95="","",IFERROR(_xludf.XLOOKUP(E95,Countries!$A$2:$A$72,Countries!$B$2:$B$72,"???"),"???"))</f>
        <v/>
      </c>
      <c r="G95" s="7">
        <f t="array" ref="G95">IF(E95="",0,IFERROR(XLOOKUP(E95,Countries!$A$2:$A$72,Countries!$E$2:$E$72,0),0))</f>
        <v>0</v>
      </c>
      <c r="H95" s="7">
        <f t="array" ref="H95">IF(E95="",0,IFERROR(XLOOKUP(E95,Medals!$B$2:$B$51,Medals!$D$2:$D$51,0),0))</f>
        <v>0</v>
      </c>
      <c r="I95" s="7">
        <f t="array" ref="I95">IF(E95="",0,IFERROR(XLOOKUP(E95,Medals!$B$2:$B$51,Medals!$E$2:$E$51,0),0))</f>
        <v>0</v>
      </c>
      <c r="J95" s="7">
        <f t="array" ref="J95">IF(E95="",0,IFERROR(XLOOKUP(E95,Medals!$B$2:$B$51,Medals!$F$2:$F$51,0),0))</f>
        <v>0</v>
      </c>
      <c r="K95" s="7">
        <f>H95*GoldPoints*G95</f>
        <v>0</v>
      </c>
      <c r="L95" s="7">
        <f>I95*SilverPoints*G95</f>
        <v>0</v>
      </c>
      <c r="M95" s="7">
        <f>J95*BronzePoints*G95</f>
        <v>0</v>
      </c>
      <c r="N95" s="7">
        <f t="shared" si="1"/>
        <v>0</v>
      </c>
      <c r="O95" s="7" t="b">
        <f t="array" ref="O95">IF(E95="",FALSE,IFERROR(AND(ISNUMBER(MATCH(E95,Countries!$A$2:$A$72,0)),XLOOKUP(E95,Countries!$A$2:$A$72,Countries!$I$2:$I$72,FALSE)),FALSE))</f>
        <v>0</v>
      </c>
      <c r="P95" s="7" t="b">
        <f t="array" ref="P95">IF(E95="",FALSE,IFERROR(XLOOKUP(E95,Countries!$A$2:$A$72,Countries!$G$2:$G$72,FALSE),FALSE))</f>
        <v>0</v>
      </c>
      <c r="Q95" s="7" t="str">
        <f t="shared" si="2"/>
        <v>⚪</v>
      </c>
    </row>
    <row r="96" ht="15.75" customHeight="1">
      <c r="A96" s="7" t="str">
        <f t="array" ref="A96">IFERROR(IF(INDEX(Entries!$C$2:$C$48,12)="","",INDEX(Entries!$Q$2:$Q$48,12)),"")</f>
        <v/>
      </c>
      <c r="B96" s="7" t="str">
        <f t="array" ref="B96">IF(A96="","",IFERROR(INDEX(Entries!$E$2:$E$48,12),""))</f>
        <v/>
      </c>
      <c r="C96" s="7" t="str">
        <f>IF(A96="","","Tier6_Pick1")</f>
        <v/>
      </c>
      <c r="D96" s="7" t="str">
        <f t="shared" ref="D96:D97" si="26">IF(A96="","",6)</f>
        <v/>
      </c>
      <c r="E96" s="7" t="str">
        <f t="array" ref="E96">IF(A96="","",IFERROR(INDEX(Entries!$O$2:$O$48,12),""))</f>
        <v/>
      </c>
      <c r="F96" s="7" t="str">
        <f>IF(E96="","",IFERROR(_xludf.XLOOKUP(E96,Countries!$A$2:$A$72,Countries!$B$2:$B$72,"???"),"???"))</f>
        <v/>
      </c>
      <c r="G96" s="7">
        <f t="array" ref="G96">IF(E96="",0,IFERROR(XLOOKUP(E96,Countries!$A$2:$A$72,Countries!$E$2:$E$72,0),0))</f>
        <v>0</v>
      </c>
      <c r="H96" s="7">
        <f t="array" ref="H96">IF(E96="",0,IFERROR(XLOOKUP(E96,Medals!$B$2:$B$51,Medals!$D$2:$D$51,0),0))</f>
        <v>0</v>
      </c>
      <c r="I96" s="7">
        <f t="array" ref="I96">IF(E96="",0,IFERROR(XLOOKUP(E96,Medals!$B$2:$B$51,Medals!$E$2:$E$51,0),0))</f>
        <v>0</v>
      </c>
      <c r="J96" s="7">
        <f t="array" ref="J96">IF(E96="",0,IFERROR(XLOOKUP(E96,Medals!$B$2:$B$51,Medals!$F$2:$F$51,0),0))</f>
        <v>0</v>
      </c>
      <c r="K96" s="7">
        <f>H96*GoldPoints*G96</f>
        <v>0</v>
      </c>
      <c r="L96" s="7">
        <f>I96*SilverPoints*G96</f>
        <v>0</v>
      </c>
      <c r="M96" s="7">
        <f>J96*BronzePoints*G96</f>
        <v>0</v>
      </c>
      <c r="N96" s="7">
        <f t="shared" si="1"/>
        <v>0</v>
      </c>
      <c r="O96" s="7" t="b">
        <f t="array" ref="O96">IF(E96="",FALSE,IFERROR(AND(ISNUMBER(MATCH(E96,Countries!$A$2:$A$72,0)),XLOOKUP(E96,Countries!$A$2:$A$72,Countries!$I$2:$I$72,FALSE)),FALSE))</f>
        <v>0</v>
      </c>
      <c r="P96" s="7" t="b">
        <f t="array" ref="P96">IF(E96="",FALSE,IFERROR(XLOOKUP(E96,Countries!$A$2:$A$72,Countries!$G$2:$G$72,FALSE),FALSE))</f>
        <v>0</v>
      </c>
      <c r="Q96" s="7" t="str">
        <f t="shared" si="2"/>
        <v>⚪</v>
      </c>
    </row>
    <row r="97" ht="15.75" customHeight="1">
      <c r="A97" s="7" t="str">
        <f t="array" ref="A97">IFERROR(IF(INDEX(Entries!$C$2:$C$48,12)="","",INDEX(Entries!$Q$2:$Q$48,12)),"")</f>
        <v/>
      </c>
      <c r="B97" s="7" t="str">
        <f t="array" ref="B97">IF(A97="","",IFERROR(INDEX(Entries!$E$2:$E$48,12),""))</f>
        <v/>
      </c>
      <c r="C97" s="7" t="str">
        <f>IF(A97="","","Tier6_Pick2")</f>
        <v/>
      </c>
      <c r="D97" s="7" t="str">
        <f t="shared" si="26"/>
        <v/>
      </c>
      <c r="E97" s="7" t="str">
        <f t="array" ref="E97">IF(A97="","",IFERROR(INDEX(Entries!$P$2:$P$48,12),""))</f>
        <v/>
      </c>
      <c r="F97" s="7" t="str">
        <f>IF(E97="","",IFERROR(_xludf.XLOOKUP(E97,Countries!$A$2:$A$72,Countries!$B$2:$B$72,"???"),"???"))</f>
        <v/>
      </c>
      <c r="G97" s="7">
        <f t="array" ref="G97">IF(E97="",0,IFERROR(XLOOKUP(E97,Countries!$A$2:$A$72,Countries!$E$2:$E$72,0),0))</f>
        <v>0</v>
      </c>
      <c r="H97" s="7">
        <f t="array" ref="H97">IF(E97="",0,IFERROR(XLOOKUP(E97,Medals!$B$2:$B$51,Medals!$D$2:$D$51,0),0))</f>
        <v>0</v>
      </c>
      <c r="I97" s="7">
        <f t="array" ref="I97">IF(E97="",0,IFERROR(XLOOKUP(E97,Medals!$B$2:$B$51,Medals!$E$2:$E$51,0),0))</f>
        <v>0</v>
      </c>
      <c r="J97" s="7">
        <f t="array" ref="J97">IF(E97="",0,IFERROR(XLOOKUP(E97,Medals!$B$2:$B$51,Medals!$F$2:$F$51,0),0))</f>
        <v>0</v>
      </c>
      <c r="K97" s="7">
        <f>H97*GoldPoints*G97</f>
        <v>0</v>
      </c>
      <c r="L97" s="7">
        <f>I97*SilverPoints*G97</f>
        <v>0</v>
      </c>
      <c r="M97" s="7">
        <f>J97*BronzePoints*G97</f>
        <v>0</v>
      </c>
      <c r="N97" s="7">
        <f t="shared" si="1"/>
        <v>0</v>
      </c>
      <c r="O97" s="7" t="b">
        <f t="array" ref="O97">IF(E97="",FALSE,IFERROR(AND(ISNUMBER(MATCH(E97,Countries!$A$2:$A$72,0)),XLOOKUP(E97,Countries!$A$2:$A$72,Countries!$I$2:$I$72,FALSE)),FALSE))</f>
        <v>0</v>
      </c>
      <c r="P97" s="7" t="b">
        <f t="array" ref="P97">IF(E97="",FALSE,IFERROR(XLOOKUP(E97,Countries!$A$2:$A$72,Countries!$G$2:$G$72,FALSE),FALSE))</f>
        <v>0</v>
      </c>
      <c r="Q97" s="7" t="str">
        <f t="shared" si="2"/>
        <v>⚪</v>
      </c>
    </row>
    <row r="98" ht="15.75" customHeight="1">
      <c r="A98" s="7" t="str">
        <f t="array" ref="A98">IFERROR(IF(INDEX(Entries!$C$2:$C$48,13)="","",INDEX(Entries!$Q$2:$Q$48,13)),"")</f>
        <v/>
      </c>
      <c r="B98" s="7" t="str">
        <f t="array" ref="B98">IF(A98="","",IFERROR(INDEX(Entries!$E$2:$E$48,13),""))</f>
        <v/>
      </c>
      <c r="C98" s="7" t="str">
        <f>IF(A98="","","Tier1_Pick1")</f>
        <v/>
      </c>
      <c r="D98" s="7" t="str">
        <f>IF(A98="","",1)</f>
        <v/>
      </c>
      <c r="E98" s="7" t="str">
        <f t="array" ref="E98">IF(A98="","",IFERROR(INDEX(Entries!$F$2:$F$48,13),""))</f>
        <v/>
      </c>
      <c r="F98" s="7" t="str">
        <f>IF(E98="","",IFERROR(_xludf.XLOOKUP(E98,Countries!$A$2:$A$72,Countries!$B$2:$B$72,"???"),"???"))</f>
        <v/>
      </c>
      <c r="G98" s="7">
        <f t="array" ref="G98">IF(E98="",0,IFERROR(XLOOKUP(E98,Countries!$A$2:$A$72,Countries!$E$2:$E$72,0),0))</f>
        <v>0</v>
      </c>
      <c r="H98" s="7">
        <f t="array" ref="H98">IF(E98="",0,IFERROR(XLOOKUP(E98,Medals!$B$2:$B$51,Medals!$D$2:$D$51,0),0))</f>
        <v>0</v>
      </c>
      <c r="I98" s="7">
        <f t="array" ref="I98">IF(E98="",0,IFERROR(XLOOKUP(E98,Medals!$B$2:$B$51,Medals!$E$2:$E$51,0),0))</f>
        <v>0</v>
      </c>
      <c r="J98" s="7">
        <f t="array" ref="J98">IF(E98="",0,IFERROR(XLOOKUP(E98,Medals!$B$2:$B$51,Medals!$F$2:$F$51,0),0))</f>
        <v>0</v>
      </c>
      <c r="K98" s="7">
        <f>H98*GoldPoints*G98</f>
        <v>0</v>
      </c>
      <c r="L98" s="7">
        <f>I98*SilverPoints*G98</f>
        <v>0</v>
      </c>
      <c r="M98" s="7">
        <f>J98*BronzePoints*G98</f>
        <v>0</v>
      </c>
      <c r="N98" s="7">
        <f t="shared" si="1"/>
        <v>0</v>
      </c>
      <c r="O98" s="7" t="b">
        <f t="array" ref="O98">IF(E98="",FALSE,IFERROR(AND(ISNUMBER(MATCH(E98,Countries!$A$2:$A$72,0)),XLOOKUP(E98,Countries!$A$2:$A$72,Countries!$I$2:$I$72,FALSE)),FALSE))</f>
        <v>0</v>
      </c>
      <c r="P98" s="7" t="b">
        <f t="array" ref="P98">IF(E98="",FALSE,IFERROR(XLOOKUP(E98,Countries!$A$2:$A$72,Countries!$G$2:$G$72,FALSE),FALSE))</f>
        <v>0</v>
      </c>
      <c r="Q98" s="7" t="str">
        <f t="shared" si="2"/>
        <v>⚪</v>
      </c>
    </row>
    <row r="99" ht="15.75" customHeight="1">
      <c r="A99" s="7" t="str">
        <f t="array" ref="A99">IFERROR(IF(INDEX(Entries!$C$2:$C$48,13)="","",INDEX(Entries!$Q$2:$Q$48,13)),"")</f>
        <v/>
      </c>
      <c r="B99" s="7" t="str">
        <f t="array" ref="B99">IF(A99="","",IFERROR(INDEX(Entries!$E$2:$E$48,13),""))</f>
        <v/>
      </c>
      <c r="C99" s="7" t="str">
        <f>IF(A99="","","Tier2_Pick1")</f>
        <v/>
      </c>
      <c r="D99" s="7" t="str">
        <f t="shared" ref="D99:D100" si="27">IF(A99="","",2)</f>
        <v/>
      </c>
      <c r="E99" s="7" t="str">
        <f t="array" ref="E99">IF(A99="","",IFERROR(INDEX(Entries!$M$2:$M$48,13),""))</f>
        <v/>
      </c>
      <c r="F99" s="7" t="str">
        <f>IF(E99="","",IFERROR(_xludf.XLOOKUP(E99,Countries!$A$2:$A$72,Countries!$B$2:$B$72,"???"),"???"))</f>
        <v/>
      </c>
      <c r="G99" s="7">
        <f t="array" ref="G99">IF(E99="",0,IFERROR(XLOOKUP(E99,Countries!$A$2:$A$72,Countries!$E$2:$E$72,0),0))</f>
        <v>0</v>
      </c>
      <c r="H99" s="7">
        <f t="array" ref="H99">IF(E99="",0,IFERROR(XLOOKUP(E99,Medals!$B$2:$B$51,Medals!$D$2:$D$51,0),0))</f>
        <v>0</v>
      </c>
      <c r="I99" s="7">
        <f t="array" ref="I99">IF(E99="",0,IFERROR(XLOOKUP(E99,Medals!$B$2:$B$51,Medals!$E$2:$E$51,0),0))</f>
        <v>0</v>
      </c>
      <c r="J99" s="7">
        <f t="array" ref="J99">IF(E99="",0,IFERROR(XLOOKUP(E99,Medals!$B$2:$B$51,Medals!$F$2:$F$51,0),0))</f>
        <v>0</v>
      </c>
      <c r="K99" s="7">
        <f>H99*GoldPoints*G99</f>
        <v>0</v>
      </c>
      <c r="L99" s="7">
        <f>I99*SilverPoints*G99</f>
        <v>0</v>
      </c>
      <c r="M99" s="7">
        <f>J99*BronzePoints*G99</f>
        <v>0</v>
      </c>
      <c r="N99" s="7">
        <f t="shared" si="1"/>
        <v>0</v>
      </c>
      <c r="O99" s="7" t="b">
        <f t="array" ref="O99">IF(E99="",FALSE,IFERROR(AND(ISNUMBER(MATCH(E99,Countries!$A$2:$A$72,0)),XLOOKUP(E99,Countries!$A$2:$A$72,Countries!$I$2:$I$72,FALSE)),FALSE))</f>
        <v>0</v>
      </c>
      <c r="P99" s="7" t="b">
        <f t="array" ref="P99">IF(E99="",FALSE,IFERROR(XLOOKUP(E99,Countries!$A$2:$A$72,Countries!$G$2:$G$72,FALSE),FALSE))</f>
        <v>0</v>
      </c>
      <c r="Q99" s="7" t="str">
        <f t="shared" si="2"/>
        <v>⚪</v>
      </c>
    </row>
    <row r="100" ht="15.75" customHeight="1">
      <c r="A100" s="7" t="str">
        <f t="array" ref="A100">IFERROR(IF(INDEX(Entries!$C$2:$C$48,13)="","",INDEX(Entries!$Q$2:$Q$48,13)),"")</f>
        <v/>
      </c>
      <c r="B100" s="7" t="str">
        <f t="array" ref="B100">IF(A100="","",IFERROR(INDEX(Entries!$E$2:$E$48,13),""))</f>
        <v/>
      </c>
      <c r="C100" s="7" t="str">
        <f>IF(A100="","","Tier2_Pick2")</f>
        <v/>
      </c>
      <c r="D100" s="7" t="str">
        <f t="shared" si="27"/>
        <v/>
      </c>
      <c r="E100" s="7" t="str">
        <f t="array" ref="E100">IF(A100="","",IFERROR(INDEX(Entries!$N$2:$N$48,13),""))</f>
        <v/>
      </c>
      <c r="F100" s="7" t="str">
        <f>IF(E100="","",IFERROR(_xludf.XLOOKUP(E100,Countries!$A$2:$A$72,Countries!$B$2:$B$72,"???"),"???"))</f>
        <v/>
      </c>
      <c r="G100" s="7">
        <f t="array" ref="G100">IF(E100="",0,IFERROR(XLOOKUP(E100,Countries!$A$2:$A$72,Countries!$E$2:$E$72,0),0))</f>
        <v>0</v>
      </c>
      <c r="H100" s="7">
        <f t="array" ref="H100">IF(E100="",0,IFERROR(XLOOKUP(E100,Medals!$B$2:$B$51,Medals!$D$2:$D$51,0),0))</f>
        <v>0</v>
      </c>
      <c r="I100" s="7">
        <f t="array" ref="I100">IF(E100="",0,IFERROR(XLOOKUP(E100,Medals!$B$2:$B$51,Medals!$E$2:$E$51,0),0))</f>
        <v>0</v>
      </c>
      <c r="J100" s="7">
        <f t="array" ref="J100">IF(E100="",0,IFERROR(XLOOKUP(E100,Medals!$B$2:$B$51,Medals!$F$2:$F$51,0),0))</f>
        <v>0</v>
      </c>
      <c r="K100" s="7">
        <f>H100*GoldPoints*G100</f>
        <v>0</v>
      </c>
      <c r="L100" s="7">
        <f>I100*SilverPoints*G100</f>
        <v>0</v>
      </c>
      <c r="M100" s="7">
        <f>J100*BronzePoints*G100</f>
        <v>0</v>
      </c>
      <c r="N100" s="7">
        <f t="shared" si="1"/>
        <v>0</v>
      </c>
      <c r="O100" s="7" t="b">
        <f t="array" ref="O100">IF(E100="",FALSE,IFERROR(AND(ISNUMBER(MATCH(E100,Countries!$A$2:$A$72,0)),XLOOKUP(E100,Countries!$A$2:$A$72,Countries!$I$2:$I$72,FALSE)),FALSE))</f>
        <v>0</v>
      </c>
      <c r="P100" s="7" t="b">
        <f t="array" ref="P100">IF(E100="",FALSE,IFERROR(XLOOKUP(E100,Countries!$A$2:$A$72,Countries!$G$2:$G$72,FALSE),FALSE))</f>
        <v>0</v>
      </c>
      <c r="Q100" s="7" t="str">
        <f t="shared" si="2"/>
        <v>⚪</v>
      </c>
    </row>
    <row r="101" ht="15.75" customHeight="1">
      <c r="A101" s="7" t="str">
        <f t="array" ref="A101">IFERROR(IF(INDEX(Entries!$C$2:$C$48,13)="","",INDEX(Entries!$Q$2:$Q$48,13)),"")</f>
        <v/>
      </c>
      <c r="B101" s="7" t="str">
        <f t="array" ref="B101">IF(A101="","",IFERROR(INDEX(Entries!$E$2:$E$48,13),""))</f>
        <v/>
      </c>
      <c r="C101" s="7" t="str">
        <f>IF(A101="","","Tier3_Pick1")</f>
        <v/>
      </c>
      <c r="D101" s="7" t="str">
        <f>IF(A101="","",3)</f>
        <v/>
      </c>
      <c r="E101" s="7" t="str">
        <f t="array" ref="E101">IF(A101="","",IFERROR(INDEX(Entries!$H$2:$H$48,13),""))</f>
        <v/>
      </c>
      <c r="F101" s="7" t="str">
        <f>IF(E101="","",IFERROR(_xludf.XLOOKUP(E101,Countries!$A$2:$A$72,Countries!$B$2:$B$72,"???"),"???"))</f>
        <v/>
      </c>
      <c r="G101" s="7">
        <f t="array" ref="G101">IF(E101="",0,IFERROR(XLOOKUP(E101,Countries!$A$2:$A$72,Countries!$E$2:$E$72,0),0))</f>
        <v>0</v>
      </c>
      <c r="H101" s="7">
        <f t="array" ref="H101">IF(E101="",0,IFERROR(XLOOKUP(E101,Medals!$B$2:$B$51,Medals!$D$2:$D$51,0),0))</f>
        <v>0</v>
      </c>
      <c r="I101" s="7">
        <f t="array" ref="I101">IF(E101="",0,IFERROR(XLOOKUP(E101,Medals!$B$2:$B$51,Medals!$E$2:$E$51,0),0))</f>
        <v>0</v>
      </c>
      <c r="J101" s="7">
        <f t="array" ref="J101">IF(E101="",0,IFERROR(XLOOKUP(E101,Medals!$B$2:$B$51,Medals!$F$2:$F$51,0),0))</f>
        <v>0</v>
      </c>
      <c r="K101" s="7">
        <f>H101*GoldPoints*G101</f>
        <v>0</v>
      </c>
      <c r="L101" s="7">
        <f>I101*SilverPoints*G101</f>
        <v>0</v>
      </c>
      <c r="M101" s="7">
        <f>J101*BronzePoints*G101</f>
        <v>0</v>
      </c>
      <c r="N101" s="7">
        <f t="shared" si="1"/>
        <v>0</v>
      </c>
      <c r="O101" s="7" t="b">
        <f t="array" ref="O101">IF(E101="",FALSE,IFERROR(AND(ISNUMBER(MATCH(E101,Countries!$A$2:$A$72,0)),XLOOKUP(E101,Countries!$A$2:$A$72,Countries!$I$2:$I$72,FALSE)),FALSE))</f>
        <v>0</v>
      </c>
      <c r="P101" s="7" t="b">
        <f t="array" ref="P101">IF(E101="",FALSE,IFERROR(XLOOKUP(E101,Countries!$A$2:$A$72,Countries!$G$2:$G$72,FALSE),FALSE))</f>
        <v>0</v>
      </c>
      <c r="Q101" s="7" t="str">
        <f t="shared" si="2"/>
        <v>⚪</v>
      </c>
    </row>
    <row r="102" ht="15.75" customHeight="1">
      <c r="A102" s="7" t="str">
        <f t="array" ref="A102">IFERROR(IF(INDEX(Entries!$C$2:$C$48,13)="","",INDEX(Entries!$Q$2:$Q$48,13)),"")</f>
        <v/>
      </c>
      <c r="B102" s="7" t="str">
        <f t="array" ref="B102">IF(A102="","",IFERROR(INDEX(Entries!$E$2:$E$48,13),""))</f>
        <v/>
      </c>
      <c r="C102" s="7" t="str">
        <f>IF(A102="","","Tier4_Pick1")</f>
        <v/>
      </c>
      <c r="D102" s="7" t="str">
        <f>IF(A102="","",4)</f>
        <v/>
      </c>
      <c r="E102" s="7" t="str">
        <f t="array" ref="E102">IF(A102="","",IFERROR(INDEX(Entries!$I$2:$I$48,13),""))</f>
        <v/>
      </c>
      <c r="F102" s="7" t="str">
        <f>IF(E102="","",IFERROR(_xludf.XLOOKUP(E102,Countries!$A$2:$A$72,Countries!$B$2:$B$72,"???"),"???"))</f>
        <v/>
      </c>
      <c r="G102" s="7">
        <f t="array" ref="G102">IF(E102="",0,IFERROR(XLOOKUP(E102,Countries!$A$2:$A$72,Countries!$E$2:$E$72,0),0))</f>
        <v>0</v>
      </c>
      <c r="H102" s="7">
        <f t="array" ref="H102">IF(E102="",0,IFERROR(XLOOKUP(E102,Medals!$B$2:$B$51,Medals!$D$2:$D$51,0),0))</f>
        <v>0</v>
      </c>
      <c r="I102" s="7">
        <f t="array" ref="I102">IF(E102="",0,IFERROR(XLOOKUP(E102,Medals!$B$2:$B$51,Medals!$E$2:$E$51,0),0))</f>
        <v>0</v>
      </c>
      <c r="J102" s="7">
        <f t="array" ref="J102">IF(E102="",0,IFERROR(XLOOKUP(E102,Medals!$B$2:$B$51,Medals!$F$2:$F$51,0),0))</f>
        <v>0</v>
      </c>
      <c r="K102" s="7">
        <f>H102*GoldPoints*G102</f>
        <v>0</v>
      </c>
      <c r="L102" s="7">
        <f>I102*SilverPoints*G102</f>
        <v>0</v>
      </c>
      <c r="M102" s="7">
        <f>J102*BronzePoints*G102</f>
        <v>0</v>
      </c>
      <c r="N102" s="7">
        <f t="shared" si="1"/>
        <v>0</v>
      </c>
      <c r="O102" s="7" t="b">
        <f t="array" ref="O102">IF(E102="",FALSE,IFERROR(AND(ISNUMBER(MATCH(E102,Countries!$A$2:$A$72,0)),XLOOKUP(E102,Countries!$A$2:$A$72,Countries!$I$2:$I$72,FALSE)),FALSE))</f>
        <v>0</v>
      </c>
      <c r="P102" s="7" t="b">
        <f t="array" ref="P102">IF(E102="",FALSE,IFERROR(XLOOKUP(E102,Countries!$A$2:$A$72,Countries!$G$2:$G$72,FALSE),FALSE))</f>
        <v>0</v>
      </c>
      <c r="Q102" s="7" t="str">
        <f t="shared" si="2"/>
        <v>⚪</v>
      </c>
    </row>
    <row r="103" ht="15.75" customHeight="1">
      <c r="A103" s="7" t="str">
        <f t="array" ref="A103">IFERROR(IF(INDEX(Entries!$C$2:$C$48,13)="","",INDEX(Entries!$Q$2:$Q$48,13)),"")</f>
        <v/>
      </c>
      <c r="B103" s="7" t="str">
        <f t="array" ref="B103">IF(A103="","",IFERROR(INDEX(Entries!$E$2:$E$48,13),""))</f>
        <v/>
      </c>
      <c r="C103" s="7" t="str">
        <f>IF(A103="","","Tier5_Pick1")</f>
        <v/>
      </c>
      <c r="D103" s="7" t="str">
        <f>IF(A103="","",5)</f>
        <v/>
      </c>
      <c r="E103" s="7" t="str">
        <f t="array" ref="E103">IF(A103="","",IFERROR(INDEX(Entries!$J$2:$J$48,13),""))</f>
        <v/>
      </c>
      <c r="F103" s="7" t="str">
        <f>IF(E103="","",IFERROR(_xludf.XLOOKUP(E103,Countries!$A$2:$A$72,Countries!$B$2:$B$72,"???"),"???"))</f>
        <v/>
      </c>
      <c r="G103" s="7">
        <f t="array" ref="G103">IF(E103="",0,IFERROR(XLOOKUP(E103,Countries!$A$2:$A$72,Countries!$E$2:$E$72,0),0))</f>
        <v>0</v>
      </c>
      <c r="H103" s="7">
        <f t="array" ref="H103">IF(E103="",0,IFERROR(XLOOKUP(E103,Medals!$B$2:$B$51,Medals!$D$2:$D$51,0),0))</f>
        <v>0</v>
      </c>
      <c r="I103" s="7">
        <f t="array" ref="I103">IF(E103="",0,IFERROR(XLOOKUP(E103,Medals!$B$2:$B$51,Medals!$E$2:$E$51,0),0))</f>
        <v>0</v>
      </c>
      <c r="J103" s="7">
        <f t="array" ref="J103">IF(E103="",0,IFERROR(XLOOKUP(E103,Medals!$B$2:$B$51,Medals!$F$2:$F$51,0),0))</f>
        <v>0</v>
      </c>
      <c r="K103" s="7">
        <f>H103*GoldPoints*G103</f>
        <v>0</v>
      </c>
      <c r="L103" s="7">
        <f>I103*SilverPoints*G103</f>
        <v>0</v>
      </c>
      <c r="M103" s="7">
        <f>J103*BronzePoints*G103</f>
        <v>0</v>
      </c>
      <c r="N103" s="7">
        <f t="shared" si="1"/>
        <v>0</v>
      </c>
      <c r="O103" s="7" t="b">
        <f t="array" ref="O103">IF(E103="",FALSE,IFERROR(AND(ISNUMBER(MATCH(E103,Countries!$A$2:$A$72,0)),XLOOKUP(E103,Countries!$A$2:$A$72,Countries!$I$2:$I$72,FALSE)),FALSE))</f>
        <v>0</v>
      </c>
      <c r="P103" s="7" t="b">
        <f t="array" ref="P103">IF(E103="",FALSE,IFERROR(XLOOKUP(E103,Countries!$A$2:$A$72,Countries!$G$2:$G$72,FALSE),FALSE))</f>
        <v>0</v>
      </c>
      <c r="Q103" s="7" t="str">
        <f t="shared" si="2"/>
        <v>⚪</v>
      </c>
    </row>
    <row r="104" ht="15.75" customHeight="1">
      <c r="A104" s="7" t="str">
        <f t="array" ref="A104">IFERROR(IF(INDEX(Entries!$C$2:$C$48,13)="","",INDEX(Entries!$Q$2:$Q$48,13)),"")</f>
        <v/>
      </c>
      <c r="B104" s="7" t="str">
        <f t="array" ref="B104">IF(A104="","",IFERROR(INDEX(Entries!$E$2:$E$48,13),""))</f>
        <v/>
      </c>
      <c r="C104" s="7" t="str">
        <f>IF(A104="","","Tier6_Pick1")</f>
        <v/>
      </c>
      <c r="D104" s="7" t="str">
        <f t="shared" ref="D104:D105" si="28">IF(A104="","",6)</f>
        <v/>
      </c>
      <c r="E104" s="7" t="str">
        <f t="array" ref="E104">IF(A104="","",IFERROR(INDEX(Entries!$O$2:$O$48,13),""))</f>
        <v/>
      </c>
      <c r="F104" s="7" t="str">
        <f>IF(E104="","",IFERROR(_xludf.XLOOKUP(E104,Countries!$A$2:$A$72,Countries!$B$2:$B$72,"???"),"???"))</f>
        <v/>
      </c>
      <c r="G104" s="7">
        <f t="array" ref="G104">IF(E104="",0,IFERROR(XLOOKUP(E104,Countries!$A$2:$A$72,Countries!$E$2:$E$72,0),0))</f>
        <v>0</v>
      </c>
      <c r="H104" s="7">
        <f t="array" ref="H104">IF(E104="",0,IFERROR(XLOOKUP(E104,Medals!$B$2:$B$51,Medals!$D$2:$D$51,0),0))</f>
        <v>0</v>
      </c>
      <c r="I104" s="7">
        <f t="array" ref="I104">IF(E104="",0,IFERROR(XLOOKUP(E104,Medals!$B$2:$B$51,Medals!$E$2:$E$51,0),0))</f>
        <v>0</v>
      </c>
      <c r="J104" s="7">
        <f t="array" ref="J104">IF(E104="",0,IFERROR(XLOOKUP(E104,Medals!$B$2:$B$51,Medals!$F$2:$F$51,0),0))</f>
        <v>0</v>
      </c>
      <c r="K104" s="7">
        <f>H104*GoldPoints*G104</f>
        <v>0</v>
      </c>
      <c r="L104" s="7">
        <f>I104*SilverPoints*G104</f>
        <v>0</v>
      </c>
      <c r="M104" s="7">
        <f>J104*BronzePoints*G104</f>
        <v>0</v>
      </c>
      <c r="N104" s="7">
        <f t="shared" si="1"/>
        <v>0</v>
      </c>
      <c r="O104" s="7" t="b">
        <f t="array" ref="O104">IF(E104="",FALSE,IFERROR(AND(ISNUMBER(MATCH(E104,Countries!$A$2:$A$72,0)),XLOOKUP(E104,Countries!$A$2:$A$72,Countries!$I$2:$I$72,FALSE)),FALSE))</f>
        <v>0</v>
      </c>
      <c r="P104" s="7" t="b">
        <f t="array" ref="P104">IF(E104="",FALSE,IFERROR(XLOOKUP(E104,Countries!$A$2:$A$72,Countries!$G$2:$G$72,FALSE),FALSE))</f>
        <v>0</v>
      </c>
      <c r="Q104" s="7" t="str">
        <f t="shared" si="2"/>
        <v>⚪</v>
      </c>
    </row>
    <row r="105" ht="15.75" customHeight="1">
      <c r="A105" s="7" t="str">
        <f t="array" ref="A105">IFERROR(IF(INDEX(Entries!$C$2:$C$48,13)="","",INDEX(Entries!$Q$2:$Q$48,13)),"")</f>
        <v/>
      </c>
      <c r="B105" s="7" t="str">
        <f t="array" ref="B105">IF(A105="","",IFERROR(INDEX(Entries!$E$2:$E$48,13),""))</f>
        <v/>
      </c>
      <c r="C105" s="7" t="str">
        <f>IF(A105="","","Tier6_Pick2")</f>
        <v/>
      </c>
      <c r="D105" s="7" t="str">
        <f t="shared" si="28"/>
        <v/>
      </c>
      <c r="E105" s="7" t="str">
        <f t="array" ref="E105">IF(A105="","",IFERROR(INDEX(Entries!$P$2:$P$48,13),""))</f>
        <v/>
      </c>
      <c r="F105" s="7" t="str">
        <f>IF(E105="","",IFERROR(_xludf.XLOOKUP(E105,Countries!$A$2:$A$72,Countries!$B$2:$B$72,"???"),"???"))</f>
        <v/>
      </c>
      <c r="G105" s="7">
        <f t="array" ref="G105">IF(E105="",0,IFERROR(XLOOKUP(E105,Countries!$A$2:$A$72,Countries!$E$2:$E$72,0),0))</f>
        <v>0</v>
      </c>
      <c r="H105" s="7">
        <f t="array" ref="H105">IF(E105="",0,IFERROR(XLOOKUP(E105,Medals!$B$2:$B$51,Medals!$D$2:$D$51,0),0))</f>
        <v>0</v>
      </c>
      <c r="I105" s="7">
        <f t="array" ref="I105">IF(E105="",0,IFERROR(XLOOKUP(E105,Medals!$B$2:$B$51,Medals!$E$2:$E$51,0),0))</f>
        <v>0</v>
      </c>
      <c r="J105" s="7">
        <f t="array" ref="J105">IF(E105="",0,IFERROR(XLOOKUP(E105,Medals!$B$2:$B$51,Medals!$F$2:$F$51,0),0))</f>
        <v>0</v>
      </c>
      <c r="K105" s="7">
        <f>H105*GoldPoints*G105</f>
        <v>0</v>
      </c>
      <c r="L105" s="7">
        <f>I105*SilverPoints*G105</f>
        <v>0</v>
      </c>
      <c r="M105" s="7">
        <f>J105*BronzePoints*G105</f>
        <v>0</v>
      </c>
      <c r="N105" s="7">
        <f t="shared" si="1"/>
        <v>0</v>
      </c>
      <c r="O105" s="7" t="b">
        <f t="array" ref="O105">IF(E105="",FALSE,IFERROR(AND(ISNUMBER(MATCH(E105,Countries!$A$2:$A$72,0)),XLOOKUP(E105,Countries!$A$2:$A$72,Countries!$I$2:$I$72,FALSE)),FALSE))</f>
        <v>0</v>
      </c>
      <c r="P105" s="7" t="b">
        <f t="array" ref="P105">IF(E105="",FALSE,IFERROR(XLOOKUP(E105,Countries!$A$2:$A$72,Countries!$G$2:$G$72,FALSE),FALSE))</f>
        <v>0</v>
      </c>
      <c r="Q105" s="7" t="str">
        <f t="shared" si="2"/>
        <v>⚪</v>
      </c>
    </row>
    <row r="106" ht="15.75" customHeight="1">
      <c r="A106" s="7" t="str">
        <f t="array" ref="A106">IFERROR(IF(INDEX(Entries!$C$2:$C$48,14)="","",INDEX(Entries!$Q$2:$Q$48,14)),"")</f>
        <v/>
      </c>
      <c r="B106" s="7" t="str">
        <f t="array" ref="B106">IF(A106="","",IFERROR(INDEX(Entries!$E$2:$E$48,14),""))</f>
        <v/>
      </c>
      <c r="C106" s="7" t="str">
        <f>IF(A106="","","Tier1_Pick1")</f>
        <v/>
      </c>
      <c r="D106" s="7" t="str">
        <f>IF(A106="","",1)</f>
        <v/>
      </c>
      <c r="E106" s="7" t="str">
        <f t="array" ref="E106">IF(A106="","",IFERROR(INDEX(Entries!$F$2:$F$48,14),""))</f>
        <v/>
      </c>
      <c r="F106" s="7" t="str">
        <f>IF(E106="","",IFERROR(_xludf.XLOOKUP(E106,Countries!$A$2:$A$72,Countries!$B$2:$B$72,"???"),"???"))</f>
        <v/>
      </c>
      <c r="G106" s="7">
        <f t="array" ref="G106">IF(E106="",0,IFERROR(XLOOKUP(E106,Countries!$A$2:$A$72,Countries!$E$2:$E$72,0),0))</f>
        <v>0</v>
      </c>
      <c r="H106" s="7">
        <f t="array" ref="H106">IF(E106="",0,IFERROR(XLOOKUP(E106,Medals!$B$2:$B$51,Medals!$D$2:$D$51,0),0))</f>
        <v>0</v>
      </c>
      <c r="I106" s="7">
        <f t="array" ref="I106">IF(E106="",0,IFERROR(XLOOKUP(E106,Medals!$B$2:$B$51,Medals!$E$2:$E$51,0),0))</f>
        <v>0</v>
      </c>
      <c r="J106" s="7">
        <f t="array" ref="J106">IF(E106="",0,IFERROR(XLOOKUP(E106,Medals!$B$2:$B$51,Medals!$F$2:$F$51,0),0))</f>
        <v>0</v>
      </c>
      <c r="K106" s="7">
        <f>H106*GoldPoints*G106</f>
        <v>0</v>
      </c>
      <c r="L106" s="7">
        <f>I106*SilverPoints*G106</f>
        <v>0</v>
      </c>
      <c r="M106" s="7">
        <f>J106*BronzePoints*G106</f>
        <v>0</v>
      </c>
      <c r="N106" s="7">
        <f t="shared" si="1"/>
        <v>0</v>
      </c>
      <c r="O106" s="7" t="b">
        <f t="array" ref="O106">IF(E106="",FALSE,IFERROR(AND(ISNUMBER(MATCH(E106,Countries!$A$2:$A$72,0)),XLOOKUP(E106,Countries!$A$2:$A$72,Countries!$I$2:$I$72,FALSE)),FALSE))</f>
        <v>0</v>
      </c>
      <c r="P106" s="7" t="b">
        <f t="array" ref="P106">IF(E106="",FALSE,IFERROR(XLOOKUP(E106,Countries!$A$2:$A$72,Countries!$G$2:$G$72,FALSE),FALSE))</f>
        <v>0</v>
      </c>
      <c r="Q106" s="7" t="str">
        <f t="shared" si="2"/>
        <v>⚪</v>
      </c>
    </row>
    <row r="107" ht="15.75" customHeight="1">
      <c r="A107" s="7" t="str">
        <f t="array" ref="A107">IFERROR(IF(INDEX(Entries!$C$2:$C$48,14)="","",INDEX(Entries!$Q$2:$Q$48,14)),"")</f>
        <v/>
      </c>
      <c r="B107" s="7" t="str">
        <f t="array" ref="B107">IF(A107="","",IFERROR(INDEX(Entries!$E$2:$E$48,14),""))</f>
        <v/>
      </c>
      <c r="C107" s="7" t="str">
        <f>IF(A107="","","Tier2_Pick1")</f>
        <v/>
      </c>
      <c r="D107" s="7" t="str">
        <f t="shared" ref="D107:D108" si="29">IF(A107="","",2)</f>
        <v/>
      </c>
      <c r="E107" s="7" t="str">
        <f t="array" ref="E107">IF(A107="","",IFERROR(INDEX(Entries!$M$2:$M$48,14),""))</f>
        <v/>
      </c>
      <c r="F107" s="7" t="str">
        <f>IF(E107="","",IFERROR(_xludf.XLOOKUP(E107,Countries!$A$2:$A$72,Countries!$B$2:$B$72,"???"),"???"))</f>
        <v/>
      </c>
      <c r="G107" s="7">
        <f t="array" ref="G107">IF(E107="",0,IFERROR(XLOOKUP(E107,Countries!$A$2:$A$72,Countries!$E$2:$E$72,0),0))</f>
        <v>0</v>
      </c>
      <c r="H107" s="7">
        <f t="array" ref="H107">IF(E107="",0,IFERROR(XLOOKUP(E107,Medals!$B$2:$B$51,Medals!$D$2:$D$51,0),0))</f>
        <v>0</v>
      </c>
      <c r="I107" s="7">
        <f t="array" ref="I107">IF(E107="",0,IFERROR(XLOOKUP(E107,Medals!$B$2:$B$51,Medals!$E$2:$E$51,0),0))</f>
        <v>0</v>
      </c>
      <c r="J107" s="7">
        <f t="array" ref="J107">IF(E107="",0,IFERROR(XLOOKUP(E107,Medals!$B$2:$B$51,Medals!$F$2:$F$51,0),0))</f>
        <v>0</v>
      </c>
      <c r="K107" s="7">
        <f>H107*GoldPoints*G107</f>
        <v>0</v>
      </c>
      <c r="L107" s="7">
        <f>I107*SilverPoints*G107</f>
        <v>0</v>
      </c>
      <c r="M107" s="7">
        <f>J107*BronzePoints*G107</f>
        <v>0</v>
      </c>
      <c r="N107" s="7">
        <f t="shared" si="1"/>
        <v>0</v>
      </c>
      <c r="O107" s="7" t="b">
        <f t="array" ref="O107">IF(E107="",FALSE,IFERROR(AND(ISNUMBER(MATCH(E107,Countries!$A$2:$A$72,0)),XLOOKUP(E107,Countries!$A$2:$A$72,Countries!$I$2:$I$72,FALSE)),FALSE))</f>
        <v>0</v>
      </c>
      <c r="P107" s="7" t="b">
        <f t="array" ref="P107">IF(E107="",FALSE,IFERROR(XLOOKUP(E107,Countries!$A$2:$A$72,Countries!$G$2:$G$72,FALSE),FALSE))</f>
        <v>0</v>
      </c>
      <c r="Q107" s="7" t="str">
        <f t="shared" si="2"/>
        <v>⚪</v>
      </c>
    </row>
    <row r="108" ht="15.75" customHeight="1">
      <c r="A108" s="7" t="str">
        <f t="array" ref="A108">IFERROR(IF(INDEX(Entries!$C$2:$C$48,14)="","",INDEX(Entries!$Q$2:$Q$48,14)),"")</f>
        <v/>
      </c>
      <c r="B108" s="7" t="str">
        <f t="array" ref="B108">IF(A108="","",IFERROR(INDEX(Entries!$E$2:$E$48,14),""))</f>
        <v/>
      </c>
      <c r="C108" s="7" t="str">
        <f>IF(A108="","","Tier2_Pick2")</f>
        <v/>
      </c>
      <c r="D108" s="7" t="str">
        <f t="shared" si="29"/>
        <v/>
      </c>
      <c r="E108" s="7" t="str">
        <f t="array" ref="E108">IF(A108="","",IFERROR(INDEX(Entries!$N$2:$N$48,14),""))</f>
        <v/>
      </c>
      <c r="F108" s="7" t="str">
        <f>IF(E108="","",IFERROR(_xludf.XLOOKUP(E108,Countries!$A$2:$A$72,Countries!$B$2:$B$72,"???"),"???"))</f>
        <v/>
      </c>
      <c r="G108" s="7">
        <f t="array" ref="G108">IF(E108="",0,IFERROR(XLOOKUP(E108,Countries!$A$2:$A$72,Countries!$E$2:$E$72,0),0))</f>
        <v>0</v>
      </c>
      <c r="H108" s="7">
        <f t="array" ref="H108">IF(E108="",0,IFERROR(XLOOKUP(E108,Medals!$B$2:$B$51,Medals!$D$2:$D$51,0),0))</f>
        <v>0</v>
      </c>
      <c r="I108" s="7">
        <f t="array" ref="I108">IF(E108="",0,IFERROR(XLOOKUP(E108,Medals!$B$2:$B$51,Medals!$E$2:$E$51,0),0))</f>
        <v>0</v>
      </c>
      <c r="J108" s="7">
        <f t="array" ref="J108">IF(E108="",0,IFERROR(XLOOKUP(E108,Medals!$B$2:$B$51,Medals!$F$2:$F$51,0),0))</f>
        <v>0</v>
      </c>
      <c r="K108" s="7">
        <f>H108*GoldPoints*G108</f>
        <v>0</v>
      </c>
      <c r="L108" s="7">
        <f>I108*SilverPoints*G108</f>
        <v>0</v>
      </c>
      <c r="M108" s="7">
        <f>J108*BronzePoints*G108</f>
        <v>0</v>
      </c>
      <c r="N108" s="7">
        <f t="shared" si="1"/>
        <v>0</v>
      </c>
      <c r="O108" s="7" t="b">
        <f t="array" ref="O108">IF(E108="",FALSE,IFERROR(AND(ISNUMBER(MATCH(E108,Countries!$A$2:$A$72,0)),XLOOKUP(E108,Countries!$A$2:$A$72,Countries!$I$2:$I$72,FALSE)),FALSE))</f>
        <v>0</v>
      </c>
      <c r="P108" s="7" t="b">
        <f t="array" ref="P108">IF(E108="",FALSE,IFERROR(XLOOKUP(E108,Countries!$A$2:$A$72,Countries!$G$2:$G$72,FALSE),FALSE))</f>
        <v>0</v>
      </c>
      <c r="Q108" s="7" t="str">
        <f t="shared" si="2"/>
        <v>⚪</v>
      </c>
    </row>
    <row r="109" ht="15.75" customHeight="1">
      <c r="A109" s="7" t="str">
        <f t="array" ref="A109">IFERROR(IF(INDEX(Entries!$C$2:$C$48,14)="","",INDEX(Entries!$Q$2:$Q$48,14)),"")</f>
        <v/>
      </c>
      <c r="B109" s="7" t="str">
        <f t="array" ref="B109">IF(A109="","",IFERROR(INDEX(Entries!$E$2:$E$48,14),""))</f>
        <v/>
      </c>
      <c r="C109" s="7" t="str">
        <f>IF(A109="","","Tier3_Pick1")</f>
        <v/>
      </c>
      <c r="D109" s="7" t="str">
        <f>IF(A109="","",3)</f>
        <v/>
      </c>
      <c r="E109" s="7" t="str">
        <f t="array" ref="E109">IF(A109="","",IFERROR(INDEX(Entries!$H$2:$H$48,14),""))</f>
        <v/>
      </c>
      <c r="F109" s="7" t="str">
        <f>IF(E109="","",IFERROR(_xludf.XLOOKUP(E109,Countries!$A$2:$A$72,Countries!$B$2:$B$72,"???"),"???"))</f>
        <v/>
      </c>
      <c r="G109" s="7">
        <f t="array" ref="G109">IF(E109="",0,IFERROR(XLOOKUP(E109,Countries!$A$2:$A$72,Countries!$E$2:$E$72,0),0))</f>
        <v>0</v>
      </c>
      <c r="H109" s="7">
        <f t="array" ref="H109">IF(E109="",0,IFERROR(XLOOKUP(E109,Medals!$B$2:$B$51,Medals!$D$2:$D$51,0),0))</f>
        <v>0</v>
      </c>
      <c r="I109" s="7">
        <f t="array" ref="I109">IF(E109="",0,IFERROR(XLOOKUP(E109,Medals!$B$2:$B$51,Medals!$E$2:$E$51,0),0))</f>
        <v>0</v>
      </c>
      <c r="J109" s="7">
        <f t="array" ref="J109">IF(E109="",0,IFERROR(XLOOKUP(E109,Medals!$B$2:$B$51,Medals!$F$2:$F$51,0),0))</f>
        <v>0</v>
      </c>
      <c r="K109" s="7">
        <f>H109*GoldPoints*G109</f>
        <v>0</v>
      </c>
      <c r="L109" s="7">
        <f>I109*SilverPoints*G109</f>
        <v>0</v>
      </c>
      <c r="M109" s="7">
        <f>J109*BronzePoints*G109</f>
        <v>0</v>
      </c>
      <c r="N109" s="7">
        <f t="shared" si="1"/>
        <v>0</v>
      </c>
      <c r="O109" s="7" t="b">
        <f t="array" ref="O109">IF(E109="",FALSE,IFERROR(AND(ISNUMBER(MATCH(E109,Countries!$A$2:$A$72,0)),XLOOKUP(E109,Countries!$A$2:$A$72,Countries!$I$2:$I$72,FALSE)),FALSE))</f>
        <v>0</v>
      </c>
      <c r="P109" s="7" t="b">
        <f t="array" ref="P109">IF(E109="",FALSE,IFERROR(XLOOKUP(E109,Countries!$A$2:$A$72,Countries!$G$2:$G$72,FALSE),FALSE))</f>
        <v>0</v>
      </c>
      <c r="Q109" s="7" t="str">
        <f t="shared" si="2"/>
        <v>⚪</v>
      </c>
    </row>
    <row r="110" ht="15.75" customHeight="1">
      <c r="A110" s="7" t="str">
        <f t="array" ref="A110">IFERROR(IF(INDEX(Entries!$C$2:$C$48,14)="","",INDEX(Entries!$Q$2:$Q$48,14)),"")</f>
        <v/>
      </c>
      <c r="B110" s="7" t="str">
        <f t="array" ref="B110">IF(A110="","",IFERROR(INDEX(Entries!$E$2:$E$48,14),""))</f>
        <v/>
      </c>
      <c r="C110" s="7" t="str">
        <f>IF(A110="","","Tier4_Pick1")</f>
        <v/>
      </c>
      <c r="D110" s="7" t="str">
        <f>IF(A110="","",4)</f>
        <v/>
      </c>
      <c r="E110" s="7" t="str">
        <f t="array" ref="E110">IF(A110="","",IFERROR(INDEX(Entries!$I$2:$I$48,14),""))</f>
        <v/>
      </c>
      <c r="F110" s="7" t="str">
        <f>IF(E110="","",IFERROR(_xludf.XLOOKUP(E110,Countries!$A$2:$A$72,Countries!$B$2:$B$72,"???"),"???"))</f>
        <v/>
      </c>
      <c r="G110" s="7">
        <f t="array" ref="G110">IF(E110="",0,IFERROR(XLOOKUP(E110,Countries!$A$2:$A$72,Countries!$E$2:$E$72,0),0))</f>
        <v>0</v>
      </c>
      <c r="H110" s="7">
        <f t="array" ref="H110">IF(E110="",0,IFERROR(XLOOKUP(E110,Medals!$B$2:$B$51,Medals!$D$2:$D$51,0),0))</f>
        <v>0</v>
      </c>
      <c r="I110" s="7">
        <f t="array" ref="I110">IF(E110="",0,IFERROR(XLOOKUP(E110,Medals!$B$2:$B$51,Medals!$E$2:$E$51,0),0))</f>
        <v>0</v>
      </c>
      <c r="J110" s="7">
        <f t="array" ref="J110">IF(E110="",0,IFERROR(XLOOKUP(E110,Medals!$B$2:$B$51,Medals!$F$2:$F$51,0),0))</f>
        <v>0</v>
      </c>
      <c r="K110" s="7">
        <f>H110*GoldPoints*G110</f>
        <v>0</v>
      </c>
      <c r="L110" s="7">
        <f>I110*SilverPoints*G110</f>
        <v>0</v>
      </c>
      <c r="M110" s="7">
        <f>J110*BronzePoints*G110</f>
        <v>0</v>
      </c>
      <c r="N110" s="7">
        <f t="shared" si="1"/>
        <v>0</v>
      </c>
      <c r="O110" s="7" t="b">
        <f t="array" ref="O110">IF(E110="",FALSE,IFERROR(AND(ISNUMBER(MATCH(E110,Countries!$A$2:$A$72,0)),XLOOKUP(E110,Countries!$A$2:$A$72,Countries!$I$2:$I$72,FALSE)),FALSE))</f>
        <v>0</v>
      </c>
      <c r="P110" s="7" t="b">
        <f t="array" ref="P110">IF(E110="",FALSE,IFERROR(XLOOKUP(E110,Countries!$A$2:$A$72,Countries!$G$2:$G$72,FALSE),FALSE))</f>
        <v>0</v>
      </c>
      <c r="Q110" s="7" t="str">
        <f t="shared" si="2"/>
        <v>⚪</v>
      </c>
    </row>
    <row r="111" ht="15.75" customHeight="1">
      <c r="A111" s="7" t="str">
        <f t="array" ref="A111">IFERROR(IF(INDEX(Entries!$C$2:$C$48,14)="","",INDEX(Entries!$Q$2:$Q$48,14)),"")</f>
        <v/>
      </c>
      <c r="B111" s="7" t="str">
        <f t="array" ref="B111">IF(A111="","",IFERROR(INDEX(Entries!$E$2:$E$48,14),""))</f>
        <v/>
      </c>
      <c r="C111" s="7" t="str">
        <f>IF(A111="","","Tier5_Pick1")</f>
        <v/>
      </c>
      <c r="D111" s="7" t="str">
        <f>IF(A111="","",5)</f>
        <v/>
      </c>
      <c r="E111" s="7" t="str">
        <f t="array" ref="E111">IF(A111="","",IFERROR(INDEX(Entries!$J$2:$J$48,14),""))</f>
        <v/>
      </c>
      <c r="F111" s="7" t="str">
        <f>IF(E111="","",IFERROR(_xludf.XLOOKUP(E111,Countries!$A$2:$A$72,Countries!$B$2:$B$72,"???"),"???"))</f>
        <v/>
      </c>
      <c r="G111" s="7">
        <f t="array" ref="G111">IF(E111="",0,IFERROR(XLOOKUP(E111,Countries!$A$2:$A$72,Countries!$E$2:$E$72,0),0))</f>
        <v>0</v>
      </c>
      <c r="H111" s="7">
        <f t="array" ref="H111">IF(E111="",0,IFERROR(XLOOKUP(E111,Medals!$B$2:$B$51,Medals!$D$2:$D$51,0),0))</f>
        <v>0</v>
      </c>
      <c r="I111" s="7">
        <f t="array" ref="I111">IF(E111="",0,IFERROR(XLOOKUP(E111,Medals!$B$2:$B$51,Medals!$E$2:$E$51,0),0))</f>
        <v>0</v>
      </c>
      <c r="J111" s="7">
        <f t="array" ref="J111">IF(E111="",0,IFERROR(XLOOKUP(E111,Medals!$B$2:$B$51,Medals!$F$2:$F$51,0),0))</f>
        <v>0</v>
      </c>
      <c r="K111" s="7">
        <f>H111*GoldPoints*G111</f>
        <v>0</v>
      </c>
      <c r="L111" s="7">
        <f>I111*SilverPoints*G111</f>
        <v>0</v>
      </c>
      <c r="M111" s="7">
        <f>J111*BronzePoints*G111</f>
        <v>0</v>
      </c>
      <c r="N111" s="7">
        <f t="shared" si="1"/>
        <v>0</v>
      </c>
      <c r="O111" s="7" t="b">
        <f t="array" ref="O111">IF(E111="",FALSE,IFERROR(AND(ISNUMBER(MATCH(E111,Countries!$A$2:$A$72,0)),XLOOKUP(E111,Countries!$A$2:$A$72,Countries!$I$2:$I$72,FALSE)),FALSE))</f>
        <v>0</v>
      </c>
      <c r="P111" s="7" t="b">
        <f t="array" ref="P111">IF(E111="",FALSE,IFERROR(XLOOKUP(E111,Countries!$A$2:$A$72,Countries!$G$2:$G$72,FALSE),FALSE))</f>
        <v>0</v>
      </c>
      <c r="Q111" s="7" t="str">
        <f t="shared" si="2"/>
        <v>⚪</v>
      </c>
    </row>
    <row r="112" ht="15.75" customHeight="1">
      <c r="A112" s="7" t="str">
        <f t="array" ref="A112">IFERROR(IF(INDEX(Entries!$C$2:$C$48,14)="","",INDEX(Entries!$Q$2:$Q$48,14)),"")</f>
        <v/>
      </c>
      <c r="B112" s="7" t="str">
        <f t="array" ref="B112">IF(A112="","",IFERROR(INDEX(Entries!$E$2:$E$48,14),""))</f>
        <v/>
      </c>
      <c r="C112" s="7" t="str">
        <f>IF(A112="","","Tier6_Pick1")</f>
        <v/>
      </c>
      <c r="D112" s="7" t="str">
        <f t="shared" ref="D112:D113" si="30">IF(A112="","",6)</f>
        <v/>
      </c>
      <c r="E112" s="7" t="str">
        <f t="array" ref="E112">IF(A112="","",IFERROR(INDEX(Entries!$O$2:$O$48,14),""))</f>
        <v/>
      </c>
      <c r="F112" s="7" t="str">
        <f>IF(E112="","",IFERROR(_xludf.XLOOKUP(E112,Countries!$A$2:$A$72,Countries!$B$2:$B$72,"???"),"???"))</f>
        <v/>
      </c>
      <c r="G112" s="7">
        <f t="array" ref="G112">IF(E112="",0,IFERROR(XLOOKUP(E112,Countries!$A$2:$A$72,Countries!$E$2:$E$72,0),0))</f>
        <v>0</v>
      </c>
      <c r="H112" s="7">
        <f t="array" ref="H112">IF(E112="",0,IFERROR(XLOOKUP(E112,Medals!$B$2:$B$51,Medals!$D$2:$D$51,0),0))</f>
        <v>0</v>
      </c>
      <c r="I112" s="7">
        <f t="array" ref="I112">IF(E112="",0,IFERROR(XLOOKUP(E112,Medals!$B$2:$B$51,Medals!$E$2:$E$51,0),0))</f>
        <v>0</v>
      </c>
      <c r="J112" s="7">
        <f t="array" ref="J112">IF(E112="",0,IFERROR(XLOOKUP(E112,Medals!$B$2:$B$51,Medals!$F$2:$F$51,0),0))</f>
        <v>0</v>
      </c>
      <c r="K112" s="7">
        <f>H112*GoldPoints*G112</f>
        <v>0</v>
      </c>
      <c r="L112" s="7">
        <f>I112*SilverPoints*G112</f>
        <v>0</v>
      </c>
      <c r="M112" s="7">
        <f>J112*BronzePoints*G112</f>
        <v>0</v>
      </c>
      <c r="N112" s="7">
        <f t="shared" si="1"/>
        <v>0</v>
      </c>
      <c r="O112" s="7" t="b">
        <f t="array" ref="O112">IF(E112="",FALSE,IFERROR(AND(ISNUMBER(MATCH(E112,Countries!$A$2:$A$72,0)),XLOOKUP(E112,Countries!$A$2:$A$72,Countries!$I$2:$I$72,FALSE)),FALSE))</f>
        <v>0</v>
      </c>
      <c r="P112" s="7" t="b">
        <f t="array" ref="P112">IF(E112="",FALSE,IFERROR(XLOOKUP(E112,Countries!$A$2:$A$72,Countries!$G$2:$G$72,FALSE),FALSE))</f>
        <v>0</v>
      </c>
      <c r="Q112" s="7" t="str">
        <f t="shared" si="2"/>
        <v>⚪</v>
      </c>
    </row>
    <row r="113" ht="15.75" customHeight="1">
      <c r="A113" s="7" t="str">
        <f t="array" ref="A113">IFERROR(IF(INDEX(Entries!$C$2:$C$48,14)="","",INDEX(Entries!$Q$2:$Q$48,14)),"")</f>
        <v/>
      </c>
      <c r="B113" s="7" t="str">
        <f t="array" ref="B113">IF(A113="","",IFERROR(INDEX(Entries!$E$2:$E$48,14),""))</f>
        <v/>
      </c>
      <c r="C113" s="7" t="str">
        <f>IF(A113="","","Tier6_Pick2")</f>
        <v/>
      </c>
      <c r="D113" s="7" t="str">
        <f t="shared" si="30"/>
        <v/>
      </c>
      <c r="E113" s="7" t="str">
        <f t="array" ref="E113">IF(A113="","",IFERROR(INDEX(Entries!$P$2:$P$48,14),""))</f>
        <v/>
      </c>
      <c r="F113" s="7" t="str">
        <f>IF(E113="","",IFERROR(_xludf.XLOOKUP(E113,Countries!$A$2:$A$72,Countries!$B$2:$B$72,"???"),"???"))</f>
        <v/>
      </c>
      <c r="G113" s="7">
        <f t="array" ref="G113">IF(E113="",0,IFERROR(XLOOKUP(E113,Countries!$A$2:$A$72,Countries!$E$2:$E$72,0),0))</f>
        <v>0</v>
      </c>
      <c r="H113" s="7">
        <f t="array" ref="H113">IF(E113="",0,IFERROR(XLOOKUP(E113,Medals!$B$2:$B$51,Medals!$D$2:$D$51,0),0))</f>
        <v>0</v>
      </c>
      <c r="I113" s="7">
        <f t="array" ref="I113">IF(E113="",0,IFERROR(XLOOKUP(E113,Medals!$B$2:$B$51,Medals!$E$2:$E$51,0),0))</f>
        <v>0</v>
      </c>
      <c r="J113" s="7">
        <f t="array" ref="J113">IF(E113="",0,IFERROR(XLOOKUP(E113,Medals!$B$2:$B$51,Medals!$F$2:$F$51,0),0))</f>
        <v>0</v>
      </c>
      <c r="K113" s="7">
        <f>H113*GoldPoints*G113</f>
        <v>0</v>
      </c>
      <c r="L113" s="7">
        <f>I113*SilverPoints*G113</f>
        <v>0</v>
      </c>
      <c r="M113" s="7">
        <f>J113*BronzePoints*G113</f>
        <v>0</v>
      </c>
      <c r="N113" s="7">
        <f t="shared" si="1"/>
        <v>0</v>
      </c>
      <c r="O113" s="7" t="b">
        <f t="array" ref="O113">IF(E113="",FALSE,IFERROR(AND(ISNUMBER(MATCH(E113,Countries!$A$2:$A$72,0)),XLOOKUP(E113,Countries!$A$2:$A$72,Countries!$I$2:$I$72,FALSE)),FALSE))</f>
        <v>0</v>
      </c>
      <c r="P113" s="7" t="b">
        <f t="array" ref="P113">IF(E113="",FALSE,IFERROR(XLOOKUP(E113,Countries!$A$2:$A$72,Countries!$G$2:$G$72,FALSE),FALSE))</f>
        <v>0</v>
      </c>
      <c r="Q113" s="7" t="str">
        <f t="shared" si="2"/>
        <v>⚪</v>
      </c>
    </row>
    <row r="114" ht="15.75" customHeight="1">
      <c r="A114" s="7" t="str">
        <f t="array" ref="A114">IFERROR(IF(INDEX(Entries!$C$2:$C$48,15)="","",INDEX(Entries!$Q$2:$Q$48,15)),"")</f>
        <v/>
      </c>
      <c r="B114" s="7" t="str">
        <f t="array" ref="B114">IF(A114="","",IFERROR(INDEX(Entries!$E$2:$E$48,15),""))</f>
        <v/>
      </c>
      <c r="C114" s="7" t="str">
        <f>IF(A114="","","Tier1_Pick1")</f>
        <v/>
      </c>
      <c r="D114" s="7" t="str">
        <f>IF(A114="","",1)</f>
        <v/>
      </c>
      <c r="E114" s="7" t="str">
        <f t="array" ref="E114">IF(A114="","",IFERROR(INDEX(Entries!$F$2:$F$48,15),""))</f>
        <v/>
      </c>
      <c r="F114" s="7" t="str">
        <f>IF(E114="","",IFERROR(_xludf.XLOOKUP(E114,Countries!$A$2:$A$72,Countries!$B$2:$B$72,"???"),"???"))</f>
        <v/>
      </c>
      <c r="G114" s="7">
        <f t="array" ref="G114">IF(E114="",0,IFERROR(XLOOKUP(E114,Countries!$A$2:$A$72,Countries!$E$2:$E$72,0),0))</f>
        <v>0</v>
      </c>
      <c r="H114" s="7">
        <f t="array" ref="H114">IF(E114="",0,IFERROR(XLOOKUP(E114,Medals!$B$2:$B$51,Medals!$D$2:$D$51,0),0))</f>
        <v>0</v>
      </c>
      <c r="I114" s="7">
        <f t="array" ref="I114">IF(E114="",0,IFERROR(XLOOKUP(E114,Medals!$B$2:$B$51,Medals!$E$2:$E$51,0),0))</f>
        <v>0</v>
      </c>
      <c r="J114" s="7">
        <f t="array" ref="J114">IF(E114="",0,IFERROR(XLOOKUP(E114,Medals!$B$2:$B$51,Medals!$F$2:$F$51,0),0))</f>
        <v>0</v>
      </c>
      <c r="K114" s="7">
        <f>H114*GoldPoints*G114</f>
        <v>0</v>
      </c>
      <c r="L114" s="7">
        <f>I114*SilverPoints*G114</f>
        <v>0</v>
      </c>
      <c r="M114" s="7">
        <f>J114*BronzePoints*G114</f>
        <v>0</v>
      </c>
      <c r="N114" s="7">
        <f t="shared" si="1"/>
        <v>0</v>
      </c>
      <c r="O114" s="7" t="b">
        <f t="array" ref="O114">IF(E114="",FALSE,IFERROR(AND(ISNUMBER(MATCH(E114,Countries!$A$2:$A$72,0)),XLOOKUP(E114,Countries!$A$2:$A$72,Countries!$I$2:$I$72,FALSE)),FALSE))</f>
        <v>0</v>
      </c>
      <c r="P114" s="7" t="b">
        <f t="array" ref="P114">IF(E114="",FALSE,IFERROR(XLOOKUP(E114,Countries!$A$2:$A$72,Countries!$G$2:$G$72,FALSE),FALSE))</f>
        <v>0</v>
      </c>
      <c r="Q114" s="7" t="str">
        <f t="shared" si="2"/>
        <v>⚪</v>
      </c>
    </row>
    <row r="115" ht="15.75" customHeight="1">
      <c r="A115" s="7" t="str">
        <f t="array" ref="A115">IFERROR(IF(INDEX(Entries!$C$2:$C$48,15)="","",INDEX(Entries!$Q$2:$Q$48,15)),"")</f>
        <v/>
      </c>
      <c r="B115" s="7" t="str">
        <f t="array" ref="B115">IF(A115="","",IFERROR(INDEX(Entries!$E$2:$E$48,15),""))</f>
        <v/>
      </c>
      <c r="C115" s="7" t="str">
        <f>IF(A115="","","Tier2_Pick1")</f>
        <v/>
      </c>
      <c r="D115" s="7" t="str">
        <f t="shared" ref="D115:D116" si="31">IF(A115="","",2)</f>
        <v/>
      </c>
      <c r="E115" s="7" t="str">
        <f t="array" ref="E115">IF(A115="","",IFERROR(INDEX(Entries!$M$2:$M$48,15),""))</f>
        <v/>
      </c>
      <c r="F115" s="7" t="str">
        <f>IF(E115="","",IFERROR(_xludf.XLOOKUP(E115,Countries!$A$2:$A$72,Countries!$B$2:$B$72,"???"),"???"))</f>
        <v/>
      </c>
      <c r="G115" s="7">
        <f t="array" ref="G115">IF(E115="",0,IFERROR(XLOOKUP(E115,Countries!$A$2:$A$72,Countries!$E$2:$E$72,0),0))</f>
        <v>0</v>
      </c>
      <c r="H115" s="7">
        <f t="array" ref="H115">IF(E115="",0,IFERROR(XLOOKUP(E115,Medals!$B$2:$B$51,Medals!$D$2:$D$51,0),0))</f>
        <v>0</v>
      </c>
      <c r="I115" s="7">
        <f t="array" ref="I115">IF(E115="",0,IFERROR(XLOOKUP(E115,Medals!$B$2:$B$51,Medals!$E$2:$E$51,0),0))</f>
        <v>0</v>
      </c>
      <c r="J115" s="7">
        <f t="array" ref="J115">IF(E115="",0,IFERROR(XLOOKUP(E115,Medals!$B$2:$B$51,Medals!$F$2:$F$51,0),0))</f>
        <v>0</v>
      </c>
      <c r="K115" s="7">
        <f>H115*GoldPoints*G115</f>
        <v>0</v>
      </c>
      <c r="L115" s="7">
        <f>I115*SilverPoints*G115</f>
        <v>0</v>
      </c>
      <c r="M115" s="7">
        <f>J115*BronzePoints*G115</f>
        <v>0</v>
      </c>
      <c r="N115" s="7">
        <f t="shared" si="1"/>
        <v>0</v>
      </c>
      <c r="O115" s="7" t="b">
        <f t="array" ref="O115">IF(E115="",FALSE,IFERROR(AND(ISNUMBER(MATCH(E115,Countries!$A$2:$A$72,0)),XLOOKUP(E115,Countries!$A$2:$A$72,Countries!$I$2:$I$72,FALSE)),FALSE))</f>
        <v>0</v>
      </c>
      <c r="P115" s="7" t="b">
        <f t="array" ref="P115">IF(E115="",FALSE,IFERROR(XLOOKUP(E115,Countries!$A$2:$A$72,Countries!$G$2:$G$72,FALSE),FALSE))</f>
        <v>0</v>
      </c>
      <c r="Q115" s="7" t="str">
        <f t="shared" si="2"/>
        <v>⚪</v>
      </c>
    </row>
    <row r="116" ht="15.75" customHeight="1">
      <c r="A116" s="7" t="str">
        <f t="array" ref="A116">IFERROR(IF(INDEX(Entries!$C$2:$C$48,15)="","",INDEX(Entries!$Q$2:$Q$48,15)),"")</f>
        <v/>
      </c>
      <c r="B116" s="7" t="str">
        <f t="array" ref="B116">IF(A116="","",IFERROR(INDEX(Entries!$E$2:$E$48,15),""))</f>
        <v/>
      </c>
      <c r="C116" s="7" t="str">
        <f>IF(A116="","","Tier2_Pick2")</f>
        <v/>
      </c>
      <c r="D116" s="7" t="str">
        <f t="shared" si="31"/>
        <v/>
      </c>
      <c r="E116" s="7" t="str">
        <f t="array" ref="E116">IF(A116="","",IFERROR(INDEX(Entries!$N$2:$N$48,15),""))</f>
        <v/>
      </c>
      <c r="F116" s="7" t="str">
        <f>IF(E116="","",IFERROR(_xludf.XLOOKUP(E116,Countries!$A$2:$A$72,Countries!$B$2:$B$72,"???"),"???"))</f>
        <v/>
      </c>
      <c r="G116" s="7">
        <f t="array" ref="G116">IF(E116="",0,IFERROR(XLOOKUP(E116,Countries!$A$2:$A$72,Countries!$E$2:$E$72,0),0))</f>
        <v>0</v>
      </c>
      <c r="H116" s="7">
        <f t="array" ref="H116">IF(E116="",0,IFERROR(XLOOKUP(E116,Medals!$B$2:$B$51,Medals!$D$2:$D$51,0),0))</f>
        <v>0</v>
      </c>
      <c r="I116" s="7">
        <f t="array" ref="I116">IF(E116="",0,IFERROR(XLOOKUP(E116,Medals!$B$2:$B$51,Medals!$E$2:$E$51,0),0))</f>
        <v>0</v>
      </c>
      <c r="J116" s="7">
        <f t="array" ref="J116">IF(E116="",0,IFERROR(XLOOKUP(E116,Medals!$B$2:$B$51,Medals!$F$2:$F$51,0),0))</f>
        <v>0</v>
      </c>
      <c r="K116" s="7">
        <f>H116*GoldPoints*G116</f>
        <v>0</v>
      </c>
      <c r="L116" s="7">
        <f>I116*SilverPoints*G116</f>
        <v>0</v>
      </c>
      <c r="M116" s="7">
        <f>J116*BronzePoints*G116</f>
        <v>0</v>
      </c>
      <c r="N116" s="7">
        <f t="shared" si="1"/>
        <v>0</v>
      </c>
      <c r="O116" s="7" t="b">
        <f t="array" ref="O116">IF(E116="",FALSE,IFERROR(AND(ISNUMBER(MATCH(E116,Countries!$A$2:$A$72,0)),XLOOKUP(E116,Countries!$A$2:$A$72,Countries!$I$2:$I$72,FALSE)),FALSE))</f>
        <v>0</v>
      </c>
      <c r="P116" s="7" t="b">
        <f t="array" ref="P116">IF(E116="",FALSE,IFERROR(XLOOKUP(E116,Countries!$A$2:$A$72,Countries!$G$2:$G$72,FALSE),FALSE))</f>
        <v>0</v>
      </c>
      <c r="Q116" s="7" t="str">
        <f t="shared" si="2"/>
        <v>⚪</v>
      </c>
    </row>
    <row r="117" ht="15.75" customHeight="1">
      <c r="A117" s="7" t="str">
        <f t="array" ref="A117">IFERROR(IF(INDEX(Entries!$C$2:$C$48,15)="","",INDEX(Entries!$Q$2:$Q$48,15)),"")</f>
        <v/>
      </c>
      <c r="B117" s="7" t="str">
        <f t="array" ref="B117">IF(A117="","",IFERROR(INDEX(Entries!$E$2:$E$48,15),""))</f>
        <v/>
      </c>
      <c r="C117" s="7" t="str">
        <f>IF(A117="","","Tier3_Pick1")</f>
        <v/>
      </c>
      <c r="D117" s="7" t="str">
        <f>IF(A117="","",3)</f>
        <v/>
      </c>
      <c r="E117" s="7" t="str">
        <f t="array" ref="E117">IF(A117="","",IFERROR(INDEX(Entries!$H$2:$H$48,15),""))</f>
        <v/>
      </c>
      <c r="F117" s="7" t="str">
        <f>IF(E117="","",IFERROR(_xludf.XLOOKUP(E117,Countries!$A$2:$A$72,Countries!$B$2:$B$72,"???"),"???"))</f>
        <v/>
      </c>
      <c r="G117" s="7">
        <f t="array" ref="G117">IF(E117="",0,IFERROR(XLOOKUP(E117,Countries!$A$2:$A$72,Countries!$E$2:$E$72,0),0))</f>
        <v>0</v>
      </c>
      <c r="H117" s="7">
        <f t="array" ref="H117">IF(E117="",0,IFERROR(XLOOKUP(E117,Medals!$B$2:$B$51,Medals!$D$2:$D$51,0),0))</f>
        <v>0</v>
      </c>
      <c r="I117" s="7">
        <f t="array" ref="I117">IF(E117="",0,IFERROR(XLOOKUP(E117,Medals!$B$2:$B$51,Medals!$E$2:$E$51,0),0))</f>
        <v>0</v>
      </c>
      <c r="J117" s="7">
        <f t="array" ref="J117">IF(E117="",0,IFERROR(XLOOKUP(E117,Medals!$B$2:$B$51,Medals!$F$2:$F$51,0),0))</f>
        <v>0</v>
      </c>
      <c r="K117" s="7">
        <f>H117*GoldPoints*G117</f>
        <v>0</v>
      </c>
      <c r="L117" s="7">
        <f>I117*SilverPoints*G117</f>
        <v>0</v>
      </c>
      <c r="M117" s="7">
        <f>J117*BronzePoints*G117</f>
        <v>0</v>
      </c>
      <c r="N117" s="7">
        <f t="shared" si="1"/>
        <v>0</v>
      </c>
      <c r="O117" s="7" t="b">
        <f t="array" ref="O117">IF(E117="",FALSE,IFERROR(AND(ISNUMBER(MATCH(E117,Countries!$A$2:$A$72,0)),XLOOKUP(E117,Countries!$A$2:$A$72,Countries!$I$2:$I$72,FALSE)),FALSE))</f>
        <v>0</v>
      </c>
      <c r="P117" s="7" t="b">
        <f t="array" ref="P117">IF(E117="",FALSE,IFERROR(XLOOKUP(E117,Countries!$A$2:$A$72,Countries!$G$2:$G$72,FALSE),FALSE))</f>
        <v>0</v>
      </c>
      <c r="Q117" s="7" t="str">
        <f t="shared" si="2"/>
        <v>⚪</v>
      </c>
    </row>
    <row r="118" ht="15.75" customHeight="1">
      <c r="A118" s="7" t="str">
        <f t="array" ref="A118">IFERROR(IF(INDEX(Entries!$C$2:$C$48,15)="","",INDEX(Entries!$Q$2:$Q$48,15)),"")</f>
        <v/>
      </c>
      <c r="B118" s="7" t="str">
        <f t="array" ref="B118">IF(A118="","",IFERROR(INDEX(Entries!$E$2:$E$48,15),""))</f>
        <v/>
      </c>
      <c r="C118" s="7" t="str">
        <f>IF(A118="","","Tier4_Pick1")</f>
        <v/>
      </c>
      <c r="D118" s="7" t="str">
        <f>IF(A118="","",4)</f>
        <v/>
      </c>
      <c r="E118" s="7" t="str">
        <f t="array" ref="E118">IF(A118="","",IFERROR(INDEX(Entries!$I$2:$I$48,15),""))</f>
        <v/>
      </c>
      <c r="F118" s="7" t="str">
        <f>IF(E118="","",IFERROR(_xludf.XLOOKUP(E118,Countries!$A$2:$A$72,Countries!$B$2:$B$72,"???"),"???"))</f>
        <v/>
      </c>
      <c r="G118" s="7">
        <f t="array" ref="G118">IF(E118="",0,IFERROR(XLOOKUP(E118,Countries!$A$2:$A$72,Countries!$E$2:$E$72,0),0))</f>
        <v>0</v>
      </c>
      <c r="H118" s="7">
        <f t="array" ref="H118">IF(E118="",0,IFERROR(XLOOKUP(E118,Medals!$B$2:$B$51,Medals!$D$2:$D$51,0),0))</f>
        <v>0</v>
      </c>
      <c r="I118" s="7">
        <f t="array" ref="I118">IF(E118="",0,IFERROR(XLOOKUP(E118,Medals!$B$2:$B$51,Medals!$E$2:$E$51,0),0))</f>
        <v>0</v>
      </c>
      <c r="J118" s="7">
        <f t="array" ref="J118">IF(E118="",0,IFERROR(XLOOKUP(E118,Medals!$B$2:$B$51,Medals!$F$2:$F$51,0),0))</f>
        <v>0</v>
      </c>
      <c r="K118" s="7">
        <f>H118*GoldPoints*G118</f>
        <v>0</v>
      </c>
      <c r="L118" s="7">
        <f>I118*SilverPoints*G118</f>
        <v>0</v>
      </c>
      <c r="M118" s="7">
        <f>J118*BronzePoints*G118</f>
        <v>0</v>
      </c>
      <c r="N118" s="7">
        <f t="shared" si="1"/>
        <v>0</v>
      </c>
      <c r="O118" s="7" t="b">
        <f t="array" ref="O118">IF(E118="",FALSE,IFERROR(AND(ISNUMBER(MATCH(E118,Countries!$A$2:$A$72,0)),XLOOKUP(E118,Countries!$A$2:$A$72,Countries!$I$2:$I$72,FALSE)),FALSE))</f>
        <v>0</v>
      </c>
      <c r="P118" s="7" t="b">
        <f t="array" ref="P118">IF(E118="",FALSE,IFERROR(XLOOKUP(E118,Countries!$A$2:$A$72,Countries!$G$2:$G$72,FALSE),FALSE))</f>
        <v>0</v>
      </c>
      <c r="Q118" s="7" t="str">
        <f t="shared" si="2"/>
        <v>⚪</v>
      </c>
    </row>
    <row r="119" ht="15.75" customHeight="1">
      <c r="A119" s="7" t="str">
        <f t="array" ref="A119">IFERROR(IF(INDEX(Entries!$C$2:$C$48,15)="","",INDEX(Entries!$Q$2:$Q$48,15)),"")</f>
        <v/>
      </c>
      <c r="B119" s="7" t="str">
        <f t="array" ref="B119">IF(A119="","",IFERROR(INDEX(Entries!$E$2:$E$48,15),""))</f>
        <v/>
      </c>
      <c r="C119" s="7" t="str">
        <f>IF(A119="","","Tier5_Pick1")</f>
        <v/>
      </c>
      <c r="D119" s="7" t="str">
        <f>IF(A119="","",5)</f>
        <v/>
      </c>
      <c r="E119" s="7" t="str">
        <f t="array" ref="E119">IF(A119="","",IFERROR(INDEX(Entries!$J$2:$J$48,15),""))</f>
        <v/>
      </c>
      <c r="F119" s="7" t="str">
        <f>IF(E119="","",IFERROR(_xludf.XLOOKUP(E119,Countries!$A$2:$A$72,Countries!$B$2:$B$72,"???"),"???"))</f>
        <v/>
      </c>
      <c r="G119" s="7">
        <f t="array" ref="G119">IF(E119="",0,IFERROR(XLOOKUP(E119,Countries!$A$2:$A$72,Countries!$E$2:$E$72,0),0))</f>
        <v>0</v>
      </c>
      <c r="H119" s="7">
        <f t="array" ref="H119">IF(E119="",0,IFERROR(XLOOKUP(E119,Medals!$B$2:$B$51,Medals!$D$2:$D$51,0),0))</f>
        <v>0</v>
      </c>
      <c r="I119" s="7">
        <f t="array" ref="I119">IF(E119="",0,IFERROR(XLOOKUP(E119,Medals!$B$2:$B$51,Medals!$E$2:$E$51,0),0))</f>
        <v>0</v>
      </c>
      <c r="J119" s="7">
        <f t="array" ref="J119">IF(E119="",0,IFERROR(XLOOKUP(E119,Medals!$B$2:$B$51,Medals!$F$2:$F$51,0),0))</f>
        <v>0</v>
      </c>
      <c r="K119" s="7">
        <f>H119*GoldPoints*G119</f>
        <v>0</v>
      </c>
      <c r="L119" s="7">
        <f>I119*SilverPoints*G119</f>
        <v>0</v>
      </c>
      <c r="M119" s="7">
        <f>J119*BronzePoints*G119</f>
        <v>0</v>
      </c>
      <c r="N119" s="7">
        <f t="shared" si="1"/>
        <v>0</v>
      </c>
      <c r="O119" s="7" t="b">
        <f t="array" ref="O119">IF(E119="",FALSE,IFERROR(AND(ISNUMBER(MATCH(E119,Countries!$A$2:$A$72,0)),XLOOKUP(E119,Countries!$A$2:$A$72,Countries!$I$2:$I$72,FALSE)),FALSE))</f>
        <v>0</v>
      </c>
      <c r="P119" s="7" t="b">
        <f t="array" ref="P119">IF(E119="",FALSE,IFERROR(XLOOKUP(E119,Countries!$A$2:$A$72,Countries!$G$2:$G$72,FALSE),FALSE))</f>
        <v>0</v>
      </c>
      <c r="Q119" s="7" t="str">
        <f t="shared" si="2"/>
        <v>⚪</v>
      </c>
    </row>
    <row r="120" ht="15.75" customHeight="1">
      <c r="A120" s="7" t="str">
        <f t="array" ref="A120">IFERROR(IF(INDEX(Entries!$C$2:$C$48,15)="","",INDEX(Entries!$Q$2:$Q$48,15)),"")</f>
        <v/>
      </c>
      <c r="B120" s="7" t="str">
        <f t="array" ref="B120">IF(A120="","",IFERROR(INDEX(Entries!$E$2:$E$48,15),""))</f>
        <v/>
      </c>
      <c r="C120" s="7" t="str">
        <f>IF(A120="","","Tier6_Pick1")</f>
        <v/>
      </c>
      <c r="D120" s="7" t="str">
        <f t="shared" ref="D120:D121" si="32">IF(A120="","",6)</f>
        <v/>
      </c>
      <c r="E120" s="7" t="str">
        <f t="array" ref="E120">IF(A120="","",IFERROR(INDEX(Entries!$O$2:$O$48,15),""))</f>
        <v/>
      </c>
      <c r="F120" s="7" t="str">
        <f>IF(E120="","",IFERROR(_xludf.XLOOKUP(E120,Countries!$A$2:$A$72,Countries!$B$2:$B$72,"???"),"???"))</f>
        <v/>
      </c>
      <c r="G120" s="7">
        <f t="array" ref="G120">IF(E120="",0,IFERROR(XLOOKUP(E120,Countries!$A$2:$A$72,Countries!$E$2:$E$72,0),0))</f>
        <v>0</v>
      </c>
      <c r="H120" s="7">
        <f t="array" ref="H120">IF(E120="",0,IFERROR(XLOOKUP(E120,Medals!$B$2:$B$51,Medals!$D$2:$D$51,0),0))</f>
        <v>0</v>
      </c>
      <c r="I120" s="7">
        <f t="array" ref="I120">IF(E120="",0,IFERROR(XLOOKUP(E120,Medals!$B$2:$B$51,Medals!$E$2:$E$51,0),0))</f>
        <v>0</v>
      </c>
      <c r="J120" s="7">
        <f t="array" ref="J120">IF(E120="",0,IFERROR(XLOOKUP(E120,Medals!$B$2:$B$51,Medals!$F$2:$F$51,0),0))</f>
        <v>0</v>
      </c>
      <c r="K120" s="7">
        <f>H120*GoldPoints*G120</f>
        <v>0</v>
      </c>
      <c r="L120" s="7">
        <f>I120*SilverPoints*G120</f>
        <v>0</v>
      </c>
      <c r="M120" s="7">
        <f>J120*BronzePoints*G120</f>
        <v>0</v>
      </c>
      <c r="N120" s="7">
        <f t="shared" si="1"/>
        <v>0</v>
      </c>
      <c r="O120" s="7" t="b">
        <f t="array" ref="O120">IF(E120="",FALSE,IFERROR(AND(ISNUMBER(MATCH(E120,Countries!$A$2:$A$72,0)),XLOOKUP(E120,Countries!$A$2:$A$72,Countries!$I$2:$I$72,FALSE)),FALSE))</f>
        <v>0</v>
      </c>
      <c r="P120" s="7" t="b">
        <f t="array" ref="P120">IF(E120="",FALSE,IFERROR(XLOOKUP(E120,Countries!$A$2:$A$72,Countries!$G$2:$G$72,FALSE),FALSE))</f>
        <v>0</v>
      </c>
      <c r="Q120" s="7" t="str">
        <f t="shared" si="2"/>
        <v>⚪</v>
      </c>
    </row>
    <row r="121" ht="15.75" customHeight="1">
      <c r="A121" s="7" t="str">
        <f t="array" ref="A121">IFERROR(IF(INDEX(Entries!$C$2:$C$48,15)="","",INDEX(Entries!$Q$2:$Q$48,15)),"")</f>
        <v/>
      </c>
      <c r="B121" s="7" t="str">
        <f t="array" ref="B121">IF(A121="","",IFERROR(INDEX(Entries!$E$2:$E$48,15),""))</f>
        <v/>
      </c>
      <c r="C121" s="7" t="str">
        <f>IF(A121="","","Tier6_Pick2")</f>
        <v/>
      </c>
      <c r="D121" s="7" t="str">
        <f t="shared" si="32"/>
        <v/>
      </c>
      <c r="E121" s="7" t="str">
        <f t="array" ref="E121">IF(A121="","",IFERROR(INDEX(Entries!$P$2:$P$48,15),""))</f>
        <v/>
      </c>
      <c r="F121" s="7" t="str">
        <f>IF(E121="","",IFERROR(_xludf.XLOOKUP(E121,Countries!$A$2:$A$72,Countries!$B$2:$B$72,"???"),"???"))</f>
        <v/>
      </c>
      <c r="G121" s="7">
        <f t="array" ref="G121">IF(E121="",0,IFERROR(XLOOKUP(E121,Countries!$A$2:$A$72,Countries!$E$2:$E$72,0),0))</f>
        <v>0</v>
      </c>
      <c r="H121" s="7">
        <f t="array" ref="H121">IF(E121="",0,IFERROR(XLOOKUP(E121,Medals!$B$2:$B$51,Medals!$D$2:$D$51,0),0))</f>
        <v>0</v>
      </c>
      <c r="I121" s="7">
        <f t="array" ref="I121">IF(E121="",0,IFERROR(XLOOKUP(E121,Medals!$B$2:$B$51,Medals!$E$2:$E$51,0),0))</f>
        <v>0</v>
      </c>
      <c r="J121" s="7">
        <f t="array" ref="J121">IF(E121="",0,IFERROR(XLOOKUP(E121,Medals!$B$2:$B$51,Medals!$F$2:$F$51,0),0))</f>
        <v>0</v>
      </c>
      <c r="K121" s="7">
        <f>H121*GoldPoints*G121</f>
        <v>0</v>
      </c>
      <c r="L121" s="7">
        <f>I121*SilverPoints*G121</f>
        <v>0</v>
      </c>
      <c r="M121" s="7">
        <f>J121*BronzePoints*G121</f>
        <v>0</v>
      </c>
      <c r="N121" s="7">
        <f t="shared" si="1"/>
        <v>0</v>
      </c>
      <c r="O121" s="7" t="b">
        <f t="array" ref="O121">IF(E121="",FALSE,IFERROR(AND(ISNUMBER(MATCH(E121,Countries!$A$2:$A$72,0)),XLOOKUP(E121,Countries!$A$2:$A$72,Countries!$I$2:$I$72,FALSE)),FALSE))</f>
        <v>0</v>
      </c>
      <c r="P121" s="7" t="b">
        <f t="array" ref="P121">IF(E121="",FALSE,IFERROR(XLOOKUP(E121,Countries!$A$2:$A$72,Countries!$G$2:$G$72,FALSE),FALSE))</f>
        <v>0</v>
      </c>
      <c r="Q121" s="7" t="str">
        <f t="shared" si="2"/>
        <v>⚪</v>
      </c>
    </row>
    <row r="122" ht="15.75" customHeight="1">
      <c r="A122" s="7" t="str">
        <f t="array" ref="A122">IFERROR(IF(INDEX(Entries!$C$2:$C$48,16)="","",INDEX(Entries!$Q$2:$Q$48,16)),"")</f>
        <v/>
      </c>
      <c r="B122" s="7" t="str">
        <f t="array" ref="B122">IF(A122="","",IFERROR(INDEX(Entries!$E$2:$E$48,16),""))</f>
        <v/>
      </c>
      <c r="C122" s="7" t="str">
        <f>IF(A122="","","Tier1_Pick1")</f>
        <v/>
      </c>
      <c r="D122" s="7" t="str">
        <f>IF(A122="","",1)</f>
        <v/>
      </c>
      <c r="E122" s="7" t="str">
        <f t="array" ref="E122">IF(A122="","",IFERROR(INDEX(Entries!$F$2:$F$48,16),""))</f>
        <v/>
      </c>
      <c r="F122" s="7" t="str">
        <f>IF(E122="","",IFERROR(_xludf.XLOOKUP(E122,Countries!$A$2:$A$72,Countries!$B$2:$B$72,"???"),"???"))</f>
        <v/>
      </c>
      <c r="G122" s="7">
        <f t="array" ref="G122">IF(E122="",0,IFERROR(XLOOKUP(E122,Countries!$A$2:$A$72,Countries!$E$2:$E$72,0),0))</f>
        <v>0</v>
      </c>
      <c r="H122" s="7">
        <f t="array" ref="H122">IF(E122="",0,IFERROR(XLOOKUP(E122,Medals!$B$2:$B$51,Medals!$D$2:$D$51,0),0))</f>
        <v>0</v>
      </c>
      <c r="I122" s="7">
        <f t="array" ref="I122">IF(E122="",0,IFERROR(XLOOKUP(E122,Medals!$B$2:$B$51,Medals!$E$2:$E$51,0),0))</f>
        <v>0</v>
      </c>
      <c r="J122" s="7">
        <f t="array" ref="J122">IF(E122="",0,IFERROR(XLOOKUP(E122,Medals!$B$2:$B$51,Medals!$F$2:$F$51,0),0))</f>
        <v>0</v>
      </c>
      <c r="K122" s="7">
        <f>H122*GoldPoints*G122</f>
        <v>0</v>
      </c>
      <c r="L122" s="7">
        <f>I122*SilverPoints*G122</f>
        <v>0</v>
      </c>
      <c r="M122" s="7">
        <f>J122*BronzePoints*G122</f>
        <v>0</v>
      </c>
      <c r="N122" s="7">
        <f t="shared" si="1"/>
        <v>0</v>
      </c>
      <c r="O122" s="7" t="b">
        <f t="array" ref="O122">IF(E122="",FALSE,IFERROR(AND(ISNUMBER(MATCH(E122,Countries!$A$2:$A$72,0)),XLOOKUP(E122,Countries!$A$2:$A$72,Countries!$I$2:$I$72,FALSE)),FALSE))</f>
        <v>0</v>
      </c>
      <c r="P122" s="7" t="b">
        <f t="array" ref="P122">IF(E122="",FALSE,IFERROR(XLOOKUP(E122,Countries!$A$2:$A$72,Countries!$G$2:$G$72,FALSE),FALSE))</f>
        <v>0</v>
      </c>
      <c r="Q122" s="7" t="str">
        <f t="shared" si="2"/>
        <v>⚪</v>
      </c>
    </row>
    <row r="123" ht="15.75" customHeight="1">
      <c r="A123" s="7" t="str">
        <f t="array" ref="A123">IFERROR(IF(INDEX(Entries!$C$2:$C$48,16)="","",INDEX(Entries!$Q$2:$Q$48,16)),"")</f>
        <v/>
      </c>
      <c r="B123" s="7" t="str">
        <f t="array" ref="B123">IF(A123="","",IFERROR(INDEX(Entries!$E$2:$E$48,16),""))</f>
        <v/>
      </c>
      <c r="C123" s="7" t="str">
        <f>IF(A123="","","Tier2_Pick1")</f>
        <v/>
      </c>
      <c r="D123" s="7" t="str">
        <f t="shared" ref="D123:D124" si="33">IF(A123="","",2)</f>
        <v/>
      </c>
      <c r="E123" s="7" t="str">
        <f t="array" ref="E123">IF(A123="","",IFERROR(INDEX(Entries!$M$2:$M$48,16),""))</f>
        <v/>
      </c>
      <c r="F123" s="7" t="str">
        <f>IF(E123="","",IFERROR(_xludf.XLOOKUP(E123,Countries!$A$2:$A$72,Countries!$B$2:$B$72,"???"),"???"))</f>
        <v/>
      </c>
      <c r="G123" s="7">
        <f t="array" ref="G123">IF(E123="",0,IFERROR(XLOOKUP(E123,Countries!$A$2:$A$72,Countries!$E$2:$E$72,0),0))</f>
        <v>0</v>
      </c>
      <c r="H123" s="7">
        <f t="array" ref="H123">IF(E123="",0,IFERROR(XLOOKUP(E123,Medals!$B$2:$B$51,Medals!$D$2:$D$51,0),0))</f>
        <v>0</v>
      </c>
      <c r="I123" s="7">
        <f t="array" ref="I123">IF(E123="",0,IFERROR(XLOOKUP(E123,Medals!$B$2:$B$51,Medals!$E$2:$E$51,0),0))</f>
        <v>0</v>
      </c>
      <c r="J123" s="7">
        <f t="array" ref="J123">IF(E123="",0,IFERROR(XLOOKUP(E123,Medals!$B$2:$B$51,Medals!$F$2:$F$51,0),0))</f>
        <v>0</v>
      </c>
      <c r="K123" s="7">
        <f>H123*GoldPoints*G123</f>
        <v>0</v>
      </c>
      <c r="L123" s="7">
        <f>I123*SilverPoints*G123</f>
        <v>0</v>
      </c>
      <c r="M123" s="7">
        <f>J123*BronzePoints*G123</f>
        <v>0</v>
      </c>
      <c r="N123" s="7">
        <f t="shared" si="1"/>
        <v>0</v>
      </c>
      <c r="O123" s="7" t="b">
        <f t="array" ref="O123">IF(E123="",FALSE,IFERROR(AND(ISNUMBER(MATCH(E123,Countries!$A$2:$A$72,0)),XLOOKUP(E123,Countries!$A$2:$A$72,Countries!$I$2:$I$72,FALSE)),FALSE))</f>
        <v>0</v>
      </c>
      <c r="P123" s="7" t="b">
        <f t="array" ref="P123">IF(E123="",FALSE,IFERROR(XLOOKUP(E123,Countries!$A$2:$A$72,Countries!$G$2:$G$72,FALSE),FALSE))</f>
        <v>0</v>
      </c>
      <c r="Q123" s="7" t="str">
        <f t="shared" si="2"/>
        <v>⚪</v>
      </c>
    </row>
    <row r="124" ht="15.75" customHeight="1">
      <c r="A124" s="7" t="str">
        <f t="array" ref="A124">IFERROR(IF(INDEX(Entries!$C$2:$C$48,16)="","",INDEX(Entries!$Q$2:$Q$48,16)),"")</f>
        <v/>
      </c>
      <c r="B124" s="7" t="str">
        <f t="array" ref="B124">IF(A124="","",IFERROR(INDEX(Entries!$E$2:$E$48,16),""))</f>
        <v/>
      </c>
      <c r="C124" s="7" t="str">
        <f>IF(A124="","","Tier2_Pick2")</f>
        <v/>
      </c>
      <c r="D124" s="7" t="str">
        <f t="shared" si="33"/>
        <v/>
      </c>
      <c r="E124" s="7" t="str">
        <f t="array" ref="E124">IF(A124="","",IFERROR(INDEX(Entries!$N$2:$N$48,16),""))</f>
        <v/>
      </c>
      <c r="F124" s="7" t="str">
        <f>IF(E124="","",IFERROR(_xludf.XLOOKUP(E124,Countries!$A$2:$A$72,Countries!$B$2:$B$72,"???"),"???"))</f>
        <v/>
      </c>
      <c r="G124" s="7">
        <f t="array" ref="G124">IF(E124="",0,IFERROR(XLOOKUP(E124,Countries!$A$2:$A$72,Countries!$E$2:$E$72,0),0))</f>
        <v>0</v>
      </c>
      <c r="H124" s="7">
        <f t="array" ref="H124">IF(E124="",0,IFERROR(XLOOKUP(E124,Medals!$B$2:$B$51,Medals!$D$2:$D$51,0),0))</f>
        <v>0</v>
      </c>
      <c r="I124" s="7">
        <f t="array" ref="I124">IF(E124="",0,IFERROR(XLOOKUP(E124,Medals!$B$2:$B$51,Medals!$E$2:$E$51,0),0))</f>
        <v>0</v>
      </c>
      <c r="J124" s="7">
        <f t="array" ref="J124">IF(E124="",0,IFERROR(XLOOKUP(E124,Medals!$B$2:$B$51,Medals!$F$2:$F$51,0),0))</f>
        <v>0</v>
      </c>
      <c r="K124" s="7">
        <f>H124*GoldPoints*G124</f>
        <v>0</v>
      </c>
      <c r="L124" s="7">
        <f>I124*SilverPoints*G124</f>
        <v>0</v>
      </c>
      <c r="M124" s="7">
        <f>J124*BronzePoints*G124</f>
        <v>0</v>
      </c>
      <c r="N124" s="7">
        <f t="shared" si="1"/>
        <v>0</v>
      </c>
      <c r="O124" s="7" t="b">
        <f t="array" ref="O124">IF(E124="",FALSE,IFERROR(AND(ISNUMBER(MATCH(E124,Countries!$A$2:$A$72,0)),XLOOKUP(E124,Countries!$A$2:$A$72,Countries!$I$2:$I$72,FALSE)),FALSE))</f>
        <v>0</v>
      </c>
      <c r="P124" s="7" t="b">
        <f t="array" ref="P124">IF(E124="",FALSE,IFERROR(XLOOKUP(E124,Countries!$A$2:$A$72,Countries!$G$2:$G$72,FALSE),FALSE))</f>
        <v>0</v>
      </c>
      <c r="Q124" s="7" t="str">
        <f t="shared" si="2"/>
        <v>⚪</v>
      </c>
    </row>
    <row r="125" ht="15.75" customHeight="1">
      <c r="A125" s="7" t="str">
        <f t="array" ref="A125">IFERROR(IF(INDEX(Entries!$C$2:$C$48,16)="","",INDEX(Entries!$Q$2:$Q$48,16)),"")</f>
        <v/>
      </c>
      <c r="B125" s="7" t="str">
        <f t="array" ref="B125">IF(A125="","",IFERROR(INDEX(Entries!$E$2:$E$48,16),""))</f>
        <v/>
      </c>
      <c r="C125" s="7" t="str">
        <f>IF(A125="","","Tier3_Pick1")</f>
        <v/>
      </c>
      <c r="D125" s="7" t="str">
        <f>IF(A125="","",3)</f>
        <v/>
      </c>
      <c r="E125" s="7" t="str">
        <f t="array" ref="E125">IF(A125="","",IFERROR(INDEX(Entries!$H$2:$H$48,16),""))</f>
        <v/>
      </c>
      <c r="F125" s="7" t="str">
        <f>IF(E125="","",IFERROR(_xludf.XLOOKUP(E125,Countries!$A$2:$A$72,Countries!$B$2:$B$72,"???"),"???"))</f>
        <v/>
      </c>
      <c r="G125" s="7">
        <f t="array" ref="G125">IF(E125="",0,IFERROR(XLOOKUP(E125,Countries!$A$2:$A$72,Countries!$E$2:$E$72,0),0))</f>
        <v>0</v>
      </c>
      <c r="H125" s="7">
        <f t="array" ref="H125">IF(E125="",0,IFERROR(XLOOKUP(E125,Medals!$B$2:$B$51,Medals!$D$2:$D$51,0),0))</f>
        <v>0</v>
      </c>
      <c r="I125" s="7">
        <f t="array" ref="I125">IF(E125="",0,IFERROR(XLOOKUP(E125,Medals!$B$2:$B$51,Medals!$E$2:$E$51,0),0))</f>
        <v>0</v>
      </c>
      <c r="J125" s="7">
        <f t="array" ref="J125">IF(E125="",0,IFERROR(XLOOKUP(E125,Medals!$B$2:$B$51,Medals!$F$2:$F$51,0),0))</f>
        <v>0</v>
      </c>
      <c r="K125" s="7">
        <f>H125*GoldPoints*G125</f>
        <v>0</v>
      </c>
      <c r="L125" s="7">
        <f>I125*SilverPoints*G125</f>
        <v>0</v>
      </c>
      <c r="M125" s="7">
        <f>J125*BronzePoints*G125</f>
        <v>0</v>
      </c>
      <c r="N125" s="7">
        <f t="shared" si="1"/>
        <v>0</v>
      </c>
      <c r="O125" s="7" t="b">
        <f t="array" ref="O125">IF(E125="",FALSE,IFERROR(AND(ISNUMBER(MATCH(E125,Countries!$A$2:$A$72,0)),XLOOKUP(E125,Countries!$A$2:$A$72,Countries!$I$2:$I$72,FALSE)),FALSE))</f>
        <v>0</v>
      </c>
      <c r="P125" s="7" t="b">
        <f t="array" ref="P125">IF(E125="",FALSE,IFERROR(XLOOKUP(E125,Countries!$A$2:$A$72,Countries!$G$2:$G$72,FALSE),FALSE))</f>
        <v>0</v>
      </c>
      <c r="Q125" s="7" t="str">
        <f t="shared" si="2"/>
        <v>⚪</v>
      </c>
    </row>
    <row r="126" ht="15.75" customHeight="1">
      <c r="A126" s="7" t="str">
        <f t="array" ref="A126">IFERROR(IF(INDEX(Entries!$C$2:$C$48,16)="","",INDEX(Entries!$Q$2:$Q$48,16)),"")</f>
        <v/>
      </c>
      <c r="B126" s="7" t="str">
        <f t="array" ref="B126">IF(A126="","",IFERROR(INDEX(Entries!$E$2:$E$48,16),""))</f>
        <v/>
      </c>
      <c r="C126" s="7" t="str">
        <f>IF(A126="","","Tier4_Pick1")</f>
        <v/>
      </c>
      <c r="D126" s="7" t="str">
        <f>IF(A126="","",4)</f>
        <v/>
      </c>
      <c r="E126" s="7" t="str">
        <f t="array" ref="E126">IF(A126="","",IFERROR(INDEX(Entries!$I$2:$I$48,16),""))</f>
        <v/>
      </c>
      <c r="F126" s="7" t="str">
        <f>IF(E126="","",IFERROR(_xludf.XLOOKUP(E126,Countries!$A$2:$A$72,Countries!$B$2:$B$72,"???"),"???"))</f>
        <v/>
      </c>
      <c r="G126" s="7">
        <f t="array" ref="G126">IF(E126="",0,IFERROR(XLOOKUP(E126,Countries!$A$2:$A$72,Countries!$E$2:$E$72,0),0))</f>
        <v>0</v>
      </c>
      <c r="H126" s="7">
        <f t="array" ref="H126">IF(E126="",0,IFERROR(XLOOKUP(E126,Medals!$B$2:$B$51,Medals!$D$2:$D$51,0),0))</f>
        <v>0</v>
      </c>
      <c r="I126" s="7">
        <f t="array" ref="I126">IF(E126="",0,IFERROR(XLOOKUP(E126,Medals!$B$2:$B$51,Medals!$E$2:$E$51,0),0))</f>
        <v>0</v>
      </c>
      <c r="J126" s="7">
        <f t="array" ref="J126">IF(E126="",0,IFERROR(XLOOKUP(E126,Medals!$B$2:$B$51,Medals!$F$2:$F$51,0),0))</f>
        <v>0</v>
      </c>
      <c r="K126" s="7">
        <f>H126*GoldPoints*G126</f>
        <v>0</v>
      </c>
      <c r="L126" s="7">
        <f>I126*SilverPoints*G126</f>
        <v>0</v>
      </c>
      <c r="M126" s="7">
        <f>J126*BronzePoints*G126</f>
        <v>0</v>
      </c>
      <c r="N126" s="7">
        <f t="shared" si="1"/>
        <v>0</v>
      </c>
      <c r="O126" s="7" t="b">
        <f t="array" ref="O126">IF(E126="",FALSE,IFERROR(AND(ISNUMBER(MATCH(E126,Countries!$A$2:$A$72,0)),XLOOKUP(E126,Countries!$A$2:$A$72,Countries!$I$2:$I$72,FALSE)),FALSE))</f>
        <v>0</v>
      </c>
      <c r="P126" s="7" t="b">
        <f t="array" ref="P126">IF(E126="",FALSE,IFERROR(XLOOKUP(E126,Countries!$A$2:$A$72,Countries!$G$2:$G$72,FALSE),FALSE))</f>
        <v>0</v>
      </c>
      <c r="Q126" s="7" t="str">
        <f t="shared" si="2"/>
        <v>⚪</v>
      </c>
    </row>
    <row r="127" ht="15.75" customHeight="1">
      <c r="A127" s="7" t="str">
        <f t="array" ref="A127">IFERROR(IF(INDEX(Entries!$C$2:$C$48,16)="","",INDEX(Entries!$Q$2:$Q$48,16)),"")</f>
        <v/>
      </c>
      <c r="B127" s="7" t="str">
        <f t="array" ref="B127">IF(A127="","",IFERROR(INDEX(Entries!$E$2:$E$48,16),""))</f>
        <v/>
      </c>
      <c r="C127" s="7" t="str">
        <f>IF(A127="","","Tier5_Pick1")</f>
        <v/>
      </c>
      <c r="D127" s="7" t="str">
        <f>IF(A127="","",5)</f>
        <v/>
      </c>
      <c r="E127" s="7" t="str">
        <f t="array" ref="E127">IF(A127="","",IFERROR(INDEX(Entries!$J$2:$J$48,16),""))</f>
        <v/>
      </c>
      <c r="F127" s="7" t="str">
        <f>IF(E127="","",IFERROR(_xludf.XLOOKUP(E127,Countries!$A$2:$A$72,Countries!$B$2:$B$72,"???"),"???"))</f>
        <v/>
      </c>
      <c r="G127" s="7">
        <f t="array" ref="G127">IF(E127="",0,IFERROR(XLOOKUP(E127,Countries!$A$2:$A$72,Countries!$E$2:$E$72,0),0))</f>
        <v>0</v>
      </c>
      <c r="H127" s="7">
        <f t="array" ref="H127">IF(E127="",0,IFERROR(XLOOKUP(E127,Medals!$B$2:$B$51,Medals!$D$2:$D$51,0),0))</f>
        <v>0</v>
      </c>
      <c r="I127" s="7">
        <f t="array" ref="I127">IF(E127="",0,IFERROR(XLOOKUP(E127,Medals!$B$2:$B$51,Medals!$E$2:$E$51,0),0))</f>
        <v>0</v>
      </c>
      <c r="J127" s="7">
        <f t="array" ref="J127">IF(E127="",0,IFERROR(XLOOKUP(E127,Medals!$B$2:$B$51,Medals!$F$2:$F$51,0),0))</f>
        <v>0</v>
      </c>
      <c r="K127" s="7">
        <f>H127*GoldPoints*G127</f>
        <v>0</v>
      </c>
      <c r="L127" s="7">
        <f>I127*SilverPoints*G127</f>
        <v>0</v>
      </c>
      <c r="M127" s="7">
        <f>J127*BronzePoints*G127</f>
        <v>0</v>
      </c>
      <c r="N127" s="7">
        <f t="shared" si="1"/>
        <v>0</v>
      </c>
      <c r="O127" s="7" t="b">
        <f t="array" ref="O127">IF(E127="",FALSE,IFERROR(AND(ISNUMBER(MATCH(E127,Countries!$A$2:$A$72,0)),XLOOKUP(E127,Countries!$A$2:$A$72,Countries!$I$2:$I$72,FALSE)),FALSE))</f>
        <v>0</v>
      </c>
      <c r="P127" s="7" t="b">
        <f t="array" ref="P127">IF(E127="",FALSE,IFERROR(XLOOKUP(E127,Countries!$A$2:$A$72,Countries!$G$2:$G$72,FALSE),FALSE))</f>
        <v>0</v>
      </c>
      <c r="Q127" s="7" t="str">
        <f t="shared" si="2"/>
        <v>⚪</v>
      </c>
    </row>
    <row r="128" ht="15.75" customHeight="1">
      <c r="A128" s="7" t="str">
        <f t="array" ref="A128">IFERROR(IF(INDEX(Entries!$C$2:$C$48,16)="","",INDEX(Entries!$Q$2:$Q$48,16)),"")</f>
        <v/>
      </c>
      <c r="B128" s="7" t="str">
        <f t="array" ref="B128">IF(A128="","",IFERROR(INDEX(Entries!$E$2:$E$48,16),""))</f>
        <v/>
      </c>
      <c r="C128" s="7" t="str">
        <f>IF(A128="","","Tier6_Pick1")</f>
        <v/>
      </c>
      <c r="D128" s="7" t="str">
        <f t="shared" ref="D128:D129" si="34">IF(A128="","",6)</f>
        <v/>
      </c>
      <c r="E128" s="7" t="str">
        <f t="array" ref="E128">IF(A128="","",IFERROR(INDEX(Entries!$O$2:$O$48,16),""))</f>
        <v/>
      </c>
      <c r="F128" s="7" t="str">
        <f>IF(E128="","",IFERROR(_xludf.XLOOKUP(E128,Countries!$A$2:$A$72,Countries!$B$2:$B$72,"???"),"???"))</f>
        <v/>
      </c>
      <c r="G128" s="7">
        <f t="array" ref="G128">IF(E128="",0,IFERROR(XLOOKUP(E128,Countries!$A$2:$A$72,Countries!$E$2:$E$72,0),0))</f>
        <v>0</v>
      </c>
      <c r="H128" s="7">
        <f t="array" ref="H128">IF(E128="",0,IFERROR(XLOOKUP(E128,Medals!$B$2:$B$51,Medals!$D$2:$D$51,0),0))</f>
        <v>0</v>
      </c>
      <c r="I128" s="7">
        <f t="array" ref="I128">IF(E128="",0,IFERROR(XLOOKUP(E128,Medals!$B$2:$B$51,Medals!$E$2:$E$51,0),0))</f>
        <v>0</v>
      </c>
      <c r="J128" s="7">
        <f t="array" ref="J128">IF(E128="",0,IFERROR(XLOOKUP(E128,Medals!$B$2:$B$51,Medals!$F$2:$F$51,0),0))</f>
        <v>0</v>
      </c>
      <c r="K128" s="7">
        <f>H128*GoldPoints*G128</f>
        <v>0</v>
      </c>
      <c r="L128" s="7">
        <f>I128*SilverPoints*G128</f>
        <v>0</v>
      </c>
      <c r="M128" s="7">
        <f>J128*BronzePoints*G128</f>
        <v>0</v>
      </c>
      <c r="N128" s="7">
        <f t="shared" si="1"/>
        <v>0</v>
      </c>
      <c r="O128" s="7" t="b">
        <f t="array" ref="O128">IF(E128="",FALSE,IFERROR(AND(ISNUMBER(MATCH(E128,Countries!$A$2:$A$72,0)),XLOOKUP(E128,Countries!$A$2:$A$72,Countries!$I$2:$I$72,FALSE)),FALSE))</f>
        <v>0</v>
      </c>
      <c r="P128" s="7" t="b">
        <f t="array" ref="P128">IF(E128="",FALSE,IFERROR(XLOOKUP(E128,Countries!$A$2:$A$72,Countries!$G$2:$G$72,FALSE),FALSE))</f>
        <v>0</v>
      </c>
      <c r="Q128" s="7" t="str">
        <f t="shared" si="2"/>
        <v>⚪</v>
      </c>
    </row>
    <row r="129" ht="15.75" customHeight="1">
      <c r="A129" s="7" t="str">
        <f t="array" ref="A129">IFERROR(IF(INDEX(Entries!$C$2:$C$48,16)="","",INDEX(Entries!$Q$2:$Q$48,16)),"")</f>
        <v/>
      </c>
      <c r="B129" s="7" t="str">
        <f t="array" ref="B129">IF(A129="","",IFERROR(INDEX(Entries!$E$2:$E$48,16),""))</f>
        <v/>
      </c>
      <c r="C129" s="7" t="str">
        <f>IF(A129="","","Tier6_Pick2")</f>
        <v/>
      </c>
      <c r="D129" s="7" t="str">
        <f t="shared" si="34"/>
        <v/>
      </c>
      <c r="E129" s="7" t="str">
        <f t="array" ref="E129">IF(A129="","",IFERROR(INDEX(Entries!$P$2:$P$48,16),""))</f>
        <v/>
      </c>
      <c r="F129" s="7" t="str">
        <f>IF(E129="","",IFERROR(_xludf.XLOOKUP(E129,Countries!$A$2:$A$72,Countries!$B$2:$B$72,"???"),"???"))</f>
        <v/>
      </c>
      <c r="G129" s="7">
        <f t="array" ref="G129">IF(E129="",0,IFERROR(XLOOKUP(E129,Countries!$A$2:$A$72,Countries!$E$2:$E$72,0),0))</f>
        <v>0</v>
      </c>
      <c r="H129" s="7">
        <f t="array" ref="H129">IF(E129="",0,IFERROR(XLOOKUP(E129,Medals!$B$2:$B$51,Medals!$D$2:$D$51,0),0))</f>
        <v>0</v>
      </c>
      <c r="I129" s="7">
        <f t="array" ref="I129">IF(E129="",0,IFERROR(XLOOKUP(E129,Medals!$B$2:$B$51,Medals!$E$2:$E$51,0),0))</f>
        <v>0</v>
      </c>
      <c r="J129" s="7">
        <f t="array" ref="J129">IF(E129="",0,IFERROR(XLOOKUP(E129,Medals!$B$2:$B$51,Medals!$F$2:$F$51,0),0))</f>
        <v>0</v>
      </c>
      <c r="K129" s="7">
        <f>H129*GoldPoints*G129</f>
        <v>0</v>
      </c>
      <c r="L129" s="7">
        <f>I129*SilverPoints*G129</f>
        <v>0</v>
      </c>
      <c r="M129" s="7">
        <f>J129*BronzePoints*G129</f>
        <v>0</v>
      </c>
      <c r="N129" s="7">
        <f t="shared" si="1"/>
        <v>0</v>
      </c>
      <c r="O129" s="7" t="b">
        <f t="array" ref="O129">IF(E129="",FALSE,IFERROR(AND(ISNUMBER(MATCH(E129,Countries!$A$2:$A$72,0)),XLOOKUP(E129,Countries!$A$2:$A$72,Countries!$I$2:$I$72,FALSE)),FALSE))</f>
        <v>0</v>
      </c>
      <c r="P129" s="7" t="b">
        <f t="array" ref="P129">IF(E129="",FALSE,IFERROR(XLOOKUP(E129,Countries!$A$2:$A$72,Countries!$G$2:$G$72,FALSE),FALSE))</f>
        <v>0</v>
      </c>
      <c r="Q129" s="7" t="str">
        <f t="shared" si="2"/>
        <v>⚪</v>
      </c>
    </row>
    <row r="130" ht="15.75" customHeight="1">
      <c r="A130" s="7" t="str">
        <f t="array" ref="A130">IFERROR(IF(INDEX(Entries!$C$2:$C$48,17)="","",INDEX(Entries!$Q$2:$Q$48,17)),"")</f>
        <v/>
      </c>
      <c r="B130" s="7" t="str">
        <f t="array" ref="B130">IF(A130="","",IFERROR(INDEX(Entries!$E$2:$E$48,17),""))</f>
        <v/>
      </c>
      <c r="C130" s="7" t="str">
        <f>IF(A130="","","Tier1_Pick1")</f>
        <v/>
      </c>
      <c r="D130" s="7" t="str">
        <f>IF(A130="","",1)</f>
        <v/>
      </c>
      <c r="E130" s="7" t="str">
        <f t="array" ref="E130">IF(A130="","",IFERROR(INDEX(Entries!$F$2:$F$48,17),""))</f>
        <v/>
      </c>
      <c r="F130" s="7" t="str">
        <f>IF(E130="","",IFERROR(_xludf.XLOOKUP(E130,Countries!$A$2:$A$72,Countries!$B$2:$B$72,"???"),"???"))</f>
        <v/>
      </c>
      <c r="G130" s="7">
        <f t="array" ref="G130">IF(E130="",0,IFERROR(XLOOKUP(E130,Countries!$A$2:$A$72,Countries!$E$2:$E$72,0),0))</f>
        <v>0</v>
      </c>
      <c r="H130" s="7">
        <f t="array" ref="H130">IF(E130="",0,IFERROR(XLOOKUP(E130,Medals!$B$2:$B$51,Medals!$D$2:$D$51,0),0))</f>
        <v>0</v>
      </c>
      <c r="I130" s="7">
        <f t="array" ref="I130">IF(E130="",0,IFERROR(XLOOKUP(E130,Medals!$B$2:$B$51,Medals!$E$2:$E$51,0),0))</f>
        <v>0</v>
      </c>
      <c r="J130" s="7">
        <f t="array" ref="J130">IF(E130="",0,IFERROR(XLOOKUP(E130,Medals!$B$2:$B$51,Medals!$F$2:$F$51,0),0))</f>
        <v>0</v>
      </c>
      <c r="K130" s="7">
        <f>H130*GoldPoints*G130</f>
        <v>0</v>
      </c>
      <c r="L130" s="7">
        <f>I130*SilverPoints*G130</f>
        <v>0</v>
      </c>
      <c r="M130" s="7">
        <f>J130*BronzePoints*G130</f>
        <v>0</v>
      </c>
      <c r="N130" s="7">
        <f t="shared" si="1"/>
        <v>0</v>
      </c>
      <c r="O130" s="7" t="b">
        <f t="array" ref="O130">IF(E130="",FALSE,IFERROR(AND(ISNUMBER(MATCH(E130,Countries!$A$2:$A$72,0)),XLOOKUP(E130,Countries!$A$2:$A$72,Countries!$I$2:$I$72,FALSE)),FALSE))</f>
        <v>0</v>
      </c>
      <c r="P130" s="7" t="b">
        <f t="array" ref="P130">IF(E130="",FALSE,IFERROR(XLOOKUP(E130,Countries!$A$2:$A$72,Countries!$G$2:$G$72,FALSE),FALSE))</f>
        <v>0</v>
      </c>
      <c r="Q130" s="7" t="str">
        <f t="shared" si="2"/>
        <v>⚪</v>
      </c>
    </row>
    <row r="131" ht="15.75" customHeight="1">
      <c r="A131" s="7" t="str">
        <f t="array" ref="A131">IFERROR(IF(INDEX(Entries!$C$2:$C$48,17)="","",INDEX(Entries!$Q$2:$Q$48,17)),"")</f>
        <v/>
      </c>
      <c r="B131" s="7" t="str">
        <f t="array" ref="B131">IF(A131="","",IFERROR(INDEX(Entries!$E$2:$E$48,17),""))</f>
        <v/>
      </c>
      <c r="C131" s="7" t="str">
        <f>IF(A131="","","Tier2_Pick1")</f>
        <v/>
      </c>
      <c r="D131" s="7" t="str">
        <f t="shared" ref="D131:D132" si="35">IF(A131="","",2)</f>
        <v/>
      </c>
      <c r="E131" s="7" t="str">
        <f t="array" ref="E131">IF(A131="","",IFERROR(INDEX(Entries!$M$2:$M$48,17),""))</f>
        <v/>
      </c>
      <c r="F131" s="7" t="str">
        <f>IF(E131="","",IFERROR(_xludf.XLOOKUP(E131,Countries!$A$2:$A$72,Countries!$B$2:$B$72,"???"),"???"))</f>
        <v/>
      </c>
      <c r="G131" s="7">
        <f t="array" ref="G131">IF(E131="",0,IFERROR(XLOOKUP(E131,Countries!$A$2:$A$72,Countries!$E$2:$E$72,0),0))</f>
        <v>0</v>
      </c>
      <c r="H131" s="7">
        <f t="array" ref="H131">IF(E131="",0,IFERROR(XLOOKUP(E131,Medals!$B$2:$B$51,Medals!$D$2:$D$51,0),0))</f>
        <v>0</v>
      </c>
      <c r="I131" s="7">
        <f t="array" ref="I131">IF(E131="",0,IFERROR(XLOOKUP(E131,Medals!$B$2:$B$51,Medals!$E$2:$E$51,0),0))</f>
        <v>0</v>
      </c>
      <c r="J131" s="7">
        <f t="array" ref="J131">IF(E131="",0,IFERROR(XLOOKUP(E131,Medals!$B$2:$B$51,Medals!$F$2:$F$51,0),0))</f>
        <v>0</v>
      </c>
      <c r="K131" s="7">
        <f>H131*GoldPoints*G131</f>
        <v>0</v>
      </c>
      <c r="L131" s="7">
        <f>I131*SilverPoints*G131</f>
        <v>0</v>
      </c>
      <c r="M131" s="7">
        <f>J131*BronzePoints*G131</f>
        <v>0</v>
      </c>
      <c r="N131" s="7">
        <f t="shared" si="1"/>
        <v>0</v>
      </c>
      <c r="O131" s="7" t="b">
        <f t="array" ref="O131">IF(E131="",FALSE,IFERROR(AND(ISNUMBER(MATCH(E131,Countries!$A$2:$A$72,0)),XLOOKUP(E131,Countries!$A$2:$A$72,Countries!$I$2:$I$72,FALSE)),FALSE))</f>
        <v>0</v>
      </c>
      <c r="P131" s="7" t="b">
        <f t="array" ref="P131">IF(E131="",FALSE,IFERROR(XLOOKUP(E131,Countries!$A$2:$A$72,Countries!$G$2:$G$72,FALSE),FALSE))</f>
        <v>0</v>
      </c>
      <c r="Q131" s="7" t="str">
        <f t="shared" si="2"/>
        <v>⚪</v>
      </c>
    </row>
    <row r="132" ht="15.75" customHeight="1">
      <c r="A132" s="7" t="str">
        <f t="array" ref="A132">IFERROR(IF(INDEX(Entries!$C$2:$C$48,17)="","",INDEX(Entries!$Q$2:$Q$48,17)),"")</f>
        <v/>
      </c>
      <c r="B132" s="7" t="str">
        <f t="array" ref="B132">IF(A132="","",IFERROR(INDEX(Entries!$E$2:$E$48,17),""))</f>
        <v/>
      </c>
      <c r="C132" s="7" t="str">
        <f>IF(A132="","","Tier2_Pick2")</f>
        <v/>
      </c>
      <c r="D132" s="7" t="str">
        <f t="shared" si="35"/>
        <v/>
      </c>
      <c r="E132" s="7" t="str">
        <f t="array" ref="E132">IF(A132="","",IFERROR(INDEX(Entries!$N$2:$N$48,17),""))</f>
        <v/>
      </c>
      <c r="F132" s="7" t="str">
        <f>IF(E132="","",IFERROR(_xludf.XLOOKUP(E132,Countries!$A$2:$A$72,Countries!$B$2:$B$72,"???"),"???"))</f>
        <v/>
      </c>
      <c r="G132" s="7">
        <f t="array" ref="G132">IF(E132="",0,IFERROR(XLOOKUP(E132,Countries!$A$2:$A$72,Countries!$E$2:$E$72,0),0))</f>
        <v>0</v>
      </c>
      <c r="H132" s="7">
        <f t="array" ref="H132">IF(E132="",0,IFERROR(XLOOKUP(E132,Medals!$B$2:$B$51,Medals!$D$2:$D$51,0),0))</f>
        <v>0</v>
      </c>
      <c r="I132" s="7">
        <f t="array" ref="I132">IF(E132="",0,IFERROR(XLOOKUP(E132,Medals!$B$2:$B$51,Medals!$E$2:$E$51,0),0))</f>
        <v>0</v>
      </c>
      <c r="J132" s="7">
        <f t="array" ref="J132">IF(E132="",0,IFERROR(XLOOKUP(E132,Medals!$B$2:$B$51,Medals!$F$2:$F$51,0),0))</f>
        <v>0</v>
      </c>
      <c r="K132" s="7">
        <f>H132*GoldPoints*G132</f>
        <v>0</v>
      </c>
      <c r="L132" s="7">
        <f>I132*SilverPoints*G132</f>
        <v>0</v>
      </c>
      <c r="M132" s="7">
        <f>J132*BronzePoints*G132</f>
        <v>0</v>
      </c>
      <c r="N132" s="7">
        <f t="shared" si="1"/>
        <v>0</v>
      </c>
      <c r="O132" s="7" t="b">
        <f t="array" ref="O132">IF(E132="",FALSE,IFERROR(AND(ISNUMBER(MATCH(E132,Countries!$A$2:$A$72,0)),XLOOKUP(E132,Countries!$A$2:$A$72,Countries!$I$2:$I$72,FALSE)),FALSE))</f>
        <v>0</v>
      </c>
      <c r="P132" s="7" t="b">
        <f t="array" ref="P132">IF(E132="",FALSE,IFERROR(XLOOKUP(E132,Countries!$A$2:$A$72,Countries!$G$2:$G$72,FALSE),FALSE))</f>
        <v>0</v>
      </c>
      <c r="Q132" s="7" t="str">
        <f t="shared" si="2"/>
        <v>⚪</v>
      </c>
    </row>
    <row r="133" ht="15.75" customHeight="1">
      <c r="A133" s="7" t="str">
        <f t="array" ref="A133">IFERROR(IF(INDEX(Entries!$C$2:$C$48,17)="","",INDEX(Entries!$Q$2:$Q$48,17)),"")</f>
        <v/>
      </c>
      <c r="B133" s="7" t="str">
        <f t="array" ref="B133">IF(A133="","",IFERROR(INDEX(Entries!$E$2:$E$48,17),""))</f>
        <v/>
      </c>
      <c r="C133" s="7" t="str">
        <f>IF(A133="","","Tier3_Pick1")</f>
        <v/>
      </c>
      <c r="D133" s="7" t="str">
        <f>IF(A133="","",3)</f>
        <v/>
      </c>
      <c r="E133" s="7" t="str">
        <f t="array" ref="E133">IF(A133="","",IFERROR(INDEX(Entries!$H$2:$H$48,17),""))</f>
        <v/>
      </c>
      <c r="F133" s="7" t="str">
        <f>IF(E133="","",IFERROR(_xludf.XLOOKUP(E133,Countries!$A$2:$A$72,Countries!$B$2:$B$72,"???"),"???"))</f>
        <v/>
      </c>
      <c r="G133" s="7">
        <f t="array" ref="G133">IF(E133="",0,IFERROR(XLOOKUP(E133,Countries!$A$2:$A$72,Countries!$E$2:$E$72,0),0))</f>
        <v>0</v>
      </c>
      <c r="H133" s="7">
        <f t="array" ref="H133">IF(E133="",0,IFERROR(XLOOKUP(E133,Medals!$B$2:$B$51,Medals!$D$2:$D$51,0),0))</f>
        <v>0</v>
      </c>
      <c r="I133" s="7">
        <f t="array" ref="I133">IF(E133="",0,IFERROR(XLOOKUP(E133,Medals!$B$2:$B$51,Medals!$E$2:$E$51,0),0))</f>
        <v>0</v>
      </c>
      <c r="J133" s="7">
        <f t="array" ref="J133">IF(E133="",0,IFERROR(XLOOKUP(E133,Medals!$B$2:$B$51,Medals!$F$2:$F$51,0),0))</f>
        <v>0</v>
      </c>
      <c r="K133" s="7">
        <f>H133*GoldPoints*G133</f>
        <v>0</v>
      </c>
      <c r="L133" s="7">
        <f>I133*SilverPoints*G133</f>
        <v>0</v>
      </c>
      <c r="M133" s="7">
        <f>J133*BronzePoints*G133</f>
        <v>0</v>
      </c>
      <c r="N133" s="7">
        <f t="shared" si="1"/>
        <v>0</v>
      </c>
      <c r="O133" s="7" t="b">
        <f t="array" ref="O133">IF(E133="",FALSE,IFERROR(AND(ISNUMBER(MATCH(E133,Countries!$A$2:$A$72,0)),XLOOKUP(E133,Countries!$A$2:$A$72,Countries!$I$2:$I$72,FALSE)),FALSE))</f>
        <v>0</v>
      </c>
      <c r="P133" s="7" t="b">
        <f t="array" ref="P133">IF(E133="",FALSE,IFERROR(XLOOKUP(E133,Countries!$A$2:$A$72,Countries!$G$2:$G$72,FALSE),FALSE))</f>
        <v>0</v>
      </c>
      <c r="Q133" s="7" t="str">
        <f t="shared" si="2"/>
        <v>⚪</v>
      </c>
    </row>
    <row r="134" ht="15.75" customHeight="1">
      <c r="A134" s="7" t="str">
        <f t="array" ref="A134">IFERROR(IF(INDEX(Entries!$C$2:$C$48,17)="","",INDEX(Entries!$Q$2:$Q$48,17)),"")</f>
        <v/>
      </c>
      <c r="B134" s="7" t="str">
        <f t="array" ref="B134">IF(A134="","",IFERROR(INDEX(Entries!$E$2:$E$48,17),""))</f>
        <v/>
      </c>
      <c r="C134" s="7" t="str">
        <f>IF(A134="","","Tier4_Pick1")</f>
        <v/>
      </c>
      <c r="D134" s="7" t="str">
        <f>IF(A134="","",4)</f>
        <v/>
      </c>
      <c r="E134" s="7" t="str">
        <f t="array" ref="E134">IF(A134="","",IFERROR(INDEX(Entries!$I$2:$I$48,17),""))</f>
        <v/>
      </c>
      <c r="F134" s="7" t="str">
        <f>IF(E134="","",IFERROR(_xludf.XLOOKUP(E134,Countries!$A$2:$A$72,Countries!$B$2:$B$72,"???"),"???"))</f>
        <v/>
      </c>
      <c r="G134" s="7">
        <f t="array" ref="G134">IF(E134="",0,IFERROR(XLOOKUP(E134,Countries!$A$2:$A$72,Countries!$E$2:$E$72,0),0))</f>
        <v>0</v>
      </c>
      <c r="H134" s="7">
        <f t="array" ref="H134">IF(E134="",0,IFERROR(XLOOKUP(E134,Medals!$B$2:$B$51,Medals!$D$2:$D$51,0),0))</f>
        <v>0</v>
      </c>
      <c r="I134" s="7">
        <f t="array" ref="I134">IF(E134="",0,IFERROR(XLOOKUP(E134,Medals!$B$2:$B$51,Medals!$E$2:$E$51,0),0))</f>
        <v>0</v>
      </c>
      <c r="J134" s="7">
        <f t="array" ref="J134">IF(E134="",0,IFERROR(XLOOKUP(E134,Medals!$B$2:$B$51,Medals!$F$2:$F$51,0),0))</f>
        <v>0</v>
      </c>
      <c r="K134" s="7">
        <f>H134*GoldPoints*G134</f>
        <v>0</v>
      </c>
      <c r="L134" s="7">
        <f>I134*SilverPoints*G134</f>
        <v>0</v>
      </c>
      <c r="M134" s="7">
        <f>J134*BronzePoints*G134</f>
        <v>0</v>
      </c>
      <c r="N134" s="7">
        <f t="shared" si="1"/>
        <v>0</v>
      </c>
      <c r="O134" s="7" t="b">
        <f t="array" ref="O134">IF(E134="",FALSE,IFERROR(AND(ISNUMBER(MATCH(E134,Countries!$A$2:$A$72,0)),XLOOKUP(E134,Countries!$A$2:$A$72,Countries!$I$2:$I$72,FALSE)),FALSE))</f>
        <v>0</v>
      </c>
      <c r="P134" s="7" t="b">
        <f t="array" ref="P134">IF(E134="",FALSE,IFERROR(XLOOKUP(E134,Countries!$A$2:$A$72,Countries!$G$2:$G$72,FALSE),FALSE))</f>
        <v>0</v>
      </c>
      <c r="Q134" s="7" t="str">
        <f t="shared" si="2"/>
        <v>⚪</v>
      </c>
    </row>
    <row r="135" ht="15.75" customHeight="1">
      <c r="A135" s="7" t="str">
        <f t="array" ref="A135">IFERROR(IF(INDEX(Entries!$C$2:$C$48,17)="","",INDEX(Entries!$Q$2:$Q$48,17)),"")</f>
        <v/>
      </c>
      <c r="B135" s="7" t="str">
        <f t="array" ref="B135">IF(A135="","",IFERROR(INDEX(Entries!$E$2:$E$48,17),""))</f>
        <v/>
      </c>
      <c r="C135" s="7" t="str">
        <f>IF(A135="","","Tier5_Pick1")</f>
        <v/>
      </c>
      <c r="D135" s="7" t="str">
        <f>IF(A135="","",5)</f>
        <v/>
      </c>
      <c r="E135" s="7" t="str">
        <f t="array" ref="E135">IF(A135="","",IFERROR(INDEX(Entries!$J$2:$J$48,17),""))</f>
        <v/>
      </c>
      <c r="F135" s="7" t="str">
        <f>IF(E135="","",IFERROR(_xludf.XLOOKUP(E135,Countries!$A$2:$A$72,Countries!$B$2:$B$72,"???"),"???"))</f>
        <v/>
      </c>
      <c r="G135" s="7">
        <f t="array" ref="G135">IF(E135="",0,IFERROR(XLOOKUP(E135,Countries!$A$2:$A$72,Countries!$E$2:$E$72,0),0))</f>
        <v>0</v>
      </c>
      <c r="H135" s="7">
        <f t="array" ref="H135">IF(E135="",0,IFERROR(XLOOKUP(E135,Medals!$B$2:$B$51,Medals!$D$2:$D$51,0),0))</f>
        <v>0</v>
      </c>
      <c r="I135" s="7">
        <f t="array" ref="I135">IF(E135="",0,IFERROR(XLOOKUP(E135,Medals!$B$2:$B$51,Medals!$E$2:$E$51,0),0))</f>
        <v>0</v>
      </c>
      <c r="J135" s="7">
        <f t="array" ref="J135">IF(E135="",0,IFERROR(XLOOKUP(E135,Medals!$B$2:$B$51,Medals!$F$2:$F$51,0),0))</f>
        <v>0</v>
      </c>
      <c r="K135" s="7">
        <f>H135*GoldPoints*G135</f>
        <v>0</v>
      </c>
      <c r="L135" s="7">
        <f>I135*SilverPoints*G135</f>
        <v>0</v>
      </c>
      <c r="M135" s="7">
        <f>J135*BronzePoints*G135</f>
        <v>0</v>
      </c>
      <c r="N135" s="7">
        <f t="shared" si="1"/>
        <v>0</v>
      </c>
      <c r="O135" s="7" t="b">
        <f t="array" ref="O135">IF(E135="",FALSE,IFERROR(AND(ISNUMBER(MATCH(E135,Countries!$A$2:$A$72,0)),XLOOKUP(E135,Countries!$A$2:$A$72,Countries!$I$2:$I$72,FALSE)),FALSE))</f>
        <v>0</v>
      </c>
      <c r="P135" s="7" t="b">
        <f t="array" ref="P135">IF(E135="",FALSE,IFERROR(XLOOKUP(E135,Countries!$A$2:$A$72,Countries!$G$2:$G$72,FALSE),FALSE))</f>
        <v>0</v>
      </c>
      <c r="Q135" s="7" t="str">
        <f t="shared" si="2"/>
        <v>⚪</v>
      </c>
    </row>
    <row r="136" ht="15.75" customHeight="1">
      <c r="A136" s="7" t="str">
        <f t="array" ref="A136">IFERROR(IF(INDEX(Entries!$C$2:$C$48,17)="","",INDEX(Entries!$Q$2:$Q$48,17)),"")</f>
        <v/>
      </c>
      <c r="B136" s="7" t="str">
        <f t="array" ref="B136">IF(A136="","",IFERROR(INDEX(Entries!$E$2:$E$48,17),""))</f>
        <v/>
      </c>
      <c r="C136" s="7" t="str">
        <f>IF(A136="","","Tier6_Pick1")</f>
        <v/>
      </c>
      <c r="D136" s="7" t="str">
        <f t="shared" ref="D136:D137" si="36">IF(A136="","",6)</f>
        <v/>
      </c>
      <c r="E136" s="7" t="str">
        <f t="array" ref="E136">IF(A136="","",IFERROR(INDEX(Entries!$O$2:$O$48,17),""))</f>
        <v/>
      </c>
      <c r="F136" s="7" t="str">
        <f>IF(E136="","",IFERROR(_xludf.XLOOKUP(E136,Countries!$A$2:$A$72,Countries!$B$2:$B$72,"???"),"???"))</f>
        <v/>
      </c>
      <c r="G136" s="7">
        <f t="array" ref="G136">IF(E136="",0,IFERROR(XLOOKUP(E136,Countries!$A$2:$A$72,Countries!$E$2:$E$72,0),0))</f>
        <v>0</v>
      </c>
      <c r="H136" s="7">
        <f t="array" ref="H136">IF(E136="",0,IFERROR(XLOOKUP(E136,Medals!$B$2:$B$51,Medals!$D$2:$D$51,0),0))</f>
        <v>0</v>
      </c>
      <c r="I136" s="7">
        <f t="array" ref="I136">IF(E136="",0,IFERROR(XLOOKUP(E136,Medals!$B$2:$B$51,Medals!$E$2:$E$51,0),0))</f>
        <v>0</v>
      </c>
      <c r="J136" s="7">
        <f t="array" ref="J136">IF(E136="",0,IFERROR(XLOOKUP(E136,Medals!$B$2:$B$51,Medals!$F$2:$F$51,0),0))</f>
        <v>0</v>
      </c>
      <c r="K136" s="7">
        <f>H136*GoldPoints*G136</f>
        <v>0</v>
      </c>
      <c r="L136" s="7">
        <f>I136*SilverPoints*G136</f>
        <v>0</v>
      </c>
      <c r="M136" s="7">
        <f>J136*BronzePoints*G136</f>
        <v>0</v>
      </c>
      <c r="N136" s="7">
        <f t="shared" si="1"/>
        <v>0</v>
      </c>
      <c r="O136" s="7" t="b">
        <f t="array" ref="O136">IF(E136="",FALSE,IFERROR(AND(ISNUMBER(MATCH(E136,Countries!$A$2:$A$72,0)),XLOOKUP(E136,Countries!$A$2:$A$72,Countries!$I$2:$I$72,FALSE)),FALSE))</f>
        <v>0</v>
      </c>
      <c r="P136" s="7" t="b">
        <f t="array" ref="P136">IF(E136="",FALSE,IFERROR(XLOOKUP(E136,Countries!$A$2:$A$72,Countries!$G$2:$G$72,FALSE),FALSE))</f>
        <v>0</v>
      </c>
      <c r="Q136" s="7" t="str">
        <f t="shared" si="2"/>
        <v>⚪</v>
      </c>
    </row>
    <row r="137" ht="15.75" customHeight="1">
      <c r="A137" s="7" t="str">
        <f t="array" ref="A137">IFERROR(IF(INDEX(Entries!$C$2:$C$48,17)="","",INDEX(Entries!$Q$2:$Q$48,17)),"")</f>
        <v/>
      </c>
      <c r="B137" s="7" t="str">
        <f t="array" ref="B137">IF(A137="","",IFERROR(INDEX(Entries!$E$2:$E$48,17),""))</f>
        <v/>
      </c>
      <c r="C137" s="7" t="str">
        <f>IF(A137="","","Tier6_Pick2")</f>
        <v/>
      </c>
      <c r="D137" s="7" t="str">
        <f t="shared" si="36"/>
        <v/>
      </c>
      <c r="E137" s="7" t="str">
        <f t="array" ref="E137">IF(A137="","",IFERROR(INDEX(Entries!$P$2:$P$48,17),""))</f>
        <v/>
      </c>
      <c r="F137" s="7" t="str">
        <f>IF(E137="","",IFERROR(_xludf.XLOOKUP(E137,Countries!$A$2:$A$72,Countries!$B$2:$B$72,"???"),"???"))</f>
        <v/>
      </c>
      <c r="G137" s="7">
        <f t="array" ref="G137">IF(E137="",0,IFERROR(XLOOKUP(E137,Countries!$A$2:$A$72,Countries!$E$2:$E$72,0),0))</f>
        <v>0</v>
      </c>
      <c r="H137" s="7">
        <f t="array" ref="H137">IF(E137="",0,IFERROR(XLOOKUP(E137,Medals!$B$2:$B$51,Medals!$D$2:$D$51,0),0))</f>
        <v>0</v>
      </c>
      <c r="I137" s="7">
        <f t="array" ref="I137">IF(E137="",0,IFERROR(XLOOKUP(E137,Medals!$B$2:$B$51,Medals!$E$2:$E$51,0),0))</f>
        <v>0</v>
      </c>
      <c r="J137" s="7">
        <f t="array" ref="J137">IF(E137="",0,IFERROR(XLOOKUP(E137,Medals!$B$2:$B$51,Medals!$F$2:$F$51,0),0))</f>
        <v>0</v>
      </c>
      <c r="K137" s="7">
        <f>H137*GoldPoints*G137</f>
        <v>0</v>
      </c>
      <c r="L137" s="7">
        <f>I137*SilverPoints*G137</f>
        <v>0</v>
      </c>
      <c r="M137" s="7">
        <f>J137*BronzePoints*G137</f>
        <v>0</v>
      </c>
      <c r="N137" s="7">
        <f t="shared" si="1"/>
        <v>0</v>
      </c>
      <c r="O137" s="7" t="b">
        <f t="array" ref="O137">IF(E137="",FALSE,IFERROR(AND(ISNUMBER(MATCH(E137,Countries!$A$2:$A$72,0)),XLOOKUP(E137,Countries!$A$2:$A$72,Countries!$I$2:$I$72,FALSE)),FALSE))</f>
        <v>0</v>
      </c>
      <c r="P137" s="7" t="b">
        <f t="array" ref="P137">IF(E137="",FALSE,IFERROR(XLOOKUP(E137,Countries!$A$2:$A$72,Countries!$G$2:$G$72,FALSE),FALSE))</f>
        <v>0</v>
      </c>
      <c r="Q137" s="7" t="str">
        <f t="shared" si="2"/>
        <v>⚪</v>
      </c>
    </row>
    <row r="138" ht="15.75" customHeight="1">
      <c r="A138" s="7" t="str">
        <f t="array" ref="A138">IFERROR(IF(INDEX(Entries!$C$2:$C$48,18)="","",INDEX(Entries!$Q$2:$Q$48,18)),"")</f>
        <v/>
      </c>
      <c r="B138" s="7" t="str">
        <f t="array" ref="B138">IF(A138="","",IFERROR(INDEX(Entries!$E$2:$E$48,18),""))</f>
        <v/>
      </c>
      <c r="C138" s="7" t="str">
        <f>IF(A138="","","Tier1_Pick1")</f>
        <v/>
      </c>
      <c r="D138" s="7" t="str">
        <f>IF(A138="","",1)</f>
        <v/>
      </c>
      <c r="E138" s="7" t="str">
        <f t="array" ref="E138">IF(A138="","",IFERROR(INDEX(Entries!$F$2:$F$48,18),""))</f>
        <v/>
      </c>
      <c r="F138" s="7" t="str">
        <f>IF(E138="","",IFERROR(_xludf.XLOOKUP(E138,Countries!$A$2:$A$72,Countries!$B$2:$B$72,"???"),"???"))</f>
        <v/>
      </c>
      <c r="G138" s="7">
        <f t="array" ref="G138">IF(E138="",0,IFERROR(XLOOKUP(E138,Countries!$A$2:$A$72,Countries!$E$2:$E$72,0),0))</f>
        <v>0</v>
      </c>
      <c r="H138" s="7">
        <f t="array" ref="H138">IF(E138="",0,IFERROR(XLOOKUP(E138,Medals!$B$2:$B$51,Medals!$D$2:$D$51,0),0))</f>
        <v>0</v>
      </c>
      <c r="I138" s="7">
        <f t="array" ref="I138">IF(E138="",0,IFERROR(XLOOKUP(E138,Medals!$B$2:$B$51,Medals!$E$2:$E$51,0),0))</f>
        <v>0</v>
      </c>
      <c r="J138" s="7">
        <f t="array" ref="J138">IF(E138="",0,IFERROR(XLOOKUP(E138,Medals!$B$2:$B$51,Medals!$F$2:$F$51,0),0))</f>
        <v>0</v>
      </c>
      <c r="K138" s="7">
        <f>H138*GoldPoints*G138</f>
        <v>0</v>
      </c>
      <c r="L138" s="7">
        <f>I138*SilverPoints*G138</f>
        <v>0</v>
      </c>
      <c r="M138" s="7">
        <f>J138*BronzePoints*G138</f>
        <v>0</v>
      </c>
      <c r="N138" s="7">
        <f t="shared" si="1"/>
        <v>0</v>
      </c>
      <c r="O138" s="7" t="b">
        <f t="array" ref="O138">IF(E138="",FALSE,IFERROR(AND(ISNUMBER(MATCH(E138,Countries!$A$2:$A$72,0)),XLOOKUP(E138,Countries!$A$2:$A$72,Countries!$I$2:$I$72,FALSE)),FALSE))</f>
        <v>0</v>
      </c>
      <c r="P138" s="7" t="b">
        <f t="array" ref="P138">IF(E138="",FALSE,IFERROR(XLOOKUP(E138,Countries!$A$2:$A$72,Countries!$G$2:$G$72,FALSE),FALSE))</f>
        <v>0</v>
      </c>
      <c r="Q138" s="7" t="str">
        <f t="shared" si="2"/>
        <v>⚪</v>
      </c>
    </row>
    <row r="139" ht="15.75" customHeight="1">
      <c r="A139" s="7" t="str">
        <f t="array" ref="A139">IFERROR(IF(INDEX(Entries!$C$2:$C$48,18)="","",INDEX(Entries!$Q$2:$Q$48,18)),"")</f>
        <v/>
      </c>
      <c r="B139" s="7" t="str">
        <f t="array" ref="B139">IF(A139="","",IFERROR(INDEX(Entries!$E$2:$E$48,18),""))</f>
        <v/>
      </c>
      <c r="C139" s="7" t="str">
        <f>IF(A139="","","Tier2_Pick1")</f>
        <v/>
      </c>
      <c r="D139" s="7" t="str">
        <f t="shared" ref="D139:D140" si="37">IF(A139="","",2)</f>
        <v/>
      </c>
      <c r="E139" s="7" t="str">
        <f t="array" ref="E139">IF(A139="","",IFERROR(INDEX(Entries!$M$2:$M$48,18),""))</f>
        <v/>
      </c>
      <c r="F139" s="7" t="str">
        <f>IF(E139="","",IFERROR(_xludf.XLOOKUP(E139,Countries!$A$2:$A$72,Countries!$B$2:$B$72,"???"),"???"))</f>
        <v/>
      </c>
      <c r="G139" s="7">
        <f t="array" ref="G139">IF(E139="",0,IFERROR(XLOOKUP(E139,Countries!$A$2:$A$72,Countries!$E$2:$E$72,0),0))</f>
        <v>0</v>
      </c>
      <c r="H139" s="7">
        <f t="array" ref="H139">IF(E139="",0,IFERROR(XLOOKUP(E139,Medals!$B$2:$B$51,Medals!$D$2:$D$51,0),0))</f>
        <v>0</v>
      </c>
      <c r="I139" s="7">
        <f t="array" ref="I139">IF(E139="",0,IFERROR(XLOOKUP(E139,Medals!$B$2:$B$51,Medals!$E$2:$E$51,0),0))</f>
        <v>0</v>
      </c>
      <c r="J139" s="7">
        <f t="array" ref="J139">IF(E139="",0,IFERROR(XLOOKUP(E139,Medals!$B$2:$B$51,Medals!$F$2:$F$51,0),0))</f>
        <v>0</v>
      </c>
      <c r="K139" s="7">
        <f>H139*GoldPoints*G139</f>
        <v>0</v>
      </c>
      <c r="L139" s="7">
        <f>I139*SilverPoints*G139</f>
        <v>0</v>
      </c>
      <c r="M139" s="7">
        <f>J139*BronzePoints*G139</f>
        <v>0</v>
      </c>
      <c r="N139" s="7">
        <f t="shared" si="1"/>
        <v>0</v>
      </c>
      <c r="O139" s="7" t="b">
        <f t="array" ref="O139">IF(E139="",FALSE,IFERROR(AND(ISNUMBER(MATCH(E139,Countries!$A$2:$A$72,0)),XLOOKUP(E139,Countries!$A$2:$A$72,Countries!$I$2:$I$72,FALSE)),FALSE))</f>
        <v>0</v>
      </c>
      <c r="P139" s="7" t="b">
        <f t="array" ref="P139">IF(E139="",FALSE,IFERROR(XLOOKUP(E139,Countries!$A$2:$A$72,Countries!$G$2:$G$72,FALSE),FALSE))</f>
        <v>0</v>
      </c>
      <c r="Q139" s="7" t="str">
        <f t="shared" si="2"/>
        <v>⚪</v>
      </c>
    </row>
    <row r="140" ht="15.75" customHeight="1">
      <c r="A140" s="7" t="str">
        <f t="array" ref="A140">IFERROR(IF(INDEX(Entries!$C$2:$C$48,18)="","",INDEX(Entries!$Q$2:$Q$48,18)),"")</f>
        <v/>
      </c>
      <c r="B140" s="7" t="str">
        <f t="array" ref="B140">IF(A140="","",IFERROR(INDEX(Entries!$E$2:$E$48,18),""))</f>
        <v/>
      </c>
      <c r="C140" s="7" t="str">
        <f>IF(A140="","","Tier2_Pick2")</f>
        <v/>
      </c>
      <c r="D140" s="7" t="str">
        <f t="shared" si="37"/>
        <v/>
      </c>
      <c r="E140" s="7" t="str">
        <f t="array" ref="E140">IF(A140="","",IFERROR(INDEX(Entries!$N$2:$N$48,18),""))</f>
        <v/>
      </c>
      <c r="F140" s="7" t="str">
        <f>IF(E140="","",IFERROR(_xludf.XLOOKUP(E140,Countries!$A$2:$A$72,Countries!$B$2:$B$72,"???"),"???"))</f>
        <v/>
      </c>
      <c r="G140" s="7">
        <f t="array" ref="G140">IF(E140="",0,IFERROR(XLOOKUP(E140,Countries!$A$2:$A$72,Countries!$E$2:$E$72,0),0))</f>
        <v>0</v>
      </c>
      <c r="H140" s="7">
        <f t="array" ref="H140">IF(E140="",0,IFERROR(XLOOKUP(E140,Medals!$B$2:$B$51,Medals!$D$2:$D$51,0),0))</f>
        <v>0</v>
      </c>
      <c r="I140" s="7">
        <f t="array" ref="I140">IF(E140="",0,IFERROR(XLOOKUP(E140,Medals!$B$2:$B$51,Medals!$E$2:$E$51,0),0))</f>
        <v>0</v>
      </c>
      <c r="J140" s="7">
        <f t="array" ref="J140">IF(E140="",0,IFERROR(XLOOKUP(E140,Medals!$B$2:$B$51,Medals!$F$2:$F$51,0),0))</f>
        <v>0</v>
      </c>
      <c r="K140" s="7">
        <f>H140*GoldPoints*G140</f>
        <v>0</v>
      </c>
      <c r="L140" s="7">
        <f>I140*SilverPoints*G140</f>
        <v>0</v>
      </c>
      <c r="M140" s="7">
        <f>J140*BronzePoints*G140</f>
        <v>0</v>
      </c>
      <c r="N140" s="7">
        <f t="shared" si="1"/>
        <v>0</v>
      </c>
      <c r="O140" s="7" t="b">
        <f t="array" ref="O140">IF(E140="",FALSE,IFERROR(AND(ISNUMBER(MATCH(E140,Countries!$A$2:$A$72,0)),XLOOKUP(E140,Countries!$A$2:$A$72,Countries!$I$2:$I$72,FALSE)),FALSE))</f>
        <v>0</v>
      </c>
      <c r="P140" s="7" t="b">
        <f t="array" ref="P140">IF(E140="",FALSE,IFERROR(XLOOKUP(E140,Countries!$A$2:$A$72,Countries!$G$2:$G$72,FALSE),FALSE))</f>
        <v>0</v>
      </c>
      <c r="Q140" s="7" t="str">
        <f t="shared" si="2"/>
        <v>⚪</v>
      </c>
    </row>
    <row r="141" ht="15.75" customHeight="1">
      <c r="A141" s="7" t="str">
        <f t="array" ref="A141">IFERROR(IF(INDEX(Entries!$C$2:$C$48,18)="","",INDEX(Entries!$Q$2:$Q$48,18)),"")</f>
        <v/>
      </c>
      <c r="B141" s="7" t="str">
        <f t="array" ref="B141">IF(A141="","",IFERROR(INDEX(Entries!$E$2:$E$48,18),""))</f>
        <v/>
      </c>
      <c r="C141" s="7" t="str">
        <f>IF(A141="","","Tier3_Pick1")</f>
        <v/>
      </c>
      <c r="D141" s="7" t="str">
        <f>IF(A141="","",3)</f>
        <v/>
      </c>
      <c r="E141" s="7" t="str">
        <f t="array" ref="E141">IF(A141="","",IFERROR(INDEX(Entries!$H$2:$H$48,18),""))</f>
        <v/>
      </c>
      <c r="F141" s="7" t="str">
        <f>IF(E141="","",IFERROR(_xludf.XLOOKUP(E141,Countries!$A$2:$A$72,Countries!$B$2:$B$72,"???"),"???"))</f>
        <v/>
      </c>
      <c r="G141" s="7">
        <f t="array" ref="G141">IF(E141="",0,IFERROR(XLOOKUP(E141,Countries!$A$2:$A$72,Countries!$E$2:$E$72,0),0))</f>
        <v>0</v>
      </c>
      <c r="H141" s="7">
        <f t="array" ref="H141">IF(E141="",0,IFERROR(XLOOKUP(E141,Medals!$B$2:$B$51,Medals!$D$2:$D$51,0),0))</f>
        <v>0</v>
      </c>
      <c r="I141" s="7">
        <f t="array" ref="I141">IF(E141="",0,IFERROR(XLOOKUP(E141,Medals!$B$2:$B$51,Medals!$E$2:$E$51,0),0))</f>
        <v>0</v>
      </c>
      <c r="J141" s="7">
        <f t="array" ref="J141">IF(E141="",0,IFERROR(XLOOKUP(E141,Medals!$B$2:$B$51,Medals!$F$2:$F$51,0),0))</f>
        <v>0</v>
      </c>
      <c r="K141" s="7">
        <f>H141*GoldPoints*G141</f>
        <v>0</v>
      </c>
      <c r="L141" s="7">
        <f>I141*SilverPoints*G141</f>
        <v>0</v>
      </c>
      <c r="M141" s="7">
        <f>J141*BronzePoints*G141</f>
        <v>0</v>
      </c>
      <c r="N141" s="7">
        <f t="shared" si="1"/>
        <v>0</v>
      </c>
      <c r="O141" s="7" t="b">
        <f t="array" ref="O141">IF(E141="",FALSE,IFERROR(AND(ISNUMBER(MATCH(E141,Countries!$A$2:$A$72,0)),XLOOKUP(E141,Countries!$A$2:$A$72,Countries!$I$2:$I$72,FALSE)),FALSE))</f>
        <v>0</v>
      </c>
      <c r="P141" s="7" t="b">
        <f t="array" ref="P141">IF(E141="",FALSE,IFERROR(XLOOKUP(E141,Countries!$A$2:$A$72,Countries!$G$2:$G$72,FALSE),FALSE))</f>
        <v>0</v>
      </c>
      <c r="Q141" s="7" t="str">
        <f t="shared" si="2"/>
        <v>⚪</v>
      </c>
    </row>
    <row r="142" ht="15.75" customHeight="1">
      <c r="A142" s="7" t="str">
        <f t="array" ref="A142">IFERROR(IF(INDEX(Entries!$C$2:$C$48,18)="","",INDEX(Entries!$Q$2:$Q$48,18)),"")</f>
        <v/>
      </c>
      <c r="B142" s="7" t="str">
        <f t="array" ref="B142">IF(A142="","",IFERROR(INDEX(Entries!$E$2:$E$48,18),""))</f>
        <v/>
      </c>
      <c r="C142" s="7" t="str">
        <f>IF(A142="","","Tier4_Pick1")</f>
        <v/>
      </c>
      <c r="D142" s="7" t="str">
        <f>IF(A142="","",4)</f>
        <v/>
      </c>
      <c r="E142" s="7" t="str">
        <f t="array" ref="E142">IF(A142="","",IFERROR(INDEX(Entries!$I$2:$I$48,18),""))</f>
        <v/>
      </c>
      <c r="F142" s="7" t="str">
        <f>IF(E142="","",IFERROR(_xludf.XLOOKUP(E142,Countries!$A$2:$A$72,Countries!$B$2:$B$72,"???"),"???"))</f>
        <v/>
      </c>
      <c r="G142" s="7">
        <f t="array" ref="G142">IF(E142="",0,IFERROR(XLOOKUP(E142,Countries!$A$2:$A$72,Countries!$E$2:$E$72,0),0))</f>
        <v>0</v>
      </c>
      <c r="H142" s="7">
        <f t="array" ref="H142">IF(E142="",0,IFERROR(XLOOKUP(E142,Medals!$B$2:$B$51,Medals!$D$2:$D$51,0),0))</f>
        <v>0</v>
      </c>
      <c r="I142" s="7">
        <f t="array" ref="I142">IF(E142="",0,IFERROR(XLOOKUP(E142,Medals!$B$2:$B$51,Medals!$E$2:$E$51,0),0))</f>
        <v>0</v>
      </c>
      <c r="J142" s="7">
        <f t="array" ref="J142">IF(E142="",0,IFERROR(XLOOKUP(E142,Medals!$B$2:$B$51,Medals!$F$2:$F$51,0),0))</f>
        <v>0</v>
      </c>
      <c r="K142" s="7">
        <f>H142*GoldPoints*G142</f>
        <v>0</v>
      </c>
      <c r="L142" s="7">
        <f>I142*SilverPoints*G142</f>
        <v>0</v>
      </c>
      <c r="M142" s="7">
        <f>J142*BronzePoints*G142</f>
        <v>0</v>
      </c>
      <c r="N142" s="7">
        <f t="shared" si="1"/>
        <v>0</v>
      </c>
      <c r="O142" s="7" t="b">
        <f t="array" ref="O142">IF(E142="",FALSE,IFERROR(AND(ISNUMBER(MATCH(E142,Countries!$A$2:$A$72,0)),XLOOKUP(E142,Countries!$A$2:$A$72,Countries!$I$2:$I$72,FALSE)),FALSE))</f>
        <v>0</v>
      </c>
      <c r="P142" s="7" t="b">
        <f t="array" ref="P142">IF(E142="",FALSE,IFERROR(XLOOKUP(E142,Countries!$A$2:$A$72,Countries!$G$2:$G$72,FALSE),FALSE))</f>
        <v>0</v>
      </c>
      <c r="Q142" s="7" t="str">
        <f t="shared" si="2"/>
        <v>⚪</v>
      </c>
    </row>
    <row r="143" ht="15.75" customHeight="1">
      <c r="A143" s="7" t="str">
        <f t="array" ref="A143">IFERROR(IF(INDEX(Entries!$C$2:$C$48,18)="","",INDEX(Entries!$Q$2:$Q$48,18)),"")</f>
        <v/>
      </c>
      <c r="B143" s="7" t="str">
        <f t="array" ref="B143">IF(A143="","",IFERROR(INDEX(Entries!$E$2:$E$48,18),""))</f>
        <v/>
      </c>
      <c r="C143" s="7" t="str">
        <f>IF(A143="","","Tier5_Pick1")</f>
        <v/>
      </c>
      <c r="D143" s="7" t="str">
        <f>IF(A143="","",5)</f>
        <v/>
      </c>
      <c r="E143" s="7" t="str">
        <f t="array" ref="E143">IF(A143="","",IFERROR(INDEX(Entries!$J$2:$J$48,18),""))</f>
        <v/>
      </c>
      <c r="F143" s="7" t="str">
        <f>IF(E143="","",IFERROR(_xludf.XLOOKUP(E143,Countries!$A$2:$A$72,Countries!$B$2:$B$72,"???"),"???"))</f>
        <v/>
      </c>
      <c r="G143" s="7">
        <f t="array" ref="G143">IF(E143="",0,IFERROR(XLOOKUP(E143,Countries!$A$2:$A$72,Countries!$E$2:$E$72,0),0))</f>
        <v>0</v>
      </c>
      <c r="H143" s="7">
        <f t="array" ref="H143">IF(E143="",0,IFERROR(XLOOKUP(E143,Medals!$B$2:$B$51,Medals!$D$2:$D$51,0),0))</f>
        <v>0</v>
      </c>
      <c r="I143" s="7">
        <f t="array" ref="I143">IF(E143="",0,IFERROR(XLOOKUP(E143,Medals!$B$2:$B$51,Medals!$E$2:$E$51,0),0))</f>
        <v>0</v>
      </c>
      <c r="J143" s="7">
        <f t="array" ref="J143">IF(E143="",0,IFERROR(XLOOKUP(E143,Medals!$B$2:$B$51,Medals!$F$2:$F$51,0),0))</f>
        <v>0</v>
      </c>
      <c r="K143" s="7">
        <f>H143*GoldPoints*G143</f>
        <v>0</v>
      </c>
      <c r="L143" s="7">
        <f>I143*SilverPoints*G143</f>
        <v>0</v>
      </c>
      <c r="M143" s="7">
        <f>J143*BronzePoints*G143</f>
        <v>0</v>
      </c>
      <c r="N143" s="7">
        <f t="shared" si="1"/>
        <v>0</v>
      </c>
      <c r="O143" s="7" t="b">
        <f t="array" ref="O143">IF(E143="",FALSE,IFERROR(AND(ISNUMBER(MATCH(E143,Countries!$A$2:$A$72,0)),XLOOKUP(E143,Countries!$A$2:$A$72,Countries!$I$2:$I$72,FALSE)),FALSE))</f>
        <v>0</v>
      </c>
      <c r="P143" s="7" t="b">
        <f t="array" ref="P143">IF(E143="",FALSE,IFERROR(XLOOKUP(E143,Countries!$A$2:$A$72,Countries!$G$2:$G$72,FALSE),FALSE))</f>
        <v>0</v>
      </c>
      <c r="Q143" s="7" t="str">
        <f t="shared" si="2"/>
        <v>⚪</v>
      </c>
    </row>
    <row r="144" ht="15.75" customHeight="1">
      <c r="A144" s="7" t="str">
        <f t="array" ref="A144">IFERROR(IF(INDEX(Entries!$C$2:$C$48,18)="","",INDEX(Entries!$Q$2:$Q$48,18)),"")</f>
        <v/>
      </c>
      <c r="B144" s="7" t="str">
        <f t="array" ref="B144">IF(A144="","",IFERROR(INDEX(Entries!$E$2:$E$48,18),""))</f>
        <v/>
      </c>
      <c r="C144" s="7" t="str">
        <f>IF(A144="","","Tier6_Pick1")</f>
        <v/>
      </c>
      <c r="D144" s="7" t="str">
        <f t="shared" ref="D144:D145" si="38">IF(A144="","",6)</f>
        <v/>
      </c>
      <c r="E144" s="7" t="str">
        <f t="array" ref="E144">IF(A144="","",IFERROR(INDEX(Entries!$O$2:$O$48,18),""))</f>
        <v/>
      </c>
      <c r="F144" s="7" t="str">
        <f>IF(E144="","",IFERROR(_xludf.XLOOKUP(E144,Countries!$A$2:$A$72,Countries!$B$2:$B$72,"???"),"???"))</f>
        <v/>
      </c>
      <c r="G144" s="7">
        <f t="array" ref="G144">IF(E144="",0,IFERROR(XLOOKUP(E144,Countries!$A$2:$A$72,Countries!$E$2:$E$72,0),0))</f>
        <v>0</v>
      </c>
      <c r="H144" s="7">
        <f t="array" ref="H144">IF(E144="",0,IFERROR(XLOOKUP(E144,Medals!$B$2:$B$51,Medals!$D$2:$D$51,0),0))</f>
        <v>0</v>
      </c>
      <c r="I144" s="7">
        <f t="array" ref="I144">IF(E144="",0,IFERROR(XLOOKUP(E144,Medals!$B$2:$B$51,Medals!$E$2:$E$51,0),0))</f>
        <v>0</v>
      </c>
      <c r="J144" s="7">
        <f t="array" ref="J144">IF(E144="",0,IFERROR(XLOOKUP(E144,Medals!$B$2:$B$51,Medals!$F$2:$F$51,0),0))</f>
        <v>0</v>
      </c>
      <c r="K144" s="7">
        <f>H144*GoldPoints*G144</f>
        <v>0</v>
      </c>
      <c r="L144" s="7">
        <f>I144*SilverPoints*G144</f>
        <v>0</v>
      </c>
      <c r="M144" s="7">
        <f>J144*BronzePoints*G144</f>
        <v>0</v>
      </c>
      <c r="N144" s="7">
        <f t="shared" si="1"/>
        <v>0</v>
      </c>
      <c r="O144" s="7" t="b">
        <f t="array" ref="O144">IF(E144="",FALSE,IFERROR(AND(ISNUMBER(MATCH(E144,Countries!$A$2:$A$72,0)),XLOOKUP(E144,Countries!$A$2:$A$72,Countries!$I$2:$I$72,FALSE)),FALSE))</f>
        <v>0</v>
      </c>
      <c r="P144" s="7" t="b">
        <f t="array" ref="P144">IF(E144="",FALSE,IFERROR(XLOOKUP(E144,Countries!$A$2:$A$72,Countries!$G$2:$G$72,FALSE),FALSE))</f>
        <v>0</v>
      </c>
      <c r="Q144" s="7" t="str">
        <f t="shared" si="2"/>
        <v>⚪</v>
      </c>
    </row>
    <row r="145" ht="15.75" customHeight="1">
      <c r="A145" s="7" t="str">
        <f t="array" ref="A145">IFERROR(IF(INDEX(Entries!$C$2:$C$48,18)="","",INDEX(Entries!$Q$2:$Q$48,18)),"")</f>
        <v/>
      </c>
      <c r="B145" s="7" t="str">
        <f t="array" ref="B145">IF(A145="","",IFERROR(INDEX(Entries!$E$2:$E$48,18),""))</f>
        <v/>
      </c>
      <c r="C145" s="7" t="str">
        <f>IF(A145="","","Tier6_Pick2")</f>
        <v/>
      </c>
      <c r="D145" s="7" t="str">
        <f t="shared" si="38"/>
        <v/>
      </c>
      <c r="E145" s="7" t="str">
        <f t="array" ref="E145">IF(A145="","",IFERROR(INDEX(Entries!$P$2:$P$48,18),""))</f>
        <v/>
      </c>
      <c r="F145" s="7" t="str">
        <f>IF(E145="","",IFERROR(_xludf.XLOOKUP(E145,Countries!$A$2:$A$72,Countries!$B$2:$B$72,"???"),"???"))</f>
        <v/>
      </c>
      <c r="G145" s="7">
        <f t="array" ref="G145">IF(E145="",0,IFERROR(XLOOKUP(E145,Countries!$A$2:$A$72,Countries!$E$2:$E$72,0),0))</f>
        <v>0</v>
      </c>
      <c r="H145" s="7">
        <f t="array" ref="H145">IF(E145="",0,IFERROR(XLOOKUP(E145,Medals!$B$2:$B$51,Medals!$D$2:$D$51,0),0))</f>
        <v>0</v>
      </c>
      <c r="I145" s="7">
        <f t="array" ref="I145">IF(E145="",0,IFERROR(XLOOKUP(E145,Medals!$B$2:$B$51,Medals!$E$2:$E$51,0),0))</f>
        <v>0</v>
      </c>
      <c r="J145" s="7">
        <f t="array" ref="J145">IF(E145="",0,IFERROR(XLOOKUP(E145,Medals!$B$2:$B$51,Medals!$F$2:$F$51,0),0))</f>
        <v>0</v>
      </c>
      <c r="K145" s="7">
        <f>H145*GoldPoints*G145</f>
        <v>0</v>
      </c>
      <c r="L145" s="7">
        <f>I145*SilverPoints*G145</f>
        <v>0</v>
      </c>
      <c r="M145" s="7">
        <f>J145*BronzePoints*G145</f>
        <v>0</v>
      </c>
      <c r="N145" s="7">
        <f t="shared" si="1"/>
        <v>0</v>
      </c>
      <c r="O145" s="7" t="b">
        <f t="array" ref="O145">IF(E145="",FALSE,IFERROR(AND(ISNUMBER(MATCH(E145,Countries!$A$2:$A$72,0)),XLOOKUP(E145,Countries!$A$2:$A$72,Countries!$I$2:$I$72,FALSE)),FALSE))</f>
        <v>0</v>
      </c>
      <c r="P145" s="7" t="b">
        <f t="array" ref="P145">IF(E145="",FALSE,IFERROR(XLOOKUP(E145,Countries!$A$2:$A$72,Countries!$G$2:$G$72,FALSE),FALSE))</f>
        <v>0</v>
      </c>
      <c r="Q145" s="7" t="str">
        <f t="shared" si="2"/>
        <v>⚪</v>
      </c>
    </row>
    <row r="146" ht="15.75" customHeight="1">
      <c r="A146" s="7" t="str">
        <f t="array" ref="A146">IFERROR(IF(INDEX(Entries!$C$2:$C$48,19)="","",INDEX(Entries!$Q$2:$Q$48,19)),"")</f>
        <v/>
      </c>
      <c r="B146" s="7" t="str">
        <f t="array" ref="B146">IF(A146="","",IFERROR(INDEX(Entries!$E$2:$E$48,19),""))</f>
        <v/>
      </c>
      <c r="C146" s="7" t="str">
        <f>IF(A146="","","Tier1_Pick1")</f>
        <v/>
      </c>
      <c r="D146" s="7" t="str">
        <f>IF(A146="","",1)</f>
        <v/>
      </c>
      <c r="E146" s="7" t="str">
        <f t="array" ref="E146">IF(A146="","",IFERROR(INDEX(Entries!$F$2:$F$48,19),""))</f>
        <v/>
      </c>
      <c r="F146" s="7" t="str">
        <f>IF(E146="","",IFERROR(_xludf.XLOOKUP(E146,Countries!$A$2:$A$72,Countries!$B$2:$B$72,"???"),"???"))</f>
        <v/>
      </c>
      <c r="G146" s="7">
        <f t="array" ref="G146">IF(E146="",0,IFERROR(XLOOKUP(E146,Countries!$A$2:$A$72,Countries!$E$2:$E$72,0),0))</f>
        <v>0</v>
      </c>
      <c r="H146" s="7">
        <f t="array" ref="H146">IF(E146="",0,IFERROR(XLOOKUP(E146,Medals!$B$2:$B$51,Medals!$D$2:$D$51,0),0))</f>
        <v>0</v>
      </c>
      <c r="I146" s="7">
        <f t="array" ref="I146">IF(E146="",0,IFERROR(XLOOKUP(E146,Medals!$B$2:$B$51,Medals!$E$2:$E$51,0),0))</f>
        <v>0</v>
      </c>
      <c r="J146" s="7">
        <f t="array" ref="J146">IF(E146="",0,IFERROR(XLOOKUP(E146,Medals!$B$2:$B$51,Medals!$F$2:$F$51,0),0))</f>
        <v>0</v>
      </c>
      <c r="K146" s="7">
        <f>H146*GoldPoints*G146</f>
        <v>0</v>
      </c>
      <c r="L146" s="7">
        <f>I146*SilverPoints*G146</f>
        <v>0</v>
      </c>
      <c r="M146" s="7">
        <f>J146*BronzePoints*G146</f>
        <v>0</v>
      </c>
      <c r="N146" s="7">
        <f t="shared" si="1"/>
        <v>0</v>
      </c>
      <c r="O146" s="7" t="b">
        <f t="array" ref="O146">IF(E146="",FALSE,IFERROR(AND(ISNUMBER(MATCH(E146,Countries!$A$2:$A$72,0)),XLOOKUP(E146,Countries!$A$2:$A$72,Countries!$I$2:$I$72,FALSE)),FALSE))</f>
        <v>0</v>
      </c>
      <c r="P146" s="7" t="b">
        <f t="array" ref="P146">IF(E146="",FALSE,IFERROR(XLOOKUP(E146,Countries!$A$2:$A$72,Countries!$G$2:$G$72,FALSE),FALSE))</f>
        <v>0</v>
      </c>
      <c r="Q146" s="7" t="str">
        <f t="shared" si="2"/>
        <v>⚪</v>
      </c>
    </row>
    <row r="147" ht="15.75" customHeight="1">
      <c r="A147" s="7" t="str">
        <f t="array" ref="A147">IFERROR(IF(INDEX(Entries!$C$2:$C$48,19)="","",INDEX(Entries!$Q$2:$Q$48,19)),"")</f>
        <v/>
      </c>
      <c r="B147" s="7" t="str">
        <f t="array" ref="B147">IF(A147="","",IFERROR(INDEX(Entries!$E$2:$E$48,19),""))</f>
        <v/>
      </c>
      <c r="C147" s="7" t="str">
        <f>IF(A147="","","Tier2_Pick1")</f>
        <v/>
      </c>
      <c r="D147" s="7" t="str">
        <f t="shared" ref="D147:D148" si="39">IF(A147="","",2)</f>
        <v/>
      </c>
      <c r="E147" s="7" t="str">
        <f t="array" ref="E147">IF(A147="","",IFERROR(INDEX(Entries!$M$2:$M$48,19),""))</f>
        <v/>
      </c>
      <c r="F147" s="7" t="str">
        <f>IF(E147="","",IFERROR(_xludf.XLOOKUP(E147,Countries!$A$2:$A$72,Countries!$B$2:$B$72,"???"),"???"))</f>
        <v/>
      </c>
      <c r="G147" s="7">
        <f t="array" ref="G147">IF(E147="",0,IFERROR(XLOOKUP(E147,Countries!$A$2:$A$72,Countries!$E$2:$E$72,0),0))</f>
        <v>0</v>
      </c>
      <c r="H147" s="7">
        <f t="array" ref="H147">IF(E147="",0,IFERROR(XLOOKUP(E147,Medals!$B$2:$B$51,Medals!$D$2:$D$51,0),0))</f>
        <v>0</v>
      </c>
      <c r="I147" s="7">
        <f t="array" ref="I147">IF(E147="",0,IFERROR(XLOOKUP(E147,Medals!$B$2:$B$51,Medals!$E$2:$E$51,0),0))</f>
        <v>0</v>
      </c>
      <c r="J147" s="7">
        <f t="array" ref="J147">IF(E147="",0,IFERROR(XLOOKUP(E147,Medals!$B$2:$B$51,Medals!$F$2:$F$51,0),0))</f>
        <v>0</v>
      </c>
      <c r="K147" s="7">
        <f>H147*GoldPoints*G147</f>
        <v>0</v>
      </c>
      <c r="L147" s="7">
        <f>I147*SilverPoints*G147</f>
        <v>0</v>
      </c>
      <c r="M147" s="7">
        <f>J147*BronzePoints*G147</f>
        <v>0</v>
      </c>
      <c r="N147" s="7">
        <f t="shared" si="1"/>
        <v>0</v>
      </c>
      <c r="O147" s="7" t="b">
        <f t="array" ref="O147">IF(E147="",FALSE,IFERROR(AND(ISNUMBER(MATCH(E147,Countries!$A$2:$A$72,0)),XLOOKUP(E147,Countries!$A$2:$A$72,Countries!$I$2:$I$72,FALSE)),FALSE))</f>
        <v>0</v>
      </c>
      <c r="P147" s="7" t="b">
        <f t="array" ref="P147">IF(E147="",FALSE,IFERROR(XLOOKUP(E147,Countries!$A$2:$A$72,Countries!$G$2:$G$72,FALSE),FALSE))</f>
        <v>0</v>
      </c>
      <c r="Q147" s="7" t="str">
        <f t="shared" si="2"/>
        <v>⚪</v>
      </c>
    </row>
    <row r="148" ht="15.75" customHeight="1">
      <c r="A148" s="7" t="str">
        <f t="array" ref="A148">IFERROR(IF(INDEX(Entries!$C$2:$C$48,19)="","",INDEX(Entries!$Q$2:$Q$48,19)),"")</f>
        <v/>
      </c>
      <c r="B148" s="7" t="str">
        <f t="array" ref="B148">IF(A148="","",IFERROR(INDEX(Entries!$E$2:$E$48,19),""))</f>
        <v/>
      </c>
      <c r="C148" s="7" t="str">
        <f>IF(A148="","","Tier2_Pick2")</f>
        <v/>
      </c>
      <c r="D148" s="7" t="str">
        <f t="shared" si="39"/>
        <v/>
      </c>
      <c r="E148" s="7" t="str">
        <f t="array" ref="E148">IF(A148="","",IFERROR(INDEX(Entries!$N$2:$N$48,19),""))</f>
        <v/>
      </c>
      <c r="F148" s="7" t="str">
        <f>IF(E148="","",IFERROR(_xludf.XLOOKUP(E148,Countries!$A$2:$A$72,Countries!$B$2:$B$72,"???"),"???"))</f>
        <v/>
      </c>
      <c r="G148" s="7">
        <f t="array" ref="G148">IF(E148="",0,IFERROR(XLOOKUP(E148,Countries!$A$2:$A$72,Countries!$E$2:$E$72,0),0))</f>
        <v>0</v>
      </c>
      <c r="H148" s="7">
        <f t="array" ref="H148">IF(E148="",0,IFERROR(XLOOKUP(E148,Medals!$B$2:$B$51,Medals!$D$2:$D$51,0),0))</f>
        <v>0</v>
      </c>
      <c r="I148" s="7">
        <f t="array" ref="I148">IF(E148="",0,IFERROR(XLOOKUP(E148,Medals!$B$2:$B$51,Medals!$E$2:$E$51,0),0))</f>
        <v>0</v>
      </c>
      <c r="J148" s="7">
        <f t="array" ref="J148">IF(E148="",0,IFERROR(XLOOKUP(E148,Medals!$B$2:$B$51,Medals!$F$2:$F$51,0),0))</f>
        <v>0</v>
      </c>
      <c r="K148" s="7">
        <f>H148*GoldPoints*G148</f>
        <v>0</v>
      </c>
      <c r="L148" s="7">
        <f>I148*SilverPoints*G148</f>
        <v>0</v>
      </c>
      <c r="M148" s="7">
        <f>J148*BronzePoints*G148</f>
        <v>0</v>
      </c>
      <c r="N148" s="7">
        <f t="shared" si="1"/>
        <v>0</v>
      </c>
      <c r="O148" s="7" t="b">
        <f t="array" ref="O148">IF(E148="",FALSE,IFERROR(AND(ISNUMBER(MATCH(E148,Countries!$A$2:$A$72,0)),XLOOKUP(E148,Countries!$A$2:$A$72,Countries!$I$2:$I$72,FALSE)),FALSE))</f>
        <v>0</v>
      </c>
      <c r="P148" s="7" t="b">
        <f t="array" ref="P148">IF(E148="",FALSE,IFERROR(XLOOKUP(E148,Countries!$A$2:$A$72,Countries!$G$2:$G$72,FALSE),FALSE))</f>
        <v>0</v>
      </c>
      <c r="Q148" s="7" t="str">
        <f t="shared" si="2"/>
        <v>⚪</v>
      </c>
    </row>
    <row r="149" ht="15.75" customHeight="1">
      <c r="A149" s="7" t="str">
        <f t="array" ref="A149">IFERROR(IF(INDEX(Entries!$C$2:$C$48,19)="","",INDEX(Entries!$Q$2:$Q$48,19)),"")</f>
        <v/>
      </c>
      <c r="B149" s="7" t="str">
        <f t="array" ref="B149">IF(A149="","",IFERROR(INDEX(Entries!$E$2:$E$48,19),""))</f>
        <v/>
      </c>
      <c r="C149" s="7" t="str">
        <f>IF(A149="","","Tier3_Pick1")</f>
        <v/>
      </c>
      <c r="D149" s="7" t="str">
        <f>IF(A149="","",3)</f>
        <v/>
      </c>
      <c r="E149" s="7" t="str">
        <f t="array" ref="E149">IF(A149="","",IFERROR(INDEX(Entries!$H$2:$H$48,19),""))</f>
        <v/>
      </c>
      <c r="F149" s="7" t="str">
        <f>IF(E149="","",IFERROR(_xludf.XLOOKUP(E149,Countries!$A$2:$A$72,Countries!$B$2:$B$72,"???"),"???"))</f>
        <v/>
      </c>
      <c r="G149" s="7">
        <f t="array" ref="G149">IF(E149="",0,IFERROR(XLOOKUP(E149,Countries!$A$2:$A$72,Countries!$E$2:$E$72,0),0))</f>
        <v>0</v>
      </c>
      <c r="H149" s="7">
        <f t="array" ref="H149">IF(E149="",0,IFERROR(XLOOKUP(E149,Medals!$B$2:$B$51,Medals!$D$2:$D$51,0),0))</f>
        <v>0</v>
      </c>
      <c r="I149" s="7">
        <f t="array" ref="I149">IF(E149="",0,IFERROR(XLOOKUP(E149,Medals!$B$2:$B$51,Medals!$E$2:$E$51,0),0))</f>
        <v>0</v>
      </c>
      <c r="J149" s="7">
        <f t="array" ref="J149">IF(E149="",0,IFERROR(XLOOKUP(E149,Medals!$B$2:$B$51,Medals!$F$2:$F$51,0),0))</f>
        <v>0</v>
      </c>
      <c r="K149" s="7">
        <f>H149*GoldPoints*G149</f>
        <v>0</v>
      </c>
      <c r="L149" s="7">
        <f>I149*SilverPoints*G149</f>
        <v>0</v>
      </c>
      <c r="M149" s="7">
        <f>J149*BronzePoints*G149</f>
        <v>0</v>
      </c>
      <c r="N149" s="7">
        <f t="shared" si="1"/>
        <v>0</v>
      </c>
      <c r="O149" s="7" t="b">
        <f t="array" ref="O149">IF(E149="",FALSE,IFERROR(AND(ISNUMBER(MATCH(E149,Countries!$A$2:$A$72,0)),XLOOKUP(E149,Countries!$A$2:$A$72,Countries!$I$2:$I$72,FALSE)),FALSE))</f>
        <v>0</v>
      </c>
      <c r="P149" s="7" t="b">
        <f t="array" ref="P149">IF(E149="",FALSE,IFERROR(XLOOKUP(E149,Countries!$A$2:$A$72,Countries!$G$2:$G$72,FALSE),FALSE))</f>
        <v>0</v>
      </c>
      <c r="Q149" s="7" t="str">
        <f t="shared" si="2"/>
        <v>⚪</v>
      </c>
    </row>
    <row r="150" ht="15.75" customHeight="1">
      <c r="A150" s="7" t="str">
        <f t="array" ref="A150">IFERROR(IF(INDEX(Entries!$C$2:$C$48,19)="","",INDEX(Entries!$Q$2:$Q$48,19)),"")</f>
        <v/>
      </c>
      <c r="B150" s="7" t="str">
        <f t="array" ref="B150">IF(A150="","",IFERROR(INDEX(Entries!$E$2:$E$48,19),""))</f>
        <v/>
      </c>
      <c r="C150" s="7" t="str">
        <f>IF(A150="","","Tier4_Pick1")</f>
        <v/>
      </c>
      <c r="D150" s="7" t="str">
        <f>IF(A150="","",4)</f>
        <v/>
      </c>
      <c r="E150" s="7" t="str">
        <f t="array" ref="E150">IF(A150="","",IFERROR(INDEX(Entries!$I$2:$I$48,19),""))</f>
        <v/>
      </c>
      <c r="F150" s="7" t="str">
        <f>IF(E150="","",IFERROR(_xludf.XLOOKUP(E150,Countries!$A$2:$A$72,Countries!$B$2:$B$72,"???"),"???"))</f>
        <v/>
      </c>
      <c r="G150" s="7">
        <f t="array" ref="G150">IF(E150="",0,IFERROR(XLOOKUP(E150,Countries!$A$2:$A$72,Countries!$E$2:$E$72,0),0))</f>
        <v>0</v>
      </c>
      <c r="H150" s="7">
        <f t="array" ref="H150">IF(E150="",0,IFERROR(XLOOKUP(E150,Medals!$B$2:$B$51,Medals!$D$2:$D$51,0),0))</f>
        <v>0</v>
      </c>
      <c r="I150" s="7">
        <f t="array" ref="I150">IF(E150="",0,IFERROR(XLOOKUP(E150,Medals!$B$2:$B$51,Medals!$E$2:$E$51,0),0))</f>
        <v>0</v>
      </c>
      <c r="J150" s="7">
        <f t="array" ref="J150">IF(E150="",0,IFERROR(XLOOKUP(E150,Medals!$B$2:$B$51,Medals!$F$2:$F$51,0),0))</f>
        <v>0</v>
      </c>
      <c r="K150" s="7">
        <f>H150*GoldPoints*G150</f>
        <v>0</v>
      </c>
      <c r="L150" s="7">
        <f>I150*SilverPoints*G150</f>
        <v>0</v>
      </c>
      <c r="M150" s="7">
        <f>J150*BronzePoints*G150</f>
        <v>0</v>
      </c>
      <c r="N150" s="7">
        <f t="shared" si="1"/>
        <v>0</v>
      </c>
      <c r="O150" s="7" t="b">
        <f t="array" ref="O150">IF(E150="",FALSE,IFERROR(AND(ISNUMBER(MATCH(E150,Countries!$A$2:$A$72,0)),XLOOKUP(E150,Countries!$A$2:$A$72,Countries!$I$2:$I$72,FALSE)),FALSE))</f>
        <v>0</v>
      </c>
      <c r="P150" s="7" t="b">
        <f t="array" ref="P150">IF(E150="",FALSE,IFERROR(XLOOKUP(E150,Countries!$A$2:$A$72,Countries!$G$2:$G$72,FALSE),FALSE))</f>
        <v>0</v>
      </c>
      <c r="Q150" s="7" t="str">
        <f t="shared" si="2"/>
        <v>⚪</v>
      </c>
    </row>
    <row r="151" ht="15.75" customHeight="1">
      <c r="A151" s="7" t="str">
        <f t="array" ref="A151">IFERROR(IF(INDEX(Entries!$C$2:$C$48,19)="","",INDEX(Entries!$Q$2:$Q$48,19)),"")</f>
        <v/>
      </c>
      <c r="B151" s="7" t="str">
        <f t="array" ref="B151">IF(A151="","",IFERROR(INDEX(Entries!$E$2:$E$48,19),""))</f>
        <v/>
      </c>
      <c r="C151" s="7" t="str">
        <f>IF(A151="","","Tier5_Pick1")</f>
        <v/>
      </c>
      <c r="D151" s="7" t="str">
        <f>IF(A151="","",5)</f>
        <v/>
      </c>
      <c r="E151" s="7" t="str">
        <f t="array" ref="E151">IF(A151="","",IFERROR(INDEX(Entries!$J$2:$J$48,19),""))</f>
        <v/>
      </c>
      <c r="F151" s="7" t="str">
        <f>IF(E151="","",IFERROR(_xludf.XLOOKUP(E151,Countries!$A$2:$A$72,Countries!$B$2:$B$72,"???"),"???"))</f>
        <v/>
      </c>
      <c r="G151" s="7">
        <f t="array" ref="G151">IF(E151="",0,IFERROR(XLOOKUP(E151,Countries!$A$2:$A$72,Countries!$E$2:$E$72,0),0))</f>
        <v>0</v>
      </c>
      <c r="H151" s="7">
        <f t="array" ref="H151">IF(E151="",0,IFERROR(XLOOKUP(E151,Medals!$B$2:$B$51,Medals!$D$2:$D$51,0),0))</f>
        <v>0</v>
      </c>
      <c r="I151" s="7">
        <f t="array" ref="I151">IF(E151="",0,IFERROR(XLOOKUP(E151,Medals!$B$2:$B$51,Medals!$E$2:$E$51,0),0))</f>
        <v>0</v>
      </c>
      <c r="J151" s="7">
        <f t="array" ref="J151">IF(E151="",0,IFERROR(XLOOKUP(E151,Medals!$B$2:$B$51,Medals!$F$2:$F$51,0),0))</f>
        <v>0</v>
      </c>
      <c r="K151" s="7">
        <f>H151*GoldPoints*G151</f>
        <v>0</v>
      </c>
      <c r="L151" s="7">
        <f>I151*SilverPoints*G151</f>
        <v>0</v>
      </c>
      <c r="M151" s="7">
        <f>J151*BronzePoints*G151</f>
        <v>0</v>
      </c>
      <c r="N151" s="7">
        <f t="shared" si="1"/>
        <v>0</v>
      </c>
      <c r="O151" s="7" t="b">
        <f t="array" ref="O151">IF(E151="",FALSE,IFERROR(AND(ISNUMBER(MATCH(E151,Countries!$A$2:$A$72,0)),XLOOKUP(E151,Countries!$A$2:$A$72,Countries!$I$2:$I$72,FALSE)),FALSE))</f>
        <v>0</v>
      </c>
      <c r="P151" s="7" t="b">
        <f t="array" ref="P151">IF(E151="",FALSE,IFERROR(XLOOKUP(E151,Countries!$A$2:$A$72,Countries!$G$2:$G$72,FALSE),FALSE))</f>
        <v>0</v>
      </c>
      <c r="Q151" s="7" t="str">
        <f t="shared" si="2"/>
        <v>⚪</v>
      </c>
    </row>
    <row r="152" ht="15.75" customHeight="1">
      <c r="A152" s="7" t="str">
        <f t="array" ref="A152">IFERROR(IF(INDEX(Entries!$C$2:$C$48,19)="","",INDEX(Entries!$Q$2:$Q$48,19)),"")</f>
        <v/>
      </c>
      <c r="B152" s="7" t="str">
        <f t="array" ref="B152">IF(A152="","",IFERROR(INDEX(Entries!$E$2:$E$48,19),""))</f>
        <v/>
      </c>
      <c r="C152" s="7" t="str">
        <f>IF(A152="","","Tier6_Pick1")</f>
        <v/>
      </c>
      <c r="D152" s="7" t="str">
        <f t="shared" ref="D152:D153" si="40">IF(A152="","",6)</f>
        <v/>
      </c>
      <c r="E152" s="7" t="str">
        <f t="array" ref="E152">IF(A152="","",IFERROR(INDEX(Entries!$O$2:$O$48,19),""))</f>
        <v/>
      </c>
      <c r="F152" s="7" t="str">
        <f>IF(E152="","",IFERROR(_xludf.XLOOKUP(E152,Countries!$A$2:$A$72,Countries!$B$2:$B$72,"???"),"???"))</f>
        <v/>
      </c>
      <c r="G152" s="7">
        <f t="array" ref="G152">IF(E152="",0,IFERROR(XLOOKUP(E152,Countries!$A$2:$A$72,Countries!$E$2:$E$72,0),0))</f>
        <v>0</v>
      </c>
      <c r="H152" s="7">
        <f t="array" ref="H152">IF(E152="",0,IFERROR(XLOOKUP(E152,Medals!$B$2:$B$51,Medals!$D$2:$D$51,0),0))</f>
        <v>0</v>
      </c>
      <c r="I152" s="7">
        <f t="array" ref="I152">IF(E152="",0,IFERROR(XLOOKUP(E152,Medals!$B$2:$B$51,Medals!$E$2:$E$51,0),0))</f>
        <v>0</v>
      </c>
      <c r="J152" s="7">
        <f t="array" ref="J152">IF(E152="",0,IFERROR(XLOOKUP(E152,Medals!$B$2:$B$51,Medals!$F$2:$F$51,0),0))</f>
        <v>0</v>
      </c>
      <c r="K152" s="7">
        <f>H152*GoldPoints*G152</f>
        <v>0</v>
      </c>
      <c r="L152" s="7">
        <f>I152*SilverPoints*G152</f>
        <v>0</v>
      </c>
      <c r="M152" s="7">
        <f>J152*BronzePoints*G152</f>
        <v>0</v>
      </c>
      <c r="N152" s="7">
        <f t="shared" si="1"/>
        <v>0</v>
      </c>
      <c r="O152" s="7" t="b">
        <f t="array" ref="O152">IF(E152="",FALSE,IFERROR(AND(ISNUMBER(MATCH(E152,Countries!$A$2:$A$72,0)),XLOOKUP(E152,Countries!$A$2:$A$72,Countries!$I$2:$I$72,FALSE)),FALSE))</f>
        <v>0</v>
      </c>
      <c r="P152" s="7" t="b">
        <f t="array" ref="P152">IF(E152="",FALSE,IFERROR(XLOOKUP(E152,Countries!$A$2:$A$72,Countries!$G$2:$G$72,FALSE),FALSE))</f>
        <v>0</v>
      </c>
      <c r="Q152" s="7" t="str">
        <f t="shared" si="2"/>
        <v>⚪</v>
      </c>
    </row>
    <row r="153" ht="15.75" customHeight="1">
      <c r="A153" s="7" t="str">
        <f t="array" ref="A153">IFERROR(IF(INDEX(Entries!$C$2:$C$48,19)="","",INDEX(Entries!$Q$2:$Q$48,19)),"")</f>
        <v/>
      </c>
      <c r="B153" s="7" t="str">
        <f t="array" ref="B153">IF(A153="","",IFERROR(INDEX(Entries!$E$2:$E$48,19),""))</f>
        <v/>
      </c>
      <c r="C153" s="7" t="str">
        <f>IF(A153="","","Tier6_Pick2")</f>
        <v/>
      </c>
      <c r="D153" s="7" t="str">
        <f t="shared" si="40"/>
        <v/>
      </c>
      <c r="E153" s="7" t="str">
        <f t="array" ref="E153">IF(A153="","",IFERROR(INDEX(Entries!$P$2:$P$48,19),""))</f>
        <v/>
      </c>
      <c r="F153" s="7" t="str">
        <f>IF(E153="","",IFERROR(_xludf.XLOOKUP(E153,Countries!$A$2:$A$72,Countries!$B$2:$B$72,"???"),"???"))</f>
        <v/>
      </c>
      <c r="G153" s="7">
        <f t="array" ref="G153">IF(E153="",0,IFERROR(XLOOKUP(E153,Countries!$A$2:$A$72,Countries!$E$2:$E$72,0),0))</f>
        <v>0</v>
      </c>
      <c r="H153" s="7">
        <f t="array" ref="H153">IF(E153="",0,IFERROR(XLOOKUP(E153,Medals!$B$2:$B$51,Medals!$D$2:$D$51,0),0))</f>
        <v>0</v>
      </c>
      <c r="I153" s="7">
        <f t="array" ref="I153">IF(E153="",0,IFERROR(XLOOKUP(E153,Medals!$B$2:$B$51,Medals!$E$2:$E$51,0),0))</f>
        <v>0</v>
      </c>
      <c r="J153" s="7">
        <f t="array" ref="J153">IF(E153="",0,IFERROR(XLOOKUP(E153,Medals!$B$2:$B$51,Medals!$F$2:$F$51,0),0))</f>
        <v>0</v>
      </c>
      <c r="K153" s="7">
        <f>H153*GoldPoints*G153</f>
        <v>0</v>
      </c>
      <c r="L153" s="7">
        <f>I153*SilverPoints*G153</f>
        <v>0</v>
      </c>
      <c r="M153" s="7">
        <f>J153*BronzePoints*G153</f>
        <v>0</v>
      </c>
      <c r="N153" s="7">
        <f t="shared" si="1"/>
        <v>0</v>
      </c>
      <c r="O153" s="7" t="b">
        <f t="array" ref="O153">IF(E153="",FALSE,IFERROR(AND(ISNUMBER(MATCH(E153,Countries!$A$2:$A$72,0)),XLOOKUP(E153,Countries!$A$2:$A$72,Countries!$I$2:$I$72,FALSE)),FALSE))</f>
        <v>0</v>
      </c>
      <c r="P153" s="7" t="b">
        <f t="array" ref="P153">IF(E153="",FALSE,IFERROR(XLOOKUP(E153,Countries!$A$2:$A$72,Countries!$G$2:$G$72,FALSE),FALSE))</f>
        <v>0</v>
      </c>
      <c r="Q153" s="7" t="str">
        <f t="shared" si="2"/>
        <v>⚪</v>
      </c>
    </row>
    <row r="154" ht="15.75" customHeight="1">
      <c r="A154" s="7" t="str">
        <f t="array" ref="A154">IFERROR(IF(INDEX(Entries!$C$2:$C$48,20)="","",INDEX(Entries!$Q$2:$Q$48,20)),"")</f>
        <v/>
      </c>
      <c r="B154" s="7" t="str">
        <f t="array" ref="B154">IF(A154="","",IFERROR(INDEX(Entries!$E$2:$E$48,20),""))</f>
        <v/>
      </c>
      <c r="C154" s="7" t="str">
        <f>IF(A154="","","Tier1_Pick1")</f>
        <v/>
      </c>
      <c r="D154" s="7" t="str">
        <f>IF(A154="","",1)</f>
        <v/>
      </c>
      <c r="E154" s="7" t="str">
        <f t="array" ref="E154">IF(A154="","",IFERROR(INDEX(Entries!$F$2:$F$48,20),""))</f>
        <v/>
      </c>
      <c r="F154" s="7" t="str">
        <f>IF(E154="","",IFERROR(_xludf.XLOOKUP(E154,Countries!$A$2:$A$72,Countries!$B$2:$B$72,"???"),"???"))</f>
        <v/>
      </c>
      <c r="G154" s="7">
        <f t="array" ref="G154">IF(E154="",0,IFERROR(XLOOKUP(E154,Countries!$A$2:$A$72,Countries!$E$2:$E$72,0),0))</f>
        <v>0</v>
      </c>
      <c r="H154" s="7">
        <f t="array" ref="H154">IF(E154="",0,IFERROR(XLOOKUP(E154,Medals!$B$2:$B$51,Medals!$D$2:$D$51,0),0))</f>
        <v>0</v>
      </c>
      <c r="I154" s="7">
        <f t="array" ref="I154">IF(E154="",0,IFERROR(XLOOKUP(E154,Medals!$B$2:$B$51,Medals!$E$2:$E$51,0),0))</f>
        <v>0</v>
      </c>
      <c r="J154" s="7">
        <f t="array" ref="J154">IF(E154="",0,IFERROR(XLOOKUP(E154,Medals!$B$2:$B$51,Medals!$F$2:$F$51,0),0))</f>
        <v>0</v>
      </c>
      <c r="K154" s="7">
        <f>H154*GoldPoints*G154</f>
        <v>0</v>
      </c>
      <c r="L154" s="7">
        <f>I154*SilverPoints*G154</f>
        <v>0</v>
      </c>
      <c r="M154" s="7">
        <f>J154*BronzePoints*G154</f>
        <v>0</v>
      </c>
      <c r="N154" s="7">
        <f t="shared" si="1"/>
        <v>0</v>
      </c>
      <c r="O154" s="7" t="b">
        <f t="array" ref="O154">IF(E154="",FALSE,IFERROR(AND(ISNUMBER(MATCH(E154,Countries!$A$2:$A$72,0)),XLOOKUP(E154,Countries!$A$2:$A$72,Countries!$I$2:$I$72,FALSE)),FALSE))</f>
        <v>0</v>
      </c>
      <c r="P154" s="7" t="b">
        <f t="array" ref="P154">IF(E154="",FALSE,IFERROR(XLOOKUP(E154,Countries!$A$2:$A$72,Countries!$G$2:$G$72,FALSE),FALSE))</f>
        <v>0</v>
      </c>
      <c r="Q154" s="7" t="str">
        <f t="shared" si="2"/>
        <v>⚪</v>
      </c>
    </row>
    <row r="155" ht="15.75" customHeight="1">
      <c r="A155" s="7" t="str">
        <f t="array" ref="A155">IFERROR(IF(INDEX(Entries!$C$2:$C$48,20)="","",INDEX(Entries!$Q$2:$Q$48,20)),"")</f>
        <v/>
      </c>
      <c r="B155" s="7" t="str">
        <f t="array" ref="B155">IF(A155="","",IFERROR(INDEX(Entries!$E$2:$E$48,20),""))</f>
        <v/>
      </c>
      <c r="C155" s="7" t="str">
        <f>IF(A155="","","Tier2_Pick1")</f>
        <v/>
      </c>
      <c r="D155" s="7" t="str">
        <f t="shared" ref="D155:D156" si="41">IF(A155="","",2)</f>
        <v/>
      </c>
      <c r="E155" s="7" t="str">
        <f t="array" ref="E155">IF(A155="","",IFERROR(INDEX(Entries!$M$2:$M$48,20),""))</f>
        <v/>
      </c>
      <c r="F155" s="7" t="str">
        <f>IF(E155="","",IFERROR(_xludf.XLOOKUP(E155,Countries!$A$2:$A$72,Countries!$B$2:$B$72,"???"),"???"))</f>
        <v/>
      </c>
      <c r="G155" s="7">
        <f t="array" ref="G155">IF(E155="",0,IFERROR(XLOOKUP(E155,Countries!$A$2:$A$72,Countries!$E$2:$E$72,0),0))</f>
        <v>0</v>
      </c>
      <c r="H155" s="7">
        <f t="array" ref="H155">IF(E155="",0,IFERROR(XLOOKUP(E155,Medals!$B$2:$B$51,Medals!$D$2:$D$51,0),0))</f>
        <v>0</v>
      </c>
      <c r="I155" s="7">
        <f t="array" ref="I155">IF(E155="",0,IFERROR(XLOOKUP(E155,Medals!$B$2:$B$51,Medals!$E$2:$E$51,0),0))</f>
        <v>0</v>
      </c>
      <c r="J155" s="7">
        <f t="array" ref="J155">IF(E155="",0,IFERROR(XLOOKUP(E155,Medals!$B$2:$B$51,Medals!$F$2:$F$51,0),0))</f>
        <v>0</v>
      </c>
      <c r="K155" s="7">
        <f>H155*GoldPoints*G155</f>
        <v>0</v>
      </c>
      <c r="L155" s="7">
        <f>I155*SilverPoints*G155</f>
        <v>0</v>
      </c>
      <c r="M155" s="7">
        <f>J155*BronzePoints*G155</f>
        <v>0</v>
      </c>
      <c r="N155" s="7">
        <f t="shared" si="1"/>
        <v>0</v>
      </c>
      <c r="O155" s="7" t="b">
        <f t="array" ref="O155">IF(E155="",FALSE,IFERROR(AND(ISNUMBER(MATCH(E155,Countries!$A$2:$A$72,0)),XLOOKUP(E155,Countries!$A$2:$A$72,Countries!$I$2:$I$72,FALSE)),FALSE))</f>
        <v>0</v>
      </c>
      <c r="P155" s="7" t="b">
        <f t="array" ref="P155">IF(E155="",FALSE,IFERROR(XLOOKUP(E155,Countries!$A$2:$A$72,Countries!$G$2:$G$72,FALSE),FALSE))</f>
        <v>0</v>
      </c>
      <c r="Q155" s="7" t="str">
        <f t="shared" si="2"/>
        <v>⚪</v>
      </c>
    </row>
    <row r="156" ht="15.75" customHeight="1">
      <c r="A156" s="7" t="str">
        <f t="array" ref="A156">IFERROR(IF(INDEX(Entries!$C$2:$C$48,20)="","",INDEX(Entries!$Q$2:$Q$48,20)),"")</f>
        <v/>
      </c>
      <c r="B156" s="7" t="str">
        <f t="array" ref="B156">IF(A156="","",IFERROR(INDEX(Entries!$E$2:$E$48,20),""))</f>
        <v/>
      </c>
      <c r="C156" s="7" t="str">
        <f>IF(A156="","","Tier2_Pick2")</f>
        <v/>
      </c>
      <c r="D156" s="7" t="str">
        <f t="shared" si="41"/>
        <v/>
      </c>
      <c r="E156" s="7" t="str">
        <f t="array" ref="E156">IF(A156="","",IFERROR(INDEX(Entries!$N$2:$N$48,20),""))</f>
        <v/>
      </c>
      <c r="F156" s="7" t="str">
        <f>IF(E156="","",IFERROR(_xludf.XLOOKUP(E156,Countries!$A$2:$A$72,Countries!$B$2:$B$72,"???"),"???"))</f>
        <v/>
      </c>
      <c r="G156" s="7">
        <f t="array" ref="G156">IF(E156="",0,IFERROR(XLOOKUP(E156,Countries!$A$2:$A$72,Countries!$E$2:$E$72,0),0))</f>
        <v>0</v>
      </c>
      <c r="H156" s="7">
        <f t="array" ref="H156">IF(E156="",0,IFERROR(XLOOKUP(E156,Medals!$B$2:$B$51,Medals!$D$2:$D$51,0),0))</f>
        <v>0</v>
      </c>
      <c r="I156" s="7">
        <f t="array" ref="I156">IF(E156="",0,IFERROR(XLOOKUP(E156,Medals!$B$2:$B$51,Medals!$E$2:$E$51,0),0))</f>
        <v>0</v>
      </c>
      <c r="J156" s="7">
        <f t="array" ref="J156">IF(E156="",0,IFERROR(XLOOKUP(E156,Medals!$B$2:$B$51,Medals!$F$2:$F$51,0),0))</f>
        <v>0</v>
      </c>
      <c r="K156" s="7">
        <f>H156*GoldPoints*G156</f>
        <v>0</v>
      </c>
      <c r="L156" s="7">
        <f>I156*SilverPoints*G156</f>
        <v>0</v>
      </c>
      <c r="M156" s="7">
        <f>J156*BronzePoints*G156</f>
        <v>0</v>
      </c>
      <c r="N156" s="7">
        <f t="shared" si="1"/>
        <v>0</v>
      </c>
      <c r="O156" s="7" t="b">
        <f t="array" ref="O156">IF(E156="",FALSE,IFERROR(AND(ISNUMBER(MATCH(E156,Countries!$A$2:$A$72,0)),XLOOKUP(E156,Countries!$A$2:$A$72,Countries!$I$2:$I$72,FALSE)),FALSE))</f>
        <v>0</v>
      </c>
      <c r="P156" s="7" t="b">
        <f t="array" ref="P156">IF(E156="",FALSE,IFERROR(XLOOKUP(E156,Countries!$A$2:$A$72,Countries!$G$2:$G$72,FALSE),FALSE))</f>
        <v>0</v>
      </c>
      <c r="Q156" s="7" t="str">
        <f t="shared" si="2"/>
        <v>⚪</v>
      </c>
    </row>
    <row r="157" ht="15.75" customHeight="1">
      <c r="A157" s="7" t="str">
        <f t="array" ref="A157">IFERROR(IF(INDEX(Entries!$C$2:$C$48,20)="","",INDEX(Entries!$Q$2:$Q$48,20)),"")</f>
        <v/>
      </c>
      <c r="B157" s="7" t="str">
        <f t="array" ref="B157">IF(A157="","",IFERROR(INDEX(Entries!$E$2:$E$48,20),""))</f>
        <v/>
      </c>
      <c r="C157" s="7" t="str">
        <f>IF(A157="","","Tier3_Pick1")</f>
        <v/>
      </c>
      <c r="D157" s="7" t="str">
        <f>IF(A157="","",3)</f>
        <v/>
      </c>
      <c r="E157" s="7" t="str">
        <f t="array" ref="E157">IF(A157="","",IFERROR(INDEX(Entries!$H$2:$H$48,20),""))</f>
        <v/>
      </c>
      <c r="F157" s="7" t="str">
        <f>IF(E157="","",IFERROR(_xludf.XLOOKUP(E157,Countries!$A$2:$A$72,Countries!$B$2:$B$72,"???"),"???"))</f>
        <v/>
      </c>
      <c r="G157" s="7">
        <f t="array" ref="G157">IF(E157="",0,IFERROR(XLOOKUP(E157,Countries!$A$2:$A$72,Countries!$E$2:$E$72,0),0))</f>
        <v>0</v>
      </c>
      <c r="H157" s="7">
        <f t="array" ref="H157">IF(E157="",0,IFERROR(XLOOKUP(E157,Medals!$B$2:$B$51,Medals!$D$2:$D$51,0),0))</f>
        <v>0</v>
      </c>
      <c r="I157" s="7">
        <f t="array" ref="I157">IF(E157="",0,IFERROR(XLOOKUP(E157,Medals!$B$2:$B$51,Medals!$E$2:$E$51,0),0))</f>
        <v>0</v>
      </c>
      <c r="J157" s="7">
        <f t="array" ref="J157">IF(E157="",0,IFERROR(XLOOKUP(E157,Medals!$B$2:$B$51,Medals!$F$2:$F$51,0),0))</f>
        <v>0</v>
      </c>
      <c r="K157" s="7">
        <f>H157*GoldPoints*G157</f>
        <v>0</v>
      </c>
      <c r="L157" s="7">
        <f>I157*SilverPoints*G157</f>
        <v>0</v>
      </c>
      <c r="M157" s="7">
        <f>J157*BronzePoints*G157</f>
        <v>0</v>
      </c>
      <c r="N157" s="7">
        <f t="shared" si="1"/>
        <v>0</v>
      </c>
      <c r="O157" s="7" t="b">
        <f t="array" ref="O157">IF(E157="",FALSE,IFERROR(AND(ISNUMBER(MATCH(E157,Countries!$A$2:$A$72,0)),XLOOKUP(E157,Countries!$A$2:$A$72,Countries!$I$2:$I$72,FALSE)),FALSE))</f>
        <v>0</v>
      </c>
      <c r="P157" s="7" t="b">
        <f t="array" ref="P157">IF(E157="",FALSE,IFERROR(XLOOKUP(E157,Countries!$A$2:$A$72,Countries!$G$2:$G$72,FALSE),FALSE))</f>
        <v>0</v>
      </c>
      <c r="Q157" s="7" t="str">
        <f t="shared" si="2"/>
        <v>⚪</v>
      </c>
    </row>
    <row r="158" ht="15.75" customHeight="1">
      <c r="A158" s="7" t="str">
        <f t="array" ref="A158">IFERROR(IF(INDEX(Entries!$C$2:$C$48,20)="","",INDEX(Entries!$Q$2:$Q$48,20)),"")</f>
        <v/>
      </c>
      <c r="B158" s="7" t="str">
        <f t="array" ref="B158">IF(A158="","",IFERROR(INDEX(Entries!$E$2:$E$48,20),""))</f>
        <v/>
      </c>
      <c r="C158" s="7" t="str">
        <f>IF(A158="","","Tier4_Pick1")</f>
        <v/>
      </c>
      <c r="D158" s="7" t="str">
        <f>IF(A158="","",4)</f>
        <v/>
      </c>
      <c r="E158" s="7" t="str">
        <f t="array" ref="E158">IF(A158="","",IFERROR(INDEX(Entries!$I$2:$I$48,20),""))</f>
        <v/>
      </c>
      <c r="F158" s="7" t="str">
        <f>IF(E158="","",IFERROR(_xludf.XLOOKUP(E158,Countries!$A$2:$A$72,Countries!$B$2:$B$72,"???"),"???"))</f>
        <v/>
      </c>
      <c r="G158" s="7">
        <f t="array" ref="G158">IF(E158="",0,IFERROR(XLOOKUP(E158,Countries!$A$2:$A$72,Countries!$E$2:$E$72,0),0))</f>
        <v>0</v>
      </c>
      <c r="H158" s="7">
        <f t="array" ref="H158">IF(E158="",0,IFERROR(XLOOKUP(E158,Medals!$B$2:$B$51,Medals!$D$2:$D$51,0),0))</f>
        <v>0</v>
      </c>
      <c r="I158" s="7">
        <f t="array" ref="I158">IF(E158="",0,IFERROR(XLOOKUP(E158,Medals!$B$2:$B$51,Medals!$E$2:$E$51,0),0))</f>
        <v>0</v>
      </c>
      <c r="J158" s="7">
        <f t="array" ref="J158">IF(E158="",0,IFERROR(XLOOKUP(E158,Medals!$B$2:$B$51,Medals!$F$2:$F$51,0),0))</f>
        <v>0</v>
      </c>
      <c r="K158" s="7">
        <f>H158*GoldPoints*G158</f>
        <v>0</v>
      </c>
      <c r="L158" s="7">
        <f>I158*SilverPoints*G158</f>
        <v>0</v>
      </c>
      <c r="M158" s="7">
        <f>J158*BronzePoints*G158</f>
        <v>0</v>
      </c>
      <c r="N158" s="7">
        <f t="shared" si="1"/>
        <v>0</v>
      </c>
      <c r="O158" s="7" t="b">
        <f t="array" ref="O158">IF(E158="",FALSE,IFERROR(AND(ISNUMBER(MATCH(E158,Countries!$A$2:$A$72,0)),XLOOKUP(E158,Countries!$A$2:$A$72,Countries!$I$2:$I$72,FALSE)),FALSE))</f>
        <v>0</v>
      </c>
      <c r="P158" s="7" t="b">
        <f t="array" ref="P158">IF(E158="",FALSE,IFERROR(XLOOKUP(E158,Countries!$A$2:$A$72,Countries!$G$2:$G$72,FALSE),FALSE))</f>
        <v>0</v>
      </c>
      <c r="Q158" s="7" t="str">
        <f t="shared" si="2"/>
        <v>⚪</v>
      </c>
    </row>
    <row r="159" ht="15.75" customHeight="1">
      <c r="A159" s="7" t="str">
        <f t="array" ref="A159">IFERROR(IF(INDEX(Entries!$C$2:$C$48,20)="","",INDEX(Entries!$Q$2:$Q$48,20)),"")</f>
        <v/>
      </c>
      <c r="B159" s="7" t="str">
        <f t="array" ref="B159">IF(A159="","",IFERROR(INDEX(Entries!$E$2:$E$48,20),""))</f>
        <v/>
      </c>
      <c r="C159" s="7" t="str">
        <f>IF(A159="","","Tier5_Pick1")</f>
        <v/>
      </c>
      <c r="D159" s="7" t="str">
        <f>IF(A159="","",5)</f>
        <v/>
      </c>
      <c r="E159" s="7" t="str">
        <f t="array" ref="E159">IF(A159="","",IFERROR(INDEX(Entries!$J$2:$J$48,20),""))</f>
        <v/>
      </c>
      <c r="F159" s="7" t="str">
        <f>IF(E159="","",IFERROR(_xludf.XLOOKUP(E159,Countries!$A$2:$A$72,Countries!$B$2:$B$72,"???"),"???"))</f>
        <v/>
      </c>
      <c r="G159" s="7">
        <f t="array" ref="G159">IF(E159="",0,IFERROR(XLOOKUP(E159,Countries!$A$2:$A$72,Countries!$E$2:$E$72,0),0))</f>
        <v>0</v>
      </c>
      <c r="H159" s="7">
        <f t="array" ref="H159">IF(E159="",0,IFERROR(XLOOKUP(E159,Medals!$B$2:$B$51,Medals!$D$2:$D$51,0),0))</f>
        <v>0</v>
      </c>
      <c r="I159" s="7">
        <f t="array" ref="I159">IF(E159="",0,IFERROR(XLOOKUP(E159,Medals!$B$2:$B$51,Medals!$E$2:$E$51,0),0))</f>
        <v>0</v>
      </c>
      <c r="J159" s="7">
        <f t="array" ref="J159">IF(E159="",0,IFERROR(XLOOKUP(E159,Medals!$B$2:$B$51,Medals!$F$2:$F$51,0),0))</f>
        <v>0</v>
      </c>
      <c r="K159" s="7">
        <f>H159*GoldPoints*G159</f>
        <v>0</v>
      </c>
      <c r="L159" s="7">
        <f>I159*SilverPoints*G159</f>
        <v>0</v>
      </c>
      <c r="M159" s="7">
        <f>J159*BronzePoints*G159</f>
        <v>0</v>
      </c>
      <c r="N159" s="7">
        <f t="shared" si="1"/>
        <v>0</v>
      </c>
      <c r="O159" s="7" t="b">
        <f t="array" ref="O159">IF(E159="",FALSE,IFERROR(AND(ISNUMBER(MATCH(E159,Countries!$A$2:$A$72,0)),XLOOKUP(E159,Countries!$A$2:$A$72,Countries!$I$2:$I$72,FALSE)),FALSE))</f>
        <v>0</v>
      </c>
      <c r="P159" s="7" t="b">
        <f t="array" ref="P159">IF(E159="",FALSE,IFERROR(XLOOKUP(E159,Countries!$A$2:$A$72,Countries!$G$2:$G$72,FALSE),FALSE))</f>
        <v>0</v>
      </c>
      <c r="Q159" s="7" t="str">
        <f t="shared" si="2"/>
        <v>⚪</v>
      </c>
    </row>
    <row r="160" ht="15.75" customHeight="1">
      <c r="A160" s="7" t="str">
        <f t="array" ref="A160">IFERROR(IF(INDEX(Entries!$C$2:$C$48,20)="","",INDEX(Entries!$Q$2:$Q$48,20)),"")</f>
        <v/>
      </c>
      <c r="B160" s="7" t="str">
        <f t="array" ref="B160">IF(A160="","",IFERROR(INDEX(Entries!$E$2:$E$48,20),""))</f>
        <v/>
      </c>
      <c r="C160" s="7" t="str">
        <f>IF(A160="","","Tier6_Pick1")</f>
        <v/>
      </c>
      <c r="D160" s="7" t="str">
        <f t="shared" ref="D160:D161" si="42">IF(A160="","",6)</f>
        <v/>
      </c>
      <c r="E160" s="7" t="str">
        <f t="array" ref="E160">IF(A160="","",IFERROR(INDEX(Entries!$O$2:$O$48,20),""))</f>
        <v/>
      </c>
      <c r="F160" s="7" t="str">
        <f>IF(E160="","",IFERROR(_xludf.XLOOKUP(E160,Countries!$A$2:$A$72,Countries!$B$2:$B$72,"???"),"???"))</f>
        <v/>
      </c>
      <c r="G160" s="7">
        <f t="array" ref="G160">IF(E160="",0,IFERROR(XLOOKUP(E160,Countries!$A$2:$A$72,Countries!$E$2:$E$72,0),0))</f>
        <v>0</v>
      </c>
      <c r="H160" s="7">
        <f t="array" ref="H160">IF(E160="",0,IFERROR(XLOOKUP(E160,Medals!$B$2:$B$51,Medals!$D$2:$D$51,0),0))</f>
        <v>0</v>
      </c>
      <c r="I160" s="7">
        <f t="array" ref="I160">IF(E160="",0,IFERROR(XLOOKUP(E160,Medals!$B$2:$B$51,Medals!$E$2:$E$51,0),0))</f>
        <v>0</v>
      </c>
      <c r="J160" s="7">
        <f t="array" ref="J160">IF(E160="",0,IFERROR(XLOOKUP(E160,Medals!$B$2:$B$51,Medals!$F$2:$F$51,0),0))</f>
        <v>0</v>
      </c>
      <c r="K160" s="7">
        <f>H160*GoldPoints*G160</f>
        <v>0</v>
      </c>
      <c r="L160" s="7">
        <f>I160*SilverPoints*G160</f>
        <v>0</v>
      </c>
      <c r="M160" s="7">
        <f>J160*BronzePoints*G160</f>
        <v>0</v>
      </c>
      <c r="N160" s="7">
        <f t="shared" si="1"/>
        <v>0</v>
      </c>
      <c r="O160" s="7" t="b">
        <f t="array" ref="O160">IF(E160="",FALSE,IFERROR(AND(ISNUMBER(MATCH(E160,Countries!$A$2:$A$72,0)),XLOOKUP(E160,Countries!$A$2:$A$72,Countries!$I$2:$I$72,FALSE)),FALSE))</f>
        <v>0</v>
      </c>
      <c r="P160" s="7" t="b">
        <f t="array" ref="P160">IF(E160="",FALSE,IFERROR(XLOOKUP(E160,Countries!$A$2:$A$72,Countries!$G$2:$G$72,FALSE),FALSE))</f>
        <v>0</v>
      </c>
      <c r="Q160" s="7" t="str">
        <f t="shared" si="2"/>
        <v>⚪</v>
      </c>
    </row>
    <row r="161" ht="15.75" customHeight="1">
      <c r="A161" s="7" t="str">
        <f t="array" ref="A161">IFERROR(IF(INDEX(Entries!$C$2:$C$48,20)="","",INDEX(Entries!$Q$2:$Q$48,20)),"")</f>
        <v/>
      </c>
      <c r="B161" s="7" t="str">
        <f t="array" ref="B161">IF(A161="","",IFERROR(INDEX(Entries!$E$2:$E$48,20),""))</f>
        <v/>
      </c>
      <c r="C161" s="7" t="str">
        <f>IF(A161="","","Tier6_Pick2")</f>
        <v/>
      </c>
      <c r="D161" s="7" t="str">
        <f t="shared" si="42"/>
        <v/>
      </c>
      <c r="E161" s="7" t="str">
        <f t="array" ref="E161">IF(A161="","",IFERROR(INDEX(Entries!$P$2:$P$48,20),""))</f>
        <v/>
      </c>
      <c r="F161" s="7" t="str">
        <f>IF(E161="","",IFERROR(_xludf.XLOOKUP(E161,Countries!$A$2:$A$72,Countries!$B$2:$B$72,"???"),"???"))</f>
        <v/>
      </c>
      <c r="G161" s="7">
        <f t="array" ref="G161">IF(E161="",0,IFERROR(XLOOKUP(E161,Countries!$A$2:$A$72,Countries!$E$2:$E$72,0),0))</f>
        <v>0</v>
      </c>
      <c r="H161" s="7">
        <f t="array" ref="H161">IF(E161="",0,IFERROR(XLOOKUP(E161,Medals!$B$2:$B$51,Medals!$D$2:$D$51,0),0))</f>
        <v>0</v>
      </c>
      <c r="I161" s="7">
        <f t="array" ref="I161">IF(E161="",0,IFERROR(XLOOKUP(E161,Medals!$B$2:$B$51,Medals!$E$2:$E$51,0),0))</f>
        <v>0</v>
      </c>
      <c r="J161" s="7">
        <f t="array" ref="J161">IF(E161="",0,IFERROR(XLOOKUP(E161,Medals!$B$2:$B$51,Medals!$F$2:$F$51,0),0))</f>
        <v>0</v>
      </c>
      <c r="K161" s="7">
        <f>H161*GoldPoints*G161</f>
        <v>0</v>
      </c>
      <c r="L161" s="7">
        <f>I161*SilverPoints*G161</f>
        <v>0</v>
      </c>
      <c r="M161" s="7">
        <f>J161*BronzePoints*G161</f>
        <v>0</v>
      </c>
      <c r="N161" s="7">
        <f t="shared" si="1"/>
        <v>0</v>
      </c>
      <c r="O161" s="7" t="b">
        <f t="array" ref="O161">IF(E161="",FALSE,IFERROR(AND(ISNUMBER(MATCH(E161,Countries!$A$2:$A$72,0)),XLOOKUP(E161,Countries!$A$2:$A$72,Countries!$I$2:$I$72,FALSE)),FALSE))</f>
        <v>0</v>
      </c>
      <c r="P161" s="7" t="b">
        <f t="array" ref="P161">IF(E161="",FALSE,IFERROR(XLOOKUP(E161,Countries!$A$2:$A$72,Countries!$G$2:$G$72,FALSE),FALSE))</f>
        <v>0</v>
      </c>
      <c r="Q161" s="7" t="str">
        <f t="shared" si="2"/>
        <v>⚪</v>
      </c>
    </row>
    <row r="162" ht="15.75" customHeight="1">
      <c r="A162" s="7" t="str">
        <f t="array" ref="A162">IFERROR(IF(INDEX(Entries!$C$2:$C$48,21)="","",INDEX(Entries!$Q$2:$Q$48,21)),"")</f>
        <v/>
      </c>
      <c r="B162" s="7" t="str">
        <f t="array" ref="B162">IF(A162="","",IFERROR(INDEX(Entries!$E$2:$E$48,21),""))</f>
        <v/>
      </c>
      <c r="C162" s="7" t="str">
        <f>IF(A162="","","Tier1_Pick1")</f>
        <v/>
      </c>
      <c r="D162" s="7" t="str">
        <f>IF(A162="","",1)</f>
        <v/>
      </c>
      <c r="E162" s="7" t="str">
        <f t="array" ref="E162">IF(A162="","",IFERROR(INDEX(Entries!$F$2:$F$48,21),""))</f>
        <v/>
      </c>
      <c r="F162" s="7" t="str">
        <f>IF(E162="","",IFERROR(_xludf.XLOOKUP(E162,Countries!$A$2:$A$72,Countries!$B$2:$B$72,"???"),"???"))</f>
        <v/>
      </c>
      <c r="G162" s="7">
        <f t="array" ref="G162">IF(E162="",0,IFERROR(XLOOKUP(E162,Countries!$A$2:$A$72,Countries!$E$2:$E$72,0),0))</f>
        <v>0</v>
      </c>
      <c r="H162" s="7">
        <f t="array" ref="H162">IF(E162="",0,IFERROR(XLOOKUP(E162,Medals!$B$2:$B$51,Medals!$D$2:$D$51,0),0))</f>
        <v>0</v>
      </c>
      <c r="I162" s="7">
        <f t="array" ref="I162">IF(E162="",0,IFERROR(XLOOKUP(E162,Medals!$B$2:$B$51,Medals!$E$2:$E$51,0),0))</f>
        <v>0</v>
      </c>
      <c r="J162" s="7">
        <f t="array" ref="J162">IF(E162="",0,IFERROR(XLOOKUP(E162,Medals!$B$2:$B$51,Medals!$F$2:$F$51,0),0))</f>
        <v>0</v>
      </c>
      <c r="K162" s="7">
        <f>H162*GoldPoints*G162</f>
        <v>0</v>
      </c>
      <c r="L162" s="7">
        <f>I162*SilverPoints*G162</f>
        <v>0</v>
      </c>
      <c r="M162" s="7">
        <f>J162*BronzePoints*G162</f>
        <v>0</v>
      </c>
      <c r="N162" s="7">
        <f t="shared" si="1"/>
        <v>0</v>
      </c>
      <c r="O162" s="7" t="b">
        <f t="array" ref="O162">IF(E162="",FALSE,IFERROR(AND(ISNUMBER(MATCH(E162,Countries!$A$2:$A$72,0)),XLOOKUP(E162,Countries!$A$2:$A$72,Countries!$I$2:$I$72,FALSE)),FALSE))</f>
        <v>0</v>
      </c>
      <c r="P162" s="7" t="b">
        <f t="array" ref="P162">IF(E162="",FALSE,IFERROR(XLOOKUP(E162,Countries!$A$2:$A$72,Countries!$G$2:$G$72,FALSE),FALSE))</f>
        <v>0</v>
      </c>
      <c r="Q162" s="7" t="str">
        <f t="shared" si="2"/>
        <v>⚪</v>
      </c>
    </row>
    <row r="163" ht="15.75" customHeight="1">
      <c r="A163" s="7" t="str">
        <f t="array" ref="A163">IFERROR(IF(INDEX(Entries!$C$2:$C$48,21)="","",INDEX(Entries!$Q$2:$Q$48,21)),"")</f>
        <v/>
      </c>
      <c r="B163" s="7" t="str">
        <f t="array" ref="B163">IF(A163="","",IFERROR(INDEX(Entries!$E$2:$E$48,21),""))</f>
        <v/>
      </c>
      <c r="C163" s="7" t="str">
        <f>IF(A163="","","Tier2_Pick1")</f>
        <v/>
      </c>
      <c r="D163" s="7" t="str">
        <f t="shared" ref="D163:D164" si="43">IF(A163="","",2)</f>
        <v/>
      </c>
      <c r="E163" s="7" t="str">
        <f t="array" ref="E163">IF(A163="","",IFERROR(INDEX(Entries!$M$2:$M$48,21),""))</f>
        <v/>
      </c>
      <c r="F163" s="7" t="str">
        <f>IF(E163="","",IFERROR(_xludf.XLOOKUP(E163,Countries!$A$2:$A$72,Countries!$B$2:$B$72,"???"),"???"))</f>
        <v/>
      </c>
      <c r="G163" s="7">
        <f t="array" ref="G163">IF(E163="",0,IFERROR(XLOOKUP(E163,Countries!$A$2:$A$72,Countries!$E$2:$E$72,0),0))</f>
        <v>0</v>
      </c>
      <c r="H163" s="7">
        <f t="array" ref="H163">IF(E163="",0,IFERROR(XLOOKUP(E163,Medals!$B$2:$B$51,Medals!$D$2:$D$51,0),0))</f>
        <v>0</v>
      </c>
      <c r="I163" s="7">
        <f t="array" ref="I163">IF(E163="",0,IFERROR(XLOOKUP(E163,Medals!$B$2:$B$51,Medals!$E$2:$E$51,0),0))</f>
        <v>0</v>
      </c>
      <c r="J163" s="7">
        <f t="array" ref="J163">IF(E163="",0,IFERROR(XLOOKUP(E163,Medals!$B$2:$B$51,Medals!$F$2:$F$51,0),0))</f>
        <v>0</v>
      </c>
      <c r="K163" s="7">
        <f>H163*GoldPoints*G163</f>
        <v>0</v>
      </c>
      <c r="L163" s="7">
        <f>I163*SilverPoints*G163</f>
        <v>0</v>
      </c>
      <c r="M163" s="7">
        <f>J163*BronzePoints*G163</f>
        <v>0</v>
      </c>
      <c r="N163" s="7">
        <f t="shared" si="1"/>
        <v>0</v>
      </c>
      <c r="O163" s="7" t="b">
        <f t="array" ref="O163">IF(E163="",FALSE,IFERROR(AND(ISNUMBER(MATCH(E163,Countries!$A$2:$A$72,0)),XLOOKUP(E163,Countries!$A$2:$A$72,Countries!$I$2:$I$72,FALSE)),FALSE))</f>
        <v>0</v>
      </c>
      <c r="P163" s="7" t="b">
        <f t="array" ref="P163">IF(E163="",FALSE,IFERROR(XLOOKUP(E163,Countries!$A$2:$A$72,Countries!$G$2:$G$72,FALSE),FALSE))</f>
        <v>0</v>
      </c>
      <c r="Q163" s="7" t="str">
        <f t="shared" si="2"/>
        <v>⚪</v>
      </c>
    </row>
    <row r="164" ht="15.75" customHeight="1">
      <c r="A164" s="7" t="str">
        <f t="array" ref="A164">IFERROR(IF(INDEX(Entries!$C$2:$C$48,21)="","",INDEX(Entries!$Q$2:$Q$48,21)),"")</f>
        <v/>
      </c>
      <c r="B164" s="7" t="str">
        <f t="array" ref="B164">IF(A164="","",IFERROR(INDEX(Entries!$E$2:$E$48,21),""))</f>
        <v/>
      </c>
      <c r="C164" s="7" t="str">
        <f>IF(A164="","","Tier2_Pick2")</f>
        <v/>
      </c>
      <c r="D164" s="7" t="str">
        <f t="shared" si="43"/>
        <v/>
      </c>
      <c r="E164" s="7" t="str">
        <f t="array" ref="E164">IF(A164="","",IFERROR(INDEX(Entries!$N$2:$N$48,21),""))</f>
        <v/>
      </c>
      <c r="F164" s="7" t="str">
        <f>IF(E164="","",IFERROR(_xludf.XLOOKUP(E164,Countries!$A$2:$A$72,Countries!$B$2:$B$72,"???"),"???"))</f>
        <v/>
      </c>
      <c r="G164" s="7">
        <f t="array" ref="G164">IF(E164="",0,IFERROR(XLOOKUP(E164,Countries!$A$2:$A$72,Countries!$E$2:$E$72,0),0))</f>
        <v>0</v>
      </c>
      <c r="H164" s="7">
        <f t="array" ref="H164">IF(E164="",0,IFERROR(XLOOKUP(E164,Medals!$B$2:$B$51,Medals!$D$2:$D$51,0),0))</f>
        <v>0</v>
      </c>
      <c r="I164" s="7">
        <f t="array" ref="I164">IF(E164="",0,IFERROR(XLOOKUP(E164,Medals!$B$2:$B$51,Medals!$E$2:$E$51,0),0))</f>
        <v>0</v>
      </c>
      <c r="J164" s="7">
        <f t="array" ref="J164">IF(E164="",0,IFERROR(XLOOKUP(E164,Medals!$B$2:$B$51,Medals!$F$2:$F$51,0),0))</f>
        <v>0</v>
      </c>
      <c r="K164" s="7">
        <f>H164*GoldPoints*G164</f>
        <v>0</v>
      </c>
      <c r="L164" s="7">
        <f>I164*SilverPoints*G164</f>
        <v>0</v>
      </c>
      <c r="M164" s="7">
        <f>J164*BronzePoints*G164</f>
        <v>0</v>
      </c>
      <c r="N164" s="7">
        <f t="shared" si="1"/>
        <v>0</v>
      </c>
      <c r="O164" s="7" t="b">
        <f t="array" ref="O164">IF(E164="",FALSE,IFERROR(AND(ISNUMBER(MATCH(E164,Countries!$A$2:$A$72,0)),XLOOKUP(E164,Countries!$A$2:$A$72,Countries!$I$2:$I$72,FALSE)),FALSE))</f>
        <v>0</v>
      </c>
      <c r="P164" s="7" t="b">
        <f t="array" ref="P164">IF(E164="",FALSE,IFERROR(XLOOKUP(E164,Countries!$A$2:$A$72,Countries!$G$2:$G$72,FALSE),FALSE))</f>
        <v>0</v>
      </c>
      <c r="Q164" s="7" t="str">
        <f t="shared" si="2"/>
        <v>⚪</v>
      </c>
    </row>
    <row r="165" ht="15.75" customHeight="1">
      <c r="A165" s="7" t="str">
        <f t="array" ref="A165">IFERROR(IF(INDEX(Entries!$C$2:$C$48,21)="","",INDEX(Entries!$Q$2:$Q$48,21)),"")</f>
        <v/>
      </c>
      <c r="B165" s="7" t="str">
        <f t="array" ref="B165">IF(A165="","",IFERROR(INDEX(Entries!$E$2:$E$48,21),""))</f>
        <v/>
      </c>
      <c r="C165" s="7" t="str">
        <f>IF(A165="","","Tier3_Pick1")</f>
        <v/>
      </c>
      <c r="D165" s="7" t="str">
        <f>IF(A165="","",3)</f>
        <v/>
      </c>
      <c r="E165" s="7" t="str">
        <f t="array" ref="E165">IF(A165="","",IFERROR(INDEX(Entries!$H$2:$H$48,21),""))</f>
        <v/>
      </c>
      <c r="F165" s="7" t="str">
        <f>IF(E165="","",IFERROR(_xludf.XLOOKUP(E165,Countries!$A$2:$A$72,Countries!$B$2:$B$72,"???"),"???"))</f>
        <v/>
      </c>
      <c r="G165" s="7">
        <f t="array" ref="G165">IF(E165="",0,IFERROR(XLOOKUP(E165,Countries!$A$2:$A$72,Countries!$E$2:$E$72,0),0))</f>
        <v>0</v>
      </c>
      <c r="H165" s="7">
        <f t="array" ref="H165">IF(E165="",0,IFERROR(XLOOKUP(E165,Medals!$B$2:$B$51,Medals!$D$2:$D$51,0),0))</f>
        <v>0</v>
      </c>
      <c r="I165" s="7">
        <f t="array" ref="I165">IF(E165="",0,IFERROR(XLOOKUP(E165,Medals!$B$2:$B$51,Medals!$E$2:$E$51,0),0))</f>
        <v>0</v>
      </c>
      <c r="J165" s="7">
        <f t="array" ref="J165">IF(E165="",0,IFERROR(XLOOKUP(E165,Medals!$B$2:$B$51,Medals!$F$2:$F$51,0),0))</f>
        <v>0</v>
      </c>
      <c r="K165" s="7">
        <f>H165*GoldPoints*G165</f>
        <v>0</v>
      </c>
      <c r="L165" s="7">
        <f>I165*SilverPoints*G165</f>
        <v>0</v>
      </c>
      <c r="M165" s="7">
        <f>J165*BronzePoints*G165</f>
        <v>0</v>
      </c>
      <c r="N165" s="7">
        <f t="shared" si="1"/>
        <v>0</v>
      </c>
      <c r="O165" s="7" t="b">
        <f t="array" ref="O165">IF(E165="",FALSE,IFERROR(AND(ISNUMBER(MATCH(E165,Countries!$A$2:$A$72,0)),XLOOKUP(E165,Countries!$A$2:$A$72,Countries!$I$2:$I$72,FALSE)),FALSE))</f>
        <v>0</v>
      </c>
      <c r="P165" s="7" t="b">
        <f t="array" ref="P165">IF(E165="",FALSE,IFERROR(XLOOKUP(E165,Countries!$A$2:$A$72,Countries!$G$2:$G$72,FALSE),FALSE))</f>
        <v>0</v>
      </c>
      <c r="Q165" s="7" t="str">
        <f t="shared" si="2"/>
        <v>⚪</v>
      </c>
    </row>
    <row r="166" ht="15.75" customHeight="1">
      <c r="A166" s="7" t="str">
        <f t="array" ref="A166">IFERROR(IF(INDEX(Entries!$C$2:$C$48,21)="","",INDEX(Entries!$Q$2:$Q$48,21)),"")</f>
        <v/>
      </c>
      <c r="B166" s="7" t="str">
        <f t="array" ref="B166">IF(A166="","",IFERROR(INDEX(Entries!$E$2:$E$48,21),""))</f>
        <v/>
      </c>
      <c r="C166" s="7" t="str">
        <f>IF(A166="","","Tier4_Pick1")</f>
        <v/>
      </c>
      <c r="D166" s="7" t="str">
        <f>IF(A166="","",4)</f>
        <v/>
      </c>
      <c r="E166" s="7" t="str">
        <f t="array" ref="E166">IF(A166="","",IFERROR(INDEX(Entries!$I$2:$I$48,21),""))</f>
        <v/>
      </c>
      <c r="F166" s="7" t="str">
        <f>IF(E166="","",IFERROR(_xludf.XLOOKUP(E166,Countries!$A$2:$A$72,Countries!$B$2:$B$72,"???"),"???"))</f>
        <v/>
      </c>
      <c r="G166" s="7">
        <f t="array" ref="G166">IF(E166="",0,IFERROR(XLOOKUP(E166,Countries!$A$2:$A$72,Countries!$E$2:$E$72,0),0))</f>
        <v>0</v>
      </c>
      <c r="H166" s="7">
        <f t="array" ref="H166">IF(E166="",0,IFERROR(XLOOKUP(E166,Medals!$B$2:$B$51,Medals!$D$2:$D$51,0),0))</f>
        <v>0</v>
      </c>
      <c r="I166" s="7">
        <f t="array" ref="I166">IF(E166="",0,IFERROR(XLOOKUP(E166,Medals!$B$2:$B$51,Medals!$E$2:$E$51,0),0))</f>
        <v>0</v>
      </c>
      <c r="J166" s="7">
        <f t="array" ref="J166">IF(E166="",0,IFERROR(XLOOKUP(E166,Medals!$B$2:$B$51,Medals!$F$2:$F$51,0),0))</f>
        <v>0</v>
      </c>
      <c r="K166" s="7">
        <f>H166*GoldPoints*G166</f>
        <v>0</v>
      </c>
      <c r="L166" s="7">
        <f>I166*SilverPoints*G166</f>
        <v>0</v>
      </c>
      <c r="M166" s="7">
        <f>J166*BronzePoints*G166</f>
        <v>0</v>
      </c>
      <c r="N166" s="7">
        <f t="shared" si="1"/>
        <v>0</v>
      </c>
      <c r="O166" s="7" t="b">
        <f t="array" ref="O166">IF(E166="",FALSE,IFERROR(AND(ISNUMBER(MATCH(E166,Countries!$A$2:$A$72,0)),XLOOKUP(E166,Countries!$A$2:$A$72,Countries!$I$2:$I$72,FALSE)),FALSE))</f>
        <v>0</v>
      </c>
      <c r="P166" s="7" t="b">
        <f t="array" ref="P166">IF(E166="",FALSE,IFERROR(XLOOKUP(E166,Countries!$A$2:$A$72,Countries!$G$2:$G$72,FALSE),FALSE))</f>
        <v>0</v>
      </c>
      <c r="Q166" s="7" t="str">
        <f t="shared" si="2"/>
        <v>⚪</v>
      </c>
    </row>
    <row r="167" ht="15.75" customHeight="1">
      <c r="A167" s="7" t="str">
        <f t="array" ref="A167">IFERROR(IF(INDEX(Entries!$C$2:$C$48,21)="","",INDEX(Entries!$Q$2:$Q$48,21)),"")</f>
        <v/>
      </c>
      <c r="B167" s="7" t="str">
        <f t="array" ref="B167">IF(A167="","",IFERROR(INDEX(Entries!$E$2:$E$48,21),""))</f>
        <v/>
      </c>
      <c r="C167" s="7" t="str">
        <f>IF(A167="","","Tier5_Pick1")</f>
        <v/>
      </c>
      <c r="D167" s="7" t="str">
        <f>IF(A167="","",5)</f>
        <v/>
      </c>
      <c r="E167" s="7" t="str">
        <f t="array" ref="E167">IF(A167="","",IFERROR(INDEX(Entries!$J$2:$J$48,21),""))</f>
        <v/>
      </c>
      <c r="F167" s="7" t="str">
        <f>IF(E167="","",IFERROR(_xludf.XLOOKUP(E167,Countries!$A$2:$A$72,Countries!$B$2:$B$72,"???"),"???"))</f>
        <v/>
      </c>
      <c r="G167" s="7">
        <f t="array" ref="G167">IF(E167="",0,IFERROR(XLOOKUP(E167,Countries!$A$2:$A$72,Countries!$E$2:$E$72,0),0))</f>
        <v>0</v>
      </c>
      <c r="H167" s="7">
        <f t="array" ref="H167">IF(E167="",0,IFERROR(XLOOKUP(E167,Medals!$B$2:$B$51,Medals!$D$2:$D$51,0),0))</f>
        <v>0</v>
      </c>
      <c r="I167" s="7">
        <f t="array" ref="I167">IF(E167="",0,IFERROR(XLOOKUP(E167,Medals!$B$2:$B$51,Medals!$E$2:$E$51,0),0))</f>
        <v>0</v>
      </c>
      <c r="J167" s="7">
        <f t="array" ref="J167">IF(E167="",0,IFERROR(XLOOKUP(E167,Medals!$B$2:$B$51,Medals!$F$2:$F$51,0),0))</f>
        <v>0</v>
      </c>
      <c r="K167" s="7">
        <f>H167*GoldPoints*G167</f>
        <v>0</v>
      </c>
      <c r="L167" s="7">
        <f>I167*SilverPoints*G167</f>
        <v>0</v>
      </c>
      <c r="M167" s="7">
        <f>J167*BronzePoints*G167</f>
        <v>0</v>
      </c>
      <c r="N167" s="7">
        <f t="shared" si="1"/>
        <v>0</v>
      </c>
      <c r="O167" s="7" t="b">
        <f t="array" ref="O167">IF(E167="",FALSE,IFERROR(AND(ISNUMBER(MATCH(E167,Countries!$A$2:$A$72,0)),XLOOKUP(E167,Countries!$A$2:$A$72,Countries!$I$2:$I$72,FALSE)),FALSE))</f>
        <v>0</v>
      </c>
      <c r="P167" s="7" t="b">
        <f t="array" ref="P167">IF(E167="",FALSE,IFERROR(XLOOKUP(E167,Countries!$A$2:$A$72,Countries!$G$2:$G$72,FALSE),FALSE))</f>
        <v>0</v>
      </c>
      <c r="Q167" s="7" t="str">
        <f t="shared" si="2"/>
        <v>⚪</v>
      </c>
    </row>
    <row r="168" ht="15.75" customHeight="1">
      <c r="A168" s="7" t="str">
        <f t="array" ref="A168">IFERROR(IF(INDEX(Entries!$C$2:$C$48,21)="","",INDEX(Entries!$Q$2:$Q$48,21)),"")</f>
        <v/>
      </c>
      <c r="B168" s="7" t="str">
        <f t="array" ref="B168">IF(A168="","",IFERROR(INDEX(Entries!$E$2:$E$48,21),""))</f>
        <v/>
      </c>
      <c r="C168" s="7" t="str">
        <f>IF(A168="","","Tier6_Pick1")</f>
        <v/>
      </c>
      <c r="D168" s="7" t="str">
        <f t="shared" ref="D168:D169" si="44">IF(A168="","",6)</f>
        <v/>
      </c>
      <c r="E168" s="7" t="str">
        <f t="array" ref="E168">IF(A168="","",IFERROR(INDEX(Entries!$O$2:$O$48,21),""))</f>
        <v/>
      </c>
      <c r="F168" s="7" t="str">
        <f>IF(E168="","",IFERROR(_xludf.XLOOKUP(E168,Countries!$A$2:$A$72,Countries!$B$2:$B$72,"???"),"???"))</f>
        <v/>
      </c>
      <c r="G168" s="7">
        <f t="array" ref="G168">IF(E168="",0,IFERROR(XLOOKUP(E168,Countries!$A$2:$A$72,Countries!$E$2:$E$72,0),0))</f>
        <v>0</v>
      </c>
      <c r="H168" s="7">
        <f t="array" ref="H168">IF(E168="",0,IFERROR(XLOOKUP(E168,Medals!$B$2:$B$51,Medals!$D$2:$D$51,0),0))</f>
        <v>0</v>
      </c>
      <c r="I168" s="7">
        <f t="array" ref="I168">IF(E168="",0,IFERROR(XLOOKUP(E168,Medals!$B$2:$B$51,Medals!$E$2:$E$51,0),0))</f>
        <v>0</v>
      </c>
      <c r="J168" s="7">
        <f t="array" ref="J168">IF(E168="",0,IFERROR(XLOOKUP(E168,Medals!$B$2:$B$51,Medals!$F$2:$F$51,0),0))</f>
        <v>0</v>
      </c>
      <c r="K168" s="7">
        <f>H168*GoldPoints*G168</f>
        <v>0</v>
      </c>
      <c r="L168" s="7">
        <f>I168*SilverPoints*G168</f>
        <v>0</v>
      </c>
      <c r="M168" s="7">
        <f>J168*BronzePoints*G168</f>
        <v>0</v>
      </c>
      <c r="N168" s="7">
        <f t="shared" si="1"/>
        <v>0</v>
      </c>
      <c r="O168" s="7" t="b">
        <f t="array" ref="O168">IF(E168="",FALSE,IFERROR(AND(ISNUMBER(MATCH(E168,Countries!$A$2:$A$72,0)),XLOOKUP(E168,Countries!$A$2:$A$72,Countries!$I$2:$I$72,FALSE)),FALSE))</f>
        <v>0</v>
      </c>
      <c r="P168" s="7" t="b">
        <f t="array" ref="P168">IF(E168="",FALSE,IFERROR(XLOOKUP(E168,Countries!$A$2:$A$72,Countries!$G$2:$G$72,FALSE),FALSE))</f>
        <v>0</v>
      </c>
      <c r="Q168" s="7" t="str">
        <f t="shared" si="2"/>
        <v>⚪</v>
      </c>
    </row>
    <row r="169" ht="15.75" customHeight="1">
      <c r="A169" s="7" t="str">
        <f t="array" ref="A169">IFERROR(IF(INDEX(Entries!$C$2:$C$48,21)="","",INDEX(Entries!$Q$2:$Q$48,21)),"")</f>
        <v/>
      </c>
      <c r="B169" s="7" t="str">
        <f t="array" ref="B169">IF(A169="","",IFERROR(INDEX(Entries!$E$2:$E$48,21),""))</f>
        <v/>
      </c>
      <c r="C169" s="7" t="str">
        <f>IF(A169="","","Tier6_Pick2")</f>
        <v/>
      </c>
      <c r="D169" s="7" t="str">
        <f t="shared" si="44"/>
        <v/>
      </c>
      <c r="E169" s="7" t="str">
        <f t="array" ref="E169">IF(A169="","",IFERROR(INDEX(Entries!$P$2:$P$48,21),""))</f>
        <v/>
      </c>
      <c r="F169" s="7" t="str">
        <f>IF(E169="","",IFERROR(_xludf.XLOOKUP(E169,Countries!$A$2:$A$72,Countries!$B$2:$B$72,"???"),"???"))</f>
        <v/>
      </c>
      <c r="G169" s="7">
        <f t="array" ref="G169">IF(E169="",0,IFERROR(XLOOKUP(E169,Countries!$A$2:$A$72,Countries!$E$2:$E$72,0),0))</f>
        <v>0</v>
      </c>
      <c r="H169" s="7">
        <f t="array" ref="H169">IF(E169="",0,IFERROR(XLOOKUP(E169,Medals!$B$2:$B$51,Medals!$D$2:$D$51,0),0))</f>
        <v>0</v>
      </c>
      <c r="I169" s="7">
        <f t="array" ref="I169">IF(E169="",0,IFERROR(XLOOKUP(E169,Medals!$B$2:$B$51,Medals!$E$2:$E$51,0),0))</f>
        <v>0</v>
      </c>
      <c r="J169" s="7">
        <f t="array" ref="J169">IF(E169="",0,IFERROR(XLOOKUP(E169,Medals!$B$2:$B$51,Medals!$F$2:$F$51,0),0))</f>
        <v>0</v>
      </c>
      <c r="K169" s="7">
        <f>H169*GoldPoints*G169</f>
        <v>0</v>
      </c>
      <c r="L169" s="7">
        <f>I169*SilverPoints*G169</f>
        <v>0</v>
      </c>
      <c r="M169" s="7">
        <f>J169*BronzePoints*G169</f>
        <v>0</v>
      </c>
      <c r="N169" s="7">
        <f t="shared" si="1"/>
        <v>0</v>
      </c>
      <c r="O169" s="7" t="b">
        <f t="array" ref="O169">IF(E169="",FALSE,IFERROR(AND(ISNUMBER(MATCH(E169,Countries!$A$2:$A$72,0)),XLOOKUP(E169,Countries!$A$2:$A$72,Countries!$I$2:$I$72,FALSE)),FALSE))</f>
        <v>0</v>
      </c>
      <c r="P169" s="7" t="b">
        <f t="array" ref="P169">IF(E169="",FALSE,IFERROR(XLOOKUP(E169,Countries!$A$2:$A$72,Countries!$G$2:$G$72,FALSE),FALSE))</f>
        <v>0</v>
      </c>
      <c r="Q169" s="7" t="str">
        <f t="shared" si="2"/>
        <v>⚪</v>
      </c>
    </row>
    <row r="170" ht="15.75" customHeight="1">
      <c r="A170" s="7" t="str">
        <f t="array" ref="A170">IFERROR(IF(INDEX(Entries!$C$2:$C$48,22)="","",INDEX(Entries!$Q$2:$Q$48,22)),"")</f>
        <v/>
      </c>
      <c r="B170" s="7" t="str">
        <f t="array" ref="B170">IF(A170="","",IFERROR(INDEX(Entries!$E$2:$E$48,22),""))</f>
        <v/>
      </c>
      <c r="C170" s="7" t="str">
        <f>IF(A170="","","Tier1_Pick1")</f>
        <v/>
      </c>
      <c r="D170" s="7" t="str">
        <f>IF(A170="","",1)</f>
        <v/>
      </c>
      <c r="E170" s="7" t="str">
        <f t="array" ref="E170">IF(A170="","",IFERROR(INDEX(Entries!$F$2:$F$48,22),""))</f>
        <v/>
      </c>
      <c r="F170" s="7" t="str">
        <f>IF(E170="","",IFERROR(_xludf.XLOOKUP(E170,Countries!$A$2:$A$72,Countries!$B$2:$B$72,"???"),"???"))</f>
        <v/>
      </c>
      <c r="G170" s="7">
        <f t="array" ref="G170">IF(E170="",0,IFERROR(XLOOKUP(E170,Countries!$A$2:$A$72,Countries!$E$2:$E$72,0),0))</f>
        <v>0</v>
      </c>
      <c r="H170" s="7">
        <f t="array" ref="H170">IF(E170="",0,IFERROR(XLOOKUP(E170,Medals!$B$2:$B$51,Medals!$D$2:$D$51,0),0))</f>
        <v>0</v>
      </c>
      <c r="I170" s="7">
        <f t="array" ref="I170">IF(E170="",0,IFERROR(XLOOKUP(E170,Medals!$B$2:$B$51,Medals!$E$2:$E$51,0),0))</f>
        <v>0</v>
      </c>
      <c r="J170" s="7">
        <f t="array" ref="J170">IF(E170="",0,IFERROR(XLOOKUP(E170,Medals!$B$2:$B$51,Medals!$F$2:$F$51,0),0))</f>
        <v>0</v>
      </c>
      <c r="K170" s="7">
        <f>H170*GoldPoints*G170</f>
        <v>0</v>
      </c>
      <c r="L170" s="7">
        <f>I170*SilverPoints*G170</f>
        <v>0</v>
      </c>
      <c r="M170" s="7">
        <f>J170*BronzePoints*G170</f>
        <v>0</v>
      </c>
      <c r="N170" s="7">
        <f t="shared" si="1"/>
        <v>0</v>
      </c>
      <c r="O170" s="7" t="b">
        <f t="array" ref="O170">IF(E170="",FALSE,IFERROR(AND(ISNUMBER(MATCH(E170,Countries!$A$2:$A$72,0)),XLOOKUP(E170,Countries!$A$2:$A$72,Countries!$I$2:$I$72,FALSE)),FALSE))</f>
        <v>0</v>
      </c>
      <c r="P170" s="7" t="b">
        <f t="array" ref="P170">IF(E170="",FALSE,IFERROR(XLOOKUP(E170,Countries!$A$2:$A$72,Countries!$G$2:$G$72,FALSE),FALSE))</f>
        <v>0</v>
      </c>
      <c r="Q170" s="7" t="str">
        <f t="shared" si="2"/>
        <v>⚪</v>
      </c>
    </row>
    <row r="171" ht="15.75" customHeight="1">
      <c r="A171" s="7" t="str">
        <f t="array" ref="A171">IFERROR(IF(INDEX(Entries!$C$2:$C$48,22)="","",INDEX(Entries!$Q$2:$Q$48,22)),"")</f>
        <v/>
      </c>
      <c r="B171" s="7" t="str">
        <f t="array" ref="B171">IF(A171="","",IFERROR(INDEX(Entries!$E$2:$E$48,22),""))</f>
        <v/>
      </c>
      <c r="C171" s="7" t="str">
        <f>IF(A171="","","Tier2_Pick1")</f>
        <v/>
      </c>
      <c r="D171" s="7" t="str">
        <f t="shared" ref="D171:D172" si="45">IF(A171="","",2)</f>
        <v/>
      </c>
      <c r="E171" s="7" t="str">
        <f t="array" ref="E171">IF(A171="","",IFERROR(INDEX(Entries!$M$2:$M$48,22),""))</f>
        <v/>
      </c>
      <c r="F171" s="7" t="str">
        <f>IF(E171="","",IFERROR(_xludf.XLOOKUP(E171,Countries!$A$2:$A$72,Countries!$B$2:$B$72,"???"),"???"))</f>
        <v/>
      </c>
      <c r="G171" s="7">
        <f t="array" ref="G171">IF(E171="",0,IFERROR(XLOOKUP(E171,Countries!$A$2:$A$72,Countries!$E$2:$E$72,0),0))</f>
        <v>0</v>
      </c>
      <c r="H171" s="7">
        <f t="array" ref="H171">IF(E171="",0,IFERROR(XLOOKUP(E171,Medals!$B$2:$B$51,Medals!$D$2:$D$51,0),0))</f>
        <v>0</v>
      </c>
      <c r="I171" s="7">
        <f t="array" ref="I171">IF(E171="",0,IFERROR(XLOOKUP(E171,Medals!$B$2:$B$51,Medals!$E$2:$E$51,0),0))</f>
        <v>0</v>
      </c>
      <c r="J171" s="7">
        <f t="array" ref="J171">IF(E171="",0,IFERROR(XLOOKUP(E171,Medals!$B$2:$B$51,Medals!$F$2:$F$51,0),0))</f>
        <v>0</v>
      </c>
      <c r="K171" s="7">
        <f>H171*GoldPoints*G171</f>
        <v>0</v>
      </c>
      <c r="L171" s="7">
        <f>I171*SilverPoints*G171</f>
        <v>0</v>
      </c>
      <c r="M171" s="7">
        <f>J171*BronzePoints*G171</f>
        <v>0</v>
      </c>
      <c r="N171" s="7">
        <f t="shared" si="1"/>
        <v>0</v>
      </c>
      <c r="O171" s="7" t="b">
        <f t="array" ref="O171">IF(E171="",FALSE,IFERROR(AND(ISNUMBER(MATCH(E171,Countries!$A$2:$A$72,0)),XLOOKUP(E171,Countries!$A$2:$A$72,Countries!$I$2:$I$72,FALSE)),FALSE))</f>
        <v>0</v>
      </c>
      <c r="P171" s="7" t="b">
        <f t="array" ref="P171">IF(E171="",FALSE,IFERROR(XLOOKUP(E171,Countries!$A$2:$A$72,Countries!$G$2:$G$72,FALSE),FALSE))</f>
        <v>0</v>
      </c>
      <c r="Q171" s="7" t="str">
        <f t="shared" si="2"/>
        <v>⚪</v>
      </c>
    </row>
    <row r="172" ht="15.75" customHeight="1">
      <c r="A172" s="7" t="str">
        <f t="array" ref="A172">IFERROR(IF(INDEX(Entries!$C$2:$C$48,22)="","",INDEX(Entries!$Q$2:$Q$48,22)),"")</f>
        <v/>
      </c>
      <c r="B172" s="7" t="str">
        <f t="array" ref="B172">IF(A172="","",IFERROR(INDEX(Entries!$E$2:$E$48,22),""))</f>
        <v/>
      </c>
      <c r="C172" s="7" t="str">
        <f>IF(A172="","","Tier2_Pick2")</f>
        <v/>
      </c>
      <c r="D172" s="7" t="str">
        <f t="shared" si="45"/>
        <v/>
      </c>
      <c r="E172" s="7" t="str">
        <f t="array" ref="E172">IF(A172="","",IFERROR(INDEX(Entries!$N$2:$N$48,22),""))</f>
        <v/>
      </c>
      <c r="F172" s="7" t="str">
        <f>IF(E172="","",IFERROR(_xludf.XLOOKUP(E172,Countries!$A$2:$A$72,Countries!$B$2:$B$72,"???"),"???"))</f>
        <v/>
      </c>
      <c r="G172" s="7">
        <f t="array" ref="G172">IF(E172="",0,IFERROR(XLOOKUP(E172,Countries!$A$2:$A$72,Countries!$E$2:$E$72,0),0))</f>
        <v>0</v>
      </c>
      <c r="H172" s="7">
        <f t="array" ref="H172">IF(E172="",0,IFERROR(XLOOKUP(E172,Medals!$B$2:$B$51,Medals!$D$2:$D$51,0),0))</f>
        <v>0</v>
      </c>
      <c r="I172" s="7">
        <f t="array" ref="I172">IF(E172="",0,IFERROR(XLOOKUP(E172,Medals!$B$2:$B$51,Medals!$E$2:$E$51,0),0))</f>
        <v>0</v>
      </c>
      <c r="J172" s="7">
        <f t="array" ref="J172">IF(E172="",0,IFERROR(XLOOKUP(E172,Medals!$B$2:$B$51,Medals!$F$2:$F$51,0),0))</f>
        <v>0</v>
      </c>
      <c r="K172" s="7">
        <f>H172*GoldPoints*G172</f>
        <v>0</v>
      </c>
      <c r="L172" s="7">
        <f>I172*SilverPoints*G172</f>
        <v>0</v>
      </c>
      <c r="M172" s="7">
        <f>J172*BronzePoints*G172</f>
        <v>0</v>
      </c>
      <c r="N172" s="7">
        <f t="shared" si="1"/>
        <v>0</v>
      </c>
      <c r="O172" s="7" t="b">
        <f t="array" ref="O172">IF(E172="",FALSE,IFERROR(AND(ISNUMBER(MATCH(E172,Countries!$A$2:$A$72,0)),XLOOKUP(E172,Countries!$A$2:$A$72,Countries!$I$2:$I$72,FALSE)),FALSE))</f>
        <v>0</v>
      </c>
      <c r="P172" s="7" t="b">
        <f t="array" ref="P172">IF(E172="",FALSE,IFERROR(XLOOKUP(E172,Countries!$A$2:$A$72,Countries!$G$2:$G$72,FALSE),FALSE))</f>
        <v>0</v>
      </c>
      <c r="Q172" s="7" t="str">
        <f t="shared" si="2"/>
        <v>⚪</v>
      </c>
    </row>
    <row r="173" ht="15.75" customHeight="1">
      <c r="A173" s="7" t="str">
        <f t="array" ref="A173">IFERROR(IF(INDEX(Entries!$C$2:$C$48,22)="","",INDEX(Entries!$Q$2:$Q$48,22)),"")</f>
        <v/>
      </c>
      <c r="B173" s="7" t="str">
        <f t="array" ref="B173">IF(A173="","",IFERROR(INDEX(Entries!$E$2:$E$48,22),""))</f>
        <v/>
      </c>
      <c r="C173" s="7" t="str">
        <f>IF(A173="","","Tier3_Pick1")</f>
        <v/>
      </c>
      <c r="D173" s="7" t="str">
        <f>IF(A173="","",3)</f>
        <v/>
      </c>
      <c r="E173" s="7" t="str">
        <f t="array" ref="E173">IF(A173="","",IFERROR(INDEX(Entries!$H$2:$H$48,22),""))</f>
        <v/>
      </c>
      <c r="F173" s="7" t="str">
        <f>IF(E173="","",IFERROR(_xludf.XLOOKUP(E173,Countries!$A$2:$A$72,Countries!$B$2:$B$72,"???"),"???"))</f>
        <v/>
      </c>
      <c r="G173" s="7">
        <f t="array" ref="G173">IF(E173="",0,IFERROR(XLOOKUP(E173,Countries!$A$2:$A$72,Countries!$E$2:$E$72,0),0))</f>
        <v>0</v>
      </c>
      <c r="H173" s="7">
        <f t="array" ref="H173">IF(E173="",0,IFERROR(XLOOKUP(E173,Medals!$B$2:$B$51,Medals!$D$2:$D$51,0),0))</f>
        <v>0</v>
      </c>
      <c r="I173" s="7">
        <f t="array" ref="I173">IF(E173="",0,IFERROR(XLOOKUP(E173,Medals!$B$2:$B$51,Medals!$E$2:$E$51,0),0))</f>
        <v>0</v>
      </c>
      <c r="J173" s="7">
        <f t="array" ref="J173">IF(E173="",0,IFERROR(XLOOKUP(E173,Medals!$B$2:$B$51,Medals!$F$2:$F$51,0),0))</f>
        <v>0</v>
      </c>
      <c r="K173" s="7">
        <f>H173*GoldPoints*G173</f>
        <v>0</v>
      </c>
      <c r="L173" s="7">
        <f>I173*SilverPoints*G173</f>
        <v>0</v>
      </c>
      <c r="M173" s="7">
        <f>J173*BronzePoints*G173</f>
        <v>0</v>
      </c>
      <c r="N173" s="7">
        <f t="shared" si="1"/>
        <v>0</v>
      </c>
      <c r="O173" s="7" t="b">
        <f t="array" ref="O173">IF(E173="",FALSE,IFERROR(AND(ISNUMBER(MATCH(E173,Countries!$A$2:$A$72,0)),XLOOKUP(E173,Countries!$A$2:$A$72,Countries!$I$2:$I$72,FALSE)),FALSE))</f>
        <v>0</v>
      </c>
      <c r="P173" s="7" t="b">
        <f t="array" ref="P173">IF(E173="",FALSE,IFERROR(XLOOKUP(E173,Countries!$A$2:$A$72,Countries!$G$2:$G$72,FALSE),FALSE))</f>
        <v>0</v>
      </c>
      <c r="Q173" s="7" t="str">
        <f t="shared" si="2"/>
        <v>⚪</v>
      </c>
    </row>
    <row r="174" ht="15.75" customHeight="1">
      <c r="A174" s="7" t="str">
        <f t="array" ref="A174">IFERROR(IF(INDEX(Entries!$C$2:$C$48,22)="","",INDEX(Entries!$Q$2:$Q$48,22)),"")</f>
        <v/>
      </c>
      <c r="B174" s="7" t="str">
        <f t="array" ref="B174">IF(A174="","",IFERROR(INDEX(Entries!$E$2:$E$48,22),""))</f>
        <v/>
      </c>
      <c r="C174" s="7" t="str">
        <f>IF(A174="","","Tier4_Pick1")</f>
        <v/>
      </c>
      <c r="D174" s="7" t="str">
        <f>IF(A174="","",4)</f>
        <v/>
      </c>
      <c r="E174" s="7" t="str">
        <f t="array" ref="E174">IF(A174="","",IFERROR(INDEX(Entries!$I$2:$I$48,22),""))</f>
        <v/>
      </c>
      <c r="F174" s="7" t="str">
        <f>IF(E174="","",IFERROR(_xludf.XLOOKUP(E174,Countries!$A$2:$A$72,Countries!$B$2:$B$72,"???"),"???"))</f>
        <v/>
      </c>
      <c r="G174" s="7">
        <f t="array" ref="G174">IF(E174="",0,IFERROR(XLOOKUP(E174,Countries!$A$2:$A$72,Countries!$E$2:$E$72,0),0))</f>
        <v>0</v>
      </c>
      <c r="H174" s="7">
        <f t="array" ref="H174">IF(E174="",0,IFERROR(XLOOKUP(E174,Medals!$B$2:$B$51,Medals!$D$2:$D$51,0),0))</f>
        <v>0</v>
      </c>
      <c r="I174" s="7">
        <f t="array" ref="I174">IF(E174="",0,IFERROR(XLOOKUP(E174,Medals!$B$2:$B$51,Medals!$E$2:$E$51,0),0))</f>
        <v>0</v>
      </c>
      <c r="J174" s="7">
        <f t="array" ref="J174">IF(E174="",0,IFERROR(XLOOKUP(E174,Medals!$B$2:$B$51,Medals!$F$2:$F$51,0),0))</f>
        <v>0</v>
      </c>
      <c r="K174" s="7">
        <f>H174*GoldPoints*G174</f>
        <v>0</v>
      </c>
      <c r="L174" s="7">
        <f>I174*SilverPoints*G174</f>
        <v>0</v>
      </c>
      <c r="M174" s="7">
        <f>J174*BronzePoints*G174</f>
        <v>0</v>
      </c>
      <c r="N174" s="7">
        <f t="shared" si="1"/>
        <v>0</v>
      </c>
      <c r="O174" s="7" t="b">
        <f t="array" ref="O174">IF(E174="",FALSE,IFERROR(AND(ISNUMBER(MATCH(E174,Countries!$A$2:$A$72,0)),XLOOKUP(E174,Countries!$A$2:$A$72,Countries!$I$2:$I$72,FALSE)),FALSE))</f>
        <v>0</v>
      </c>
      <c r="P174" s="7" t="b">
        <f t="array" ref="P174">IF(E174="",FALSE,IFERROR(XLOOKUP(E174,Countries!$A$2:$A$72,Countries!$G$2:$G$72,FALSE),FALSE))</f>
        <v>0</v>
      </c>
      <c r="Q174" s="7" t="str">
        <f t="shared" si="2"/>
        <v>⚪</v>
      </c>
    </row>
    <row r="175" ht="15.75" customHeight="1">
      <c r="A175" s="7" t="str">
        <f t="array" ref="A175">IFERROR(IF(INDEX(Entries!$C$2:$C$48,22)="","",INDEX(Entries!$Q$2:$Q$48,22)),"")</f>
        <v/>
      </c>
      <c r="B175" s="7" t="str">
        <f t="array" ref="B175">IF(A175="","",IFERROR(INDEX(Entries!$E$2:$E$48,22),""))</f>
        <v/>
      </c>
      <c r="C175" s="7" t="str">
        <f>IF(A175="","","Tier5_Pick1")</f>
        <v/>
      </c>
      <c r="D175" s="7" t="str">
        <f>IF(A175="","",5)</f>
        <v/>
      </c>
      <c r="E175" s="7" t="str">
        <f t="array" ref="E175">IF(A175="","",IFERROR(INDEX(Entries!$J$2:$J$48,22),""))</f>
        <v/>
      </c>
      <c r="F175" s="7" t="str">
        <f>IF(E175="","",IFERROR(_xludf.XLOOKUP(E175,Countries!$A$2:$A$72,Countries!$B$2:$B$72,"???"),"???"))</f>
        <v/>
      </c>
      <c r="G175" s="7">
        <f t="array" ref="G175">IF(E175="",0,IFERROR(XLOOKUP(E175,Countries!$A$2:$A$72,Countries!$E$2:$E$72,0),0))</f>
        <v>0</v>
      </c>
      <c r="H175" s="7">
        <f t="array" ref="H175">IF(E175="",0,IFERROR(XLOOKUP(E175,Medals!$B$2:$B$51,Medals!$D$2:$D$51,0),0))</f>
        <v>0</v>
      </c>
      <c r="I175" s="7">
        <f t="array" ref="I175">IF(E175="",0,IFERROR(XLOOKUP(E175,Medals!$B$2:$B$51,Medals!$E$2:$E$51,0),0))</f>
        <v>0</v>
      </c>
      <c r="J175" s="7">
        <f t="array" ref="J175">IF(E175="",0,IFERROR(XLOOKUP(E175,Medals!$B$2:$B$51,Medals!$F$2:$F$51,0),0))</f>
        <v>0</v>
      </c>
      <c r="K175" s="7">
        <f>H175*GoldPoints*G175</f>
        <v>0</v>
      </c>
      <c r="L175" s="7">
        <f>I175*SilverPoints*G175</f>
        <v>0</v>
      </c>
      <c r="M175" s="7">
        <f>J175*BronzePoints*G175</f>
        <v>0</v>
      </c>
      <c r="N175" s="7">
        <f t="shared" si="1"/>
        <v>0</v>
      </c>
      <c r="O175" s="7" t="b">
        <f t="array" ref="O175">IF(E175="",FALSE,IFERROR(AND(ISNUMBER(MATCH(E175,Countries!$A$2:$A$72,0)),XLOOKUP(E175,Countries!$A$2:$A$72,Countries!$I$2:$I$72,FALSE)),FALSE))</f>
        <v>0</v>
      </c>
      <c r="P175" s="7" t="b">
        <f t="array" ref="P175">IF(E175="",FALSE,IFERROR(XLOOKUP(E175,Countries!$A$2:$A$72,Countries!$G$2:$G$72,FALSE),FALSE))</f>
        <v>0</v>
      </c>
      <c r="Q175" s="7" t="str">
        <f t="shared" si="2"/>
        <v>⚪</v>
      </c>
    </row>
    <row r="176" ht="15.75" customHeight="1">
      <c r="A176" s="7" t="str">
        <f t="array" ref="A176">IFERROR(IF(INDEX(Entries!$C$2:$C$48,22)="","",INDEX(Entries!$Q$2:$Q$48,22)),"")</f>
        <v/>
      </c>
      <c r="B176" s="7" t="str">
        <f t="array" ref="B176">IF(A176="","",IFERROR(INDEX(Entries!$E$2:$E$48,22),""))</f>
        <v/>
      </c>
      <c r="C176" s="7" t="str">
        <f>IF(A176="","","Tier6_Pick1")</f>
        <v/>
      </c>
      <c r="D176" s="7" t="str">
        <f t="shared" ref="D176:D177" si="46">IF(A176="","",6)</f>
        <v/>
      </c>
      <c r="E176" s="7" t="str">
        <f t="array" ref="E176">IF(A176="","",IFERROR(INDEX(Entries!$O$2:$O$48,22),""))</f>
        <v/>
      </c>
      <c r="F176" s="7" t="str">
        <f>IF(E176="","",IFERROR(_xludf.XLOOKUP(E176,Countries!$A$2:$A$72,Countries!$B$2:$B$72,"???"),"???"))</f>
        <v/>
      </c>
      <c r="G176" s="7">
        <f t="array" ref="G176">IF(E176="",0,IFERROR(XLOOKUP(E176,Countries!$A$2:$A$72,Countries!$E$2:$E$72,0),0))</f>
        <v>0</v>
      </c>
      <c r="H176" s="7">
        <f t="array" ref="H176">IF(E176="",0,IFERROR(XLOOKUP(E176,Medals!$B$2:$B$51,Medals!$D$2:$D$51,0),0))</f>
        <v>0</v>
      </c>
      <c r="I176" s="7">
        <f t="array" ref="I176">IF(E176="",0,IFERROR(XLOOKUP(E176,Medals!$B$2:$B$51,Medals!$E$2:$E$51,0),0))</f>
        <v>0</v>
      </c>
      <c r="J176" s="7">
        <f t="array" ref="J176">IF(E176="",0,IFERROR(XLOOKUP(E176,Medals!$B$2:$B$51,Medals!$F$2:$F$51,0),0))</f>
        <v>0</v>
      </c>
      <c r="K176" s="7">
        <f>H176*GoldPoints*G176</f>
        <v>0</v>
      </c>
      <c r="L176" s="7">
        <f>I176*SilverPoints*G176</f>
        <v>0</v>
      </c>
      <c r="M176" s="7">
        <f>J176*BronzePoints*G176</f>
        <v>0</v>
      </c>
      <c r="N176" s="7">
        <f t="shared" si="1"/>
        <v>0</v>
      </c>
      <c r="O176" s="7" t="b">
        <f t="array" ref="O176">IF(E176="",FALSE,IFERROR(AND(ISNUMBER(MATCH(E176,Countries!$A$2:$A$72,0)),XLOOKUP(E176,Countries!$A$2:$A$72,Countries!$I$2:$I$72,FALSE)),FALSE))</f>
        <v>0</v>
      </c>
      <c r="P176" s="7" t="b">
        <f t="array" ref="P176">IF(E176="",FALSE,IFERROR(XLOOKUP(E176,Countries!$A$2:$A$72,Countries!$G$2:$G$72,FALSE),FALSE))</f>
        <v>0</v>
      </c>
      <c r="Q176" s="7" t="str">
        <f t="shared" si="2"/>
        <v>⚪</v>
      </c>
    </row>
    <row r="177" ht="15.75" customHeight="1">
      <c r="A177" s="7" t="str">
        <f t="array" ref="A177">IFERROR(IF(INDEX(Entries!$C$2:$C$48,22)="","",INDEX(Entries!$Q$2:$Q$48,22)),"")</f>
        <v/>
      </c>
      <c r="B177" s="7" t="str">
        <f t="array" ref="B177">IF(A177="","",IFERROR(INDEX(Entries!$E$2:$E$48,22),""))</f>
        <v/>
      </c>
      <c r="C177" s="7" t="str">
        <f>IF(A177="","","Tier6_Pick2")</f>
        <v/>
      </c>
      <c r="D177" s="7" t="str">
        <f t="shared" si="46"/>
        <v/>
      </c>
      <c r="E177" s="7" t="str">
        <f t="array" ref="E177">IF(A177="","",IFERROR(INDEX(Entries!$P$2:$P$48,22),""))</f>
        <v/>
      </c>
      <c r="F177" s="7" t="str">
        <f>IF(E177="","",IFERROR(_xludf.XLOOKUP(E177,Countries!$A$2:$A$72,Countries!$B$2:$B$72,"???"),"???"))</f>
        <v/>
      </c>
      <c r="G177" s="7">
        <f t="array" ref="G177">IF(E177="",0,IFERROR(XLOOKUP(E177,Countries!$A$2:$A$72,Countries!$E$2:$E$72,0),0))</f>
        <v>0</v>
      </c>
      <c r="H177" s="7">
        <f t="array" ref="H177">IF(E177="",0,IFERROR(XLOOKUP(E177,Medals!$B$2:$B$51,Medals!$D$2:$D$51,0),0))</f>
        <v>0</v>
      </c>
      <c r="I177" s="7">
        <f t="array" ref="I177">IF(E177="",0,IFERROR(XLOOKUP(E177,Medals!$B$2:$B$51,Medals!$E$2:$E$51,0),0))</f>
        <v>0</v>
      </c>
      <c r="J177" s="7">
        <f t="array" ref="J177">IF(E177="",0,IFERROR(XLOOKUP(E177,Medals!$B$2:$B$51,Medals!$F$2:$F$51,0),0))</f>
        <v>0</v>
      </c>
      <c r="K177" s="7">
        <f>H177*GoldPoints*G177</f>
        <v>0</v>
      </c>
      <c r="L177" s="7">
        <f>I177*SilverPoints*G177</f>
        <v>0</v>
      </c>
      <c r="M177" s="7">
        <f>J177*BronzePoints*G177</f>
        <v>0</v>
      </c>
      <c r="N177" s="7">
        <f t="shared" si="1"/>
        <v>0</v>
      </c>
      <c r="O177" s="7" t="b">
        <f t="array" ref="O177">IF(E177="",FALSE,IFERROR(AND(ISNUMBER(MATCH(E177,Countries!$A$2:$A$72,0)),XLOOKUP(E177,Countries!$A$2:$A$72,Countries!$I$2:$I$72,FALSE)),FALSE))</f>
        <v>0</v>
      </c>
      <c r="P177" s="7" t="b">
        <f t="array" ref="P177">IF(E177="",FALSE,IFERROR(XLOOKUP(E177,Countries!$A$2:$A$72,Countries!$G$2:$G$72,FALSE),FALSE))</f>
        <v>0</v>
      </c>
      <c r="Q177" s="7" t="str">
        <f t="shared" si="2"/>
        <v>⚪</v>
      </c>
    </row>
    <row r="178" ht="15.75" customHeight="1">
      <c r="A178" s="7" t="str">
        <f t="array" ref="A178">IFERROR(IF(INDEX(Entries!$C$2:$C$48,23)="","",INDEX(Entries!$Q$2:$Q$48,23)),"")</f>
        <v/>
      </c>
      <c r="B178" s="7" t="str">
        <f t="array" ref="B178">IF(A178="","",IFERROR(INDEX(Entries!$E$2:$E$48,23),""))</f>
        <v/>
      </c>
      <c r="C178" s="7" t="str">
        <f>IF(A178="","","Tier1_Pick1")</f>
        <v/>
      </c>
      <c r="D178" s="7" t="str">
        <f>IF(A178="","",1)</f>
        <v/>
      </c>
      <c r="E178" s="7" t="str">
        <f t="array" ref="E178">IF(A178="","",IFERROR(INDEX(Entries!$F$2:$F$48,23),""))</f>
        <v/>
      </c>
      <c r="F178" s="7" t="str">
        <f>IF(E178="","",IFERROR(_xludf.XLOOKUP(E178,Countries!$A$2:$A$72,Countries!$B$2:$B$72,"???"),"???"))</f>
        <v/>
      </c>
      <c r="G178" s="7">
        <f t="array" ref="G178">IF(E178="",0,IFERROR(XLOOKUP(E178,Countries!$A$2:$A$72,Countries!$E$2:$E$72,0),0))</f>
        <v>0</v>
      </c>
      <c r="H178" s="7">
        <f t="array" ref="H178">IF(E178="",0,IFERROR(XLOOKUP(E178,Medals!$B$2:$B$51,Medals!$D$2:$D$51,0),0))</f>
        <v>0</v>
      </c>
      <c r="I178" s="7">
        <f t="array" ref="I178">IF(E178="",0,IFERROR(XLOOKUP(E178,Medals!$B$2:$B$51,Medals!$E$2:$E$51,0),0))</f>
        <v>0</v>
      </c>
      <c r="J178" s="7">
        <f t="array" ref="J178">IF(E178="",0,IFERROR(XLOOKUP(E178,Medals!$B$2:$B$51,Medals!$F$2:$F$51,0),0))</f>
        <v>0</v>
      </c>
      <c r="K178" s="7">
        <f>H178*GoldPoints*G178</f>
        <v>0</v>
      </c>
      <c r="L178" s="7">
        <f>I178*SilverPoints*G178</f>
        <v>0</v>
      </c>
      <c r="M178" s="7">
        <f>J178*BronzePoints*G178</f>
        <v>0</v>
      </c>
      <c r="N178" s="7">
        <f t="shared" si="1"/>
        <v>0</v>
      </c>
      <c r="O178" s="7" t="b">
        <f t="array" ref="O178">IF(E178="",FALSE,IFERROR(AND(ISNUMBER(MATCH(E178,Countries!$A$2:$A$72,0)),XLOOKUP(E178,Countries!$A$2:$A$72,Countries!$I$2:$I$72,FALSE)),FALSE))</f>
        <v>0</v>
      </c>
      <c r="P178" s="7" t="b">
        <f t="array" ref="P178">IF(E178="",FALSE,IFERROR(XLOOKUP(E178,Countries!$A$2:$A$72,Countries!$G$2:$G$72,FALSE),FALSE))</f>
        <v>0</v>
      </c>
      <c r="Q178" s="7" t="str">
        <f t="shared" si="2"/>
        <v>⚪</v>
      </c>
    </row>
    <row r="179" ht="15.75" customHeight="1">
      <c r="A179" s="7" t="str">
        <f t="array" ref="A179">IFERROR(IF(INDEX(Entries!$C$2:$C$48,23)="","",INDEX(Entries!$Q$2:$Q$48,23)),"")</f>
        <v/>
      </c>
      <c r="B179" s="7" t="str">
        <f t="array" ref="B179">IF(A179="","",IFERROR(INDEX(Entries!$E$2:$E$48,23),""))</f>
        <v/>
      </c>
      <c r="C179" s="7" t="str">
        <f>IF(A179="","","Tier2_Pick1")</f>
        <v/>
      </c>
      <c r="D179" s="7" t="str">
        <f t="shared" ref="D179:D180" si="47">IF(A179="","",2)</f>
        <v/>
      </c>
      <c r="E179" s="7" t="str">
        <f t="array" ref="E179">IF(A179="","",IFERROR(INDEX(Entries!$M$2:$M$48,23),""))</f>
        <v/>
      </c>
      <c r="F179" s="7" t="str">
        <f>IF(E179="","",IFERROR(_xludf.XLOOKUP(E179,Countries!$A$2:$A$72,Countries!$B$2:$B$72,"???"),"???"))</f>
        <v/>
      </c>
      <c r="G179" s="7">
        <f t="array" ref="G179">IF(E179="",0,IFERROR(XLOOKUP(E179,Countries!$A$2:$A$72,Countries!$E$2:$E$72,0),0))</f>
        <v>0</v>
      </c>
      <c r="H179" s="7">
        <f t="array" ref="H179">IF(E179="",0,IFERROR(XLOOKUP(E179,Medals!$B$2:$B$51,Medals!$D$2:$D$51,0),0))</f>
        <v>0</v>
      </c>
      <c r="I179" s="7">
        <f t="array" ref="I179">IF(E179="",0,IFERROR(XLOOKUP(E179,Medals!$B$2:$B$51,Medals!$E$2:$E$51,0),0))</f>
        <v>0</v>
      </c>
      <c r="J179" s="7">
        <f t="array" ref="J179">IF(E179="",0,IFERROR(XLOOKUP(E179,Medals!$B$2:$B$51,Medals!$F$2:$F$51,0),0))</f>
        <v>0</v>
      </c>
      <c r="K179" s="7">
        <f>H179*GoldPoints*G179</f>
        <v>0</v>
      </c>
      <c r="L179" s="7">
        <f>I179*SilverPoints*G179</f>
        <v>0</v>
      </c>
      <c r="M179" s="7">
        <f>J179*BronzePoints*G179</f>
        <v>0</v>
      </c>
      <c r="N179" s="7">
        <f t="shared" si="1"/>
        <v>0</v>
      </c>
      <c r="O179" s="7" t="b">
        <f t="array" ref="O179">IF(E179="",FALSE,IFERROR(AND(ISNUMBER(MATCH(E179,Countries!$A$2:$A$72,0)),XLOOKUP(E179,Countries!$A$2:$A$72,Countries!$I$2:$I$72,FALSE)),FALSE))</f>
        <v>0</v>
      </c>
      <c r="P179" s="7" t="b">
        <f t="array" ref="P179">IF(E179="",FALSE,IFERROR(XLOOKUP(E179,Countries!$A$2:$A$72,Countries!$G$2:$G$72,FALSE),FALSE))</f>
        <v>0</v>
      </c>
      <c r="Q179" s="7" t="str">
        <f t="shared" si="2"/>
        <v>⚪</v>
      </c>
    </row>
    <row r="180" ht="15.75" customHeight="1">
      <c r="A180" s="7" t="str">
        <f t="array" ref="A180">IFERROR(IF(INDEX(Entries!$C$2:$C$48,23)="","",INDEX(Entries!$Q$2:$Q$48,23)),"")</f>
        <v/>
      </c>
      <c r="B180" s="7" t="str">
        <f t="array" ref="B180">IF(A180="","",IFERROR(INDEX(Entries!$E$2:$E$48,23),""))</f>
        <v/>
      </c>
      <c r="C180" s="7" t="str">
        <f>IF(A180="","","Tier2_Pick2")</f>
        <v/>
      </c>
      <c r="D180" s="7" t="str">
        <f t="shared" si="47"/>
        <v/>
      </c>
      <c r="E180" s="7" t="str">
        <f t="array" ref="E180">IF(A180="","",IFERROR(INDEX(Entries!$N$2:$N$48,23),""))</f>
        <v/>
      </c>
      <c r="F180" s="7" t="str">
        <f>IF(E180="","",IFERROR(_xludf.XLOOKUP(E180,Countries!$A$2:$A$72,Countries!$B$2:$B$72,"???"),"???"))</f>
        <v/>
      </c>
      <c r="G180" s="7">
        <f t="array" ref="G180">IF(E180="",0,IFERROR(XLOOKUP(E180,Countries!$A$2:$A$72,Countries!$E$2:$E$72,0),0))</f>
        <v>0</v>
      </c>
      <c r="H180" s="7">
        <f t="array" ref="H180">IF(E180="",0,IFERROR(XLOOKUP(E180,Medals!$B$2:$B$51,Medals!$D$2:$D$51,0),0))</f>
        <v>0</v>
      </c>
      <c r="I180" s="7">
        <f t="array" ref="I180">IF(E180="",0,IFERROR(XLOOKUP(E180,Medals!$B$2:$B$51,Medals!$E$2:$E$51,0),0))</f>
        <v>0</v>
      </c>
      <c r="J180" s="7">
        <f t="array" ref="J180">IF(E180="",0,IFERROR(XLOOKUP(E180,Medals!$B$2:$B$51,Medals!$F$2:$F$51,0),0))</f>
        <v>0</v>
      </c>
      <c r="K180" s="7">
        <f>H180*GoldPoints*G180</f>
        <v>0</v>
      </c>
      <c r="L180" s="7">
        <f>I180*SilverPoints*G180</f>
        <v>0</v>
      </c>
      <c r="M180" s="7">
        <f>J180*BronzePoints*G180</f>
        <v>0</v>
      </c>
      <c r="N180" s="7">
        <f t="shared" si="1"/>
        <v>0</v>
      </c>
      <c r="O180" s="7" t="b">
        <f t="array" ref="O180">IF(E180="",FALSE,IFERROR(AND(ISNUMBER(MATCH(E180,Countries!$A$2:$A$72,0)),XLOOKUP(E180,Countries!$A$2:$A$72,Countries!$I$2:$I$72,FALSE)),FALSE))</f>
        <v>0</v>
      </c>
      <c r="P180" s="7" t="b">
        <f t="array" ref="P180">IF(E180="",FALSE,IFERROR(XLOOKUP(E180,Countries!$A$2:$A$72,Countries!$G$2:$G$72,FALSE),FALSE))</f>
        <v>0</v>
      </c>
      <c r="Q180" s="7" t="str">
        <f t="shared" si="2"/>
        <v>⚪</v>
      </c>
    </row>
    <row r="181" ht="15.75" customHeight="1">
      <c r="A181" s="7" t="str">
        <f t="array" ref="A181">IFERROR(IF(INDEX(Entries!$C$2:$C$48,23)="","",INDEX(Entries!$Q$2:$Q$48,23)),"")</f>
        <v/>
      </c>
      <c r="B181" s="7" t="str">
        <f t="array" ref="B181">IF(A181="","",IFERROR(INDEX(Entries!$E$2:$E$48,23),""))</f>
        <v/>
      </c>
      <c r="C181" s="7" t="str">
        <f>IF(A181="","","Tier3_Pick1")</f>
        <v/>
      </c>
      <c r="D181" s="7" t="str">
        <f>IF(A181="","",3)</f>
        <v/>
      </c>
      <c r="E181" s="7" t="str">
        <f t="array" ref="E181">IF(A181="","",IFERROR(INDEX(Entries!$H$2:$H$48,23),""))</f>
        <v/>
      </c>
      <c r="F181" s="7" t="str">
        <f>IF(E181="","",IFERROR(_xludf.XLOOKUP(E181,Countries!$A$2:$A$72,Countries!$B$2:$B$72,"???"),"???"))</f>
        <v/>
      </c>
      <c r="G181" s="7">
        <f t="array" ref="G181">IF(E181="",0,IFERROR(XLOOKUP(E181,Countries!$A$2:$A$72,Countries!$E$2:$E$72,0),0))</f>
        <v>0</v>
      </c>
      <c r="H181" s="7">
        <f t="array" ref="H181">IF(E181="",0,IFERROR(XLOOKUP(E181,Medals!$B$2:$B$51,Medals!$D$2:$D$51,0),0))</f>
        <v>0</v>
      </c>
      <c r="I181" s="7">
        <f t="array" ref="I181">IF(E181="",0,IFERROR(XLOOKUP(E181,Medals!$B$2:$B$51,Medals!$E$2:$E$51,0),0))</f>
        <v>0</v>
      </c>
      <c r="J181" s="7">
        <f t="array" ref="J181">IF(E181="",0,IFERROR(XLOOKUP(E181,Medals!$B$2:$B$51,Medals!$F$2:$F$51,0),0))</f>
        <v>0</v>
      </c>
      <c r="K181" s="7">
        <f>H181*GoldPoints*G181</f>
        <v>0</v>
      </c>
      <c r="L181" s="7">
        <f>I181*SilverPoints*G181</f>
        <v>0</v>
      </c>
      <c r="M181" s="7">
        <f>J181*BronzePoints*G181</f>
        <v>0</v>
      </c>
      <c r="N181" s="7">
        <f t="shared" si="1"/>
        <v>0</v>
      </c>
      <c r="O181" s="7" t="b">
        <f t="array" ref="O181">IF(E181="",FALSE,IFERROR(AND(ISNUMBER(MATCH(E181,Countries!$A$2:$A$72,0)),XLOOKUP(E181,Countries!$A$2:$A$72,Countries!$I$2:$I$72,FALSE)),FALSE))</f>
        <v>0</v>
      </c>
      <c r="P181" s="7" t="b">
        <f t="array" ref="P181">IF(E181="",FALSE,IFERROR(XLOOKUP(E181,Countries!$A$2:$A$72,Countries!$G$2:$G$72,FALSE),FALSE))</f>
        <v>0</v>
      </c>
      <c r="Q181" s="7" t="str">
        <f t="shared" si="2"/>
        <v>⚪</v>
      </c>
    </row>
    <row r="182" ht="15.75" customHeight="1">
      <c r="A182" s="7" t="str">
        <f t="array" ref="A182">IFERROR(IF(INDEX(Entries!$C$2:$C$48,23)="","",INDEX(Entries!$Q$2:$Q$48,23)),"")</f>
        <v/>
      </c>
      <c r="B182" s="7" t="str">
        <f t="array" ref="B182">IF(A182="","",IFERROR(INDEX(Entries!$E$2:$E$48,23),""))</f>
        <v/>
      </c>
      <c r="C182" s="7" t="str">
        <f>IF(A182="","","Tier4_Pick1")</f>
        <v/>
      </c>
      <c r="D182" s="7" t="str">
        <f>IF(A182="","",4)</f>
        <v/>
      </c>
      <c r="E182" s="7" t="str">
        <f t="array" ref="E182">IF(A182="","",IFERROR(INDEX(Entries!$I$2:$I$48,23),""))</f>
        <v/>
      </c>
      <c r="F182" s="7" t="str">
        <f>IF(E182="","",IFERROR(_xludf.XLOOKUP(E182,Countries!$A$2:$A$72,Countries!$B$2:$B$72,"???"),"???"))</f>
        <v/>
      </c>
      <c r="G182" s="7">
        <f t="array" ref="G182">IF(E182="",0,IFERROR(XLOOKUP(E182,Countries!$A$2:$A$72,Countries!$E$2:$E$72,0),0))</f>
        <v>0</v>
      </c>
      <c r="H182" s="7">
        <f t="array" ref="H182">IF(E182="",0,IFERROR(XLOOKUP(E182,Medals!$B$2:$B$51,Medals!$D$2:$D$51,0),0))</f>
        <v>0</v>
      </c>
      <c r="I182" s="7">
        <f t="array" ref="I182">IF(E182="",0,IFERROR(XLOOKUP(E182,Medals!$B$2:$B$51,Medals!$E$2:$E$51,0),0))</f>
        <v>0</v>
      </c>
      <c r="J182" s="7">
        <f t="array" ref="J182">IF(E182="",0,IFERROR(XLOOKUP(E182,Medals!$B$2:$B$51,Medals!$F$2:$F$51,0),0))</f>
        <v>0</v>
      </c>
      <c r="K182" s="7">
        <f>H182*GoldPoints*G182</f>
        <v>0</v>
      </c>
      <c r="L182" s="7">
        <f>I182*SilverPoints*G182</f>
        <v>0</v>
      </c>
      <c r="M182" s="7">
        <f>J182*BronzePoints*G182</f>
        <v>0</v>
      </c>
      <c r="N182" s="7">
        <f t="shared" si="1"/>
        <v>0</v>
      </c>
      <c r="O182" s="7" t="b">
        <f t="array" ref="O182">IF(E182="",FALSE,IFERROR(AND(ISNUMBER(MATCH(E182,Countries!$A$2:$A$72,0)),XLOOKUP(E182,Countries!$A$2:$A$72,Countries!$I$2:$I$72,FALSE)),FALSE))</f>
        <v>0</v>
      </c>
      <c r="P182" s="7" t="b">
        <f t="array" ref="P182">IF(E182="",FALSE,IFERROR(XLOOKUP(E182,Countries!$A$2:$A$72,Countries!$G$2:$G$72,FALSE),FALSE))</f>
        <v>0</v>
      </c>
      <c r="Q182" s="7" t="str">
        <f t="shared" si="2"/>
        <v>⚪</v>
      </c>
    </row>
    <row r="183" ht="15.75" customHeight="1">
      <c r="A183" s="7" t="str">
        <f t="array" ref="A183">IFERROR(IF(INDEX(Entries!$C$2:$C$48,23)="","",INDEX(Entries!$Q$2:$Q$48,23)),"")</f>
        <v/>
      </c>
      <c r="B183" s="7" t="str">
        <f t="array" ref="B183">IF(A183="","",IFERROR(INDEX(Entries!$E$2:$E$48,23),""))</f>
        <v/>
      </c>
      <c r="C183" s="7" t="str">
        <f>IF(A183="","","Tier5_Pick1")</f>
        <v/>
      </c>
      <c r="D183" s="7" t="str">
        <f>IF(A183="","",5)</f>
        <v/>
      </c>
      <c r="E183" s="7" t="str">
        <f t="array" ref="E183">IF(A183="","",IFERROR(INDEX(Entries!$J$2:$J$48,23),""))</f>
        <v/>
      </c>
      <c r="F183" s="7" t="str">
        <f>IF(E183="","",IFERROR(_xludf.XLOOKUP(E183,Countries!$A$2:$A$72,Countries!$B$2:$B$72,"???"),"???"))</f>
        <v/>
      </c>
      <c r="G183" s="7">
        <f t="array" ref="G183">IF(E183="",0,IFERROR(XLOOKUP(E183,Countries!$A$2:$A$72,Countries!$E$2:$E$72,0),0))</f>
        <v>0</v>
      </c>
      <c r="H183" s="7">
        <f t="array" ref="H183">IF(E183="",0,IFERROR(XLOOKUP(E183,Medals!$B$2:$B$51,Medals!$D$2:$D$51,0),0))</f>
        <v>0</v>
      </c>
      <c r="I183" s="7">
        <f t="array" ref="I183">IF(E183="",0,IFERROR(XLOOKUP(E183,Medals!$B$2:$B$51,Medals!$E$2:$E$51,0),0))</f>
        <v>0</v>
      </c>
      <c r="J183" s="7">
        <f t="array" ref="J183">IF(E183="",0,IFERROR(XLOOKUP(E183,Medals!$B$2:$B$51,Medals!$F$2:$F$51,0),0))</f>
        <v>0</v>
      </c>
      <c r="K183" s="7">
        <f>H183*GoldPoints*G183</f>
        <v>0</v>
      </c>
      <c r="L183" s="7">
        <f>I183*SilverPoints*G183</f>
        <v>0</v>
      </c>
      <c r="M183" s="7">
        <f>J183*BronzePoints*G183</f>
        <v>0</v>
      </c>
      <c r="N183" s="7">
        <f t="shared" si="1"/>
        <v>0</v>
      </c>
      <c r="O183" s="7" t="b">
        <f t="array" ref="O183">IF(E183="",FALSE,IFERROR(AND(ISNUMBER(MATCH(E183,Countries!$A$2:$A$72,0)),XLOOKUP(E183,Countries!$A$2:$A$72,Countries!$I$2:$I$72,FALSE)),FALSE))</f>
        <v>0</v>
      </c>
      <c r="P183" s="7" t="b">
        <f t="array" ref="P183">IF(E183="",FALSE,IFERROR(XLOOKUP(E183,Countries!$A$2:$A$72,Countries!$G$2:$G$72,FALSE),FALSE))</f>
        <v>0</v>
      </c>
      <c r="Q183" s="7" t="str">
        <f t="shared" si="2"/>
        <v>⚪</v>
      </c>
    </row>
    <row r="184" ht="15.75" customHeight="1">
      <c r="A184" s="7" t="str">
        <f t="array" ref="A184">IFERROR(IF(INDEX(Entries!$C$2:$C$48,23)="","",INDEX(Entries!$Q$2:$Q$48,23)),"")</f>
        <v/>
      </c>
      <c r="B184" s="7" t="str">
        <f t="array" ref="B184">IF(A184="","",IFERROR(INDEX(Entries!$E$2:$E$48,23),""))</f>
        <v/>
      </c>
      <c r="C184" s="7" t="str">
        <f>IF(A184="","","Tier6_Pick1")</f>
        <v/>
      </c>
      <c r="D184" s="7" t="str">
        <f t="shared" ref="D184:D185" si="48">IF(A184="","",6)</f>
        <v/>
      </c>
      <c r="E184" s="7" t="str">
        <f t="array" ref="E184">IF(A184="","",IFERROR(INDEX(Entries!$O$2:$O$48,23),""))</f>
        <v/>
      </c>
      <c r="F184" s="7" t="str">
        <f>IF(E184="","",IFERROR(_xludf.XLOOKUP(E184,Countries!$A$2:$A$72,Countries!$B$2:$B$72,"???"),"???"))</f>
        <v/>
      </c>
      <c r="G184" s="7">
        <f t="array" ref="G184">IF(E184="",0,IFERROR(XLOOKUP(E184,Countries!$A$2:$A$72,Countries!$E$2:$E$72,0),0))</f>
        <v>0</v>
      </c>
      <c r="H184" s="7">
        <f t="array" ref="H184">IF(E184="",0,IFERROR(XLOOKUP(E184,Medals!$B$2:$B$51,Medals!$D$2:$D$51,0),0))</f>
        <v>0</v>
      </c>
      <c r="I184" s="7">
        <f t="array" ref="I184">IF(E184="",0,IFERROR(XLOOKUP(E184,Medals!$B$2:$B$51,Medals!$E$2:$E$51,0),0))</f>
        <v>0</v>
      </c>
      <c r="J184" s="7">
        <f t="array" ref="J184">IF(E184="",0,IFERROR(XLOOKUP(E184,Medals!$B$2:$B$51,Medals!$F$2:$F$51,0),0))</f>
        <v>0</v>
      </c>
      <c r="K184" s="7">
        <f>H184*GoldPoints*G184</f>
        <v>0</v>
      </c>
      <c r="L184" s="7">
        <f>I184*SilverPoints*G184</f>
        <v>0</v>
      </c>
      <c r="M184" s="7">
        <f>J184*BronzePoints*G184</f>
        <v>0</v>
      </c>
      <c r="N184" s="7">
        <f t="shared" si="1"/>
        <v>0</v>
      </c>
      <c r="O184" s="7" t="b">
        <f t="array" ref="O184">IF(E184="",FALSE,IFERROR(AND(ISNUMBER(MATCH(E184,Countries!$A$2:$A$72,0)),XLOOKUP(E184,Countries!$A$2:$A$72,Countries!$I$2:$I$72,FALSE)),FALSE))</f>
        <v>0</v>
      </c>
      <c r="P184" s="7" t="b">
        <f t="array" ref="P184">IF(E184="",FALSE,IFERROR(XLOOKUP(E184,Countries!$A$2:$A$72,Countries!$G$2:$G$72,FALSE),FALSE))</f>
        <v>0</v>
      </c>
      <c r="Q184" s="7" t="str">
        <f t="shared" si="2"/>
        <v>⚪</v>
      </c>
    </row>
    <row r="185" ht="15.75" customHeight="1">
      <c r="A185" s="7" t="str">
        <f t="array" ref="A185">IFERROR(IF(INDEX(Entries!$C$2:$C$48,23)="","",INDEX(Entries!$Q$2:$Q$48,23)),"")</f>
        <v/>
      </c>
      <c r="B185" s="7" t="str">
        <f t="array" ref="B185">IF(A185="","",IFERROR(INDEX(Entries!$E$2:$E$48,23),""))</f>
        <v/>
      </c>
      <c r="C185" s="7" t="str">
        <f>IF(A185="","","Tier6_Pick2")</f>
        <v/>
      </c>
      <c r="D185" s="7" t="str">
        <f t="shared" si="48"/>
        <v/>
      </c>
      <c r="E185" s="7" t="str">
        <f t="array" ref="E185">IF(A185="","",IFERROR(INDEX(Entries!$P$2:$P$48,23),""))</f>
        <v/>
      </c>
      <c r="F185" s="7" t="str">
        <f>IF(E185="","",IFERROR(_xludf.XLOOKUP(E185,Countries!$A$2:$A$72,Countries!$B$2:$B$72,"???"),"???"))</f>
        <v/>
      </c>
      <c r="G185" s="7">
        <f t="array" ref="G185">IF(E185="",0,IFERROR(XLOOKUP(E185,Countries!$A$2:$A$72,Countries!$E$2:$E$72,0),0))</f>
        <v>0</v>
      </c>
      <c r="H185" s="7">
        <f t="array" ref="H185">IF(E185="",0,IFERROR(XLOOKUP(E185,Medals!$B$2:$B$51,Medals!$D$2:$D$51,0),0))</f>
        <v>0</v>
      </c>
      <c r="I185" s="7">
        <f t="array" ref="I185">IF(E185="",0,IFERROR(XLOOKUP(E185,Medals!$B$2:$B$51,Medals!$E$2:$E$51,0),0))</f>
        <v>0</v>
      </c>
      <c r="J185" s="7">
        <f t="array" ref="J185">IF(E185="",0,IFERROR(XLOOKUP(E185,Medals!$B$2:$B$51,Medals!$F$2:$F$51,0),0))</f>
        <v>0</v>
      </c>
      <c r="K185" s="7">
        <f>H185*GoldPoints*G185</f>
        <v>0</v>
      </c>
      <c r="L185" s="7">
        <f>I185*SilverPoints*G185</f>
        <v>0</v>
      </c>
      <c r="M185" s="7">
        <f>J185*BronzePoints*G185</f>
        <v>0</v>
      </c>
      <c r="N185" s="7">
        <f t="shared" si="1"/>
        <v>0</v>
      </c>
      <c r="O185" s="7" t="b">
        <f t="array" ref="O185">IF(E185="",FALSE,IFERROR(AND(ISNUMBER(MATCH(E185,Countries!$A$2:$A$72,0)),XLOOKUP(E185,Countries!$A$2:$A$72,Countries!$I$2:$I$72,FALSE)),FALSE))</f>
        <v>0</v>
      </c>
      <c r="P185" s="7" t="b">
        <f t="array" ref="P185">IF(E185="",FALSE,IFERROR(XLOOKUP(E185,Countries!$A$2:$A$72,Countries!$G$2:$G$72,FALSE),FALSE))</f>
        <v>0</v>
      </c>
      <c r="Q185" s="7" t="str">
        <f t="shared" si="2"/>
        <v>⚪</v>
      </c>
    </row>
    <row r="186" ht="15.75" customHeight="1">
      <c r="A186" s="7" t="str">
        <f t="array" ref="A186">IFERROR(IF(INDEX(Entries!$C$2:$C$48,24)="","",INDEX(Entries!$Q$2:$Q$48,24)),"")</f>
        <v/>
      </c>
      <c r="B186" s="7" t="str">
        <f t="array" ref="B186">IF(A186="","",IFERROR(INDEX(Entries!$E$2:$E$48,24),""))</f>
        <v/>
      </c>
      <c r="C186" s="7" t="str">
        <f>IF(A186="","","Tier1_Pick1")</f>
        <v/>
      </c>
      <c r="D186" s="7" t="str">
        <f>IF(A186="","",1)</f>
        <v/>
      </c>
      <c r="E186" s="7" t="str">
        <f t="array" ref="E186">IF(A186="","",IFERROR(INDEX(Entries!$F$2:$F$48,24),""))</f>
        <v/>
      </c>
      <c r="F186" s="7" t="str">
        <f>IF(E186="","",IFERROR(_xludf.XLOOKUP(E186,Countries!$A$2:$A$72,Countries!$B$2:$B$72,"???"),"???"))</f>
        <v/>
      </c>
      <c r="G186" s="7">
        <f t="array" ref="G186">IF(E186="",0,IFERROR(XLOOKUP(E186,Countries!$A$2:$A$72,Countries!$E$2:$E$72,0),0))</f>
        <v>0</v>
      </c>
      <c r="H186" s="7">
        <f t="array" ref="H186">IF(E186="",0,IFERROR(XLOOKUP(E186,Medals!$B$2:$B$51,Medals!$D$2:$D$51,0),0))</f>
        <v>0</v>
      </c>
      <c r="I186" s="7">
        <f t="array" ref="I186">IF(E186="",0,IFERROR(XLOOKUP(E186,Medals!$B$2:$B$51,Medals!$E$2:$E$51,0),0))</f>
        <v>0</v>
      </c>
      <c r="J186" s="7">
        <f t="array" ref="J186">IF(E186="",0,IFERROR(XLOOKUP(E186,Medals!$B$2:$B$51,Medals!$F$2:$F$51,0),0))</f>
        <v>0</v>
      </c>
      <c r="K186" s="7">
        <f>H186*GoldPoints*G186</f>
        <v>0</v>
      </c>
      <c r="L186" s="7">
        <f>I186*SilverPoints*G186</f>
        <v>0</v>
      </c>
      <c r="M186" s="7">
        <f>J186*BronzePoints*G186</f>
        <v>0</v>
      </c>
      <c r="N186" s="7">
        <f t="shared" si="1"/>
        <v>0</v>
      </c>
      <c r="O186" s="7" t="b">
        <f t="array" ref="O186">IF(E186="",FALSE,IFERROR(AND(ISNUMBER(MATCH(E186,Countries!$A$2:$A$72,0)),XLOOKUP(E186,Countries!$A$2:$A$72,Countries!$I$2:$I$72,FALSE)),FALSE))</f>
        <v>0</v>
      </c>
      <c r="P186" s="7" t="b">
        <f t="array" ref="P186">IF(E186="",FALSE,IFERROR(XLOOKUP(E186,Countries!$A$2:$A$72,Countries!$G$2:$G$72,FALSE),FALSE))</f>
        <v>0</v>
      </c>
      <c r="Q186" s="7" t="str">
        <f t="shared" si="2"/>
        <v>⚪</v>
      </c>
    </row>
    <row r="187" ht="15.75" customHeight="1">
      <c r="A187" s="7" t="str">
        <f t="array" ref="A187">IFERROR(IF(INDEX(Entries!$C$2:$C$48,24)="","",INDEX(Entries!$Q$2:$Q$48,24)),"")</f>
        <v/>
      </c>
      <c r="B187" s="7" t="str">
        <f t="array" ref="B187">IF(A187="","",IFERROR(INDEX(Entries!$E$2:$E$48,24),""))</f>
        <v/>
      </c>
      <c r="C187" s="7" t="str">
        <f>IF(A187="","","Tier2_Pick1")</f>
        <v/>
      </c>
      <c r="D187" s="7" t="str">
        <f t="shared" ref="D187:D188" si="49">IF(A187="","",2)</f>
        <v/>
      </c>
      <c r="E187" s="7" t="str">
        <f t="array" ref="E187">IF(A187="","",IFERROR(INDEX(Entries!$M$2:$M$48,24),""))</f>
        <v/>
      </c>
      <c r="F187" s="7" t="str">
        <f>IF(E187="","",IFERROR(_xludf.XLOOKUP(E187,Countries!$A$2:$A$72,Countries!$B$2:$B$72,"???"),"???"))</f>
        <v/>
      </c>
      <c r="G187" s="7">
        <f t="array" ref="G187">IF(E187="",0,IFERROR(XLOOKUP(E187,Countries!$A$2:$A$72,Countries!$E$2:$E$72,0),0))</f>
        <v>0</v>
      </c>
      <c r="H187" s="7">
        <f t="array" ref="H187">IF(E187="",0,IFERROR(XLOOKUP(E187,Medals!$B$2:$B$51,Medals!$D$2:$D$51,0),0))</f>
        <v>0</v>
      </c>
      <c r="I187" s="7">
        <f t="array" ref="I187">IF(E187="",0,IFERROR(XLOOKUP(E187,Medals!$B$2:$B$51,Medals!$E$2:$E$51,0),0))</f>
        <v>0</v>
      </c>
      <c r="J187" s="7">
        <f t="array" ref="J187">IF(E187="",0,IFERROR(XLOOKUP(E187,Medals!$B$2:$B$51,Medals!$F$2:$F$51,0),0))</f>
        <v>0</v>
      </c>
      <c r="K187" s="7">
        <f>H187*GoldPoints*G187</f>
        <v>0</v>
      </c>
      <c r="L187" s="7">
        <f>I187*SilverPoints*G187</f>
        <v>0</v>
      </c>
      <c r="M187" s="7">
        <f>J187*BronzePoints*G187</f>
        <v>0</v>
      </c>
      <c r="N187" s="7">
        <f t="shared" si="1"/>
        <v>0</v>
      </c>
      <c r="O187" s="7" t="b">
        <f t="array" ref="O187">IF(E187="",FALSE,IFERROR(AND(ISNUMBER(MATCH(E187,Countries!$A$2:$A$72,0)),XLOOKUP(E187,Countries!$A$2:$A$72,Countries!$I$2:$I$72,FALSE)),FALSE))</f>
        <v>0</v>
      </c>
      <c r="P187" s="7" t="b">
        <f t="array" ref="P187">IF(E187="",FALSE,IFERROR(XLOOKUP(E187,Countries!$A$2:$A$72,Countries!$G$2:$G$72,FALSE),FALSE))</f>
        <v>0</v>
      </c>
      <c r="Q187" s="7" t="str">
        <f t="shared" si="2"/>
        <v>⚪</v>
      </c>
    </row>
    <row r="188" ht="15.75" customHeight="1">
      <c r="A188" s="7" t="str">
        <f t="array" ref="A188">IFERROR(IF(INDEX(Entries!$C$2:$C$48,24)="","",INDEX(Entries!$Q$2:$Q$48,24)),"")</f>
        <v/>
      </c>
      <c r="B188" s="7" t="str">
        <f t="array" ref="B188">IF(A188="","",IFERROR(INDEX(Entries!$E$2:$E$48,24),""))</f>
        <v/>
      </c>
      <c r="C188" s="7" t="str">
        <f>IF(A188="","","Tier2_Pick2")</f>
        <v/>
      </c>
      <c r="D188" s="7" t="str">
        <f t="shared" si="49"/>
        <v/>
      </c>
      <c r="E188" s="7" t="str">
        <f t="array" ref="E188">IF(A188="","",IFERROR(INDEX(Entries!$N$2:$N$48,24),""))</f>
        <v/>
      </c>
      <c r="F188" s="7" t="str">
        <f>IF(E188="","",IFERROR(_xludf.XLOOKUP(E188,Countries!$A$2:$A$72,Countries!$B$2:$B$72,"???"),"???"))</f>
        <v/>
      </c>
      <c r="G188" s="7">
        <f t="array" ref="G188">IF(E188="",0,IFERROR(XLOOKUP(E188,Countries!$A$2:$A$72,Countries!$E$2:$E$72,0),0))</f>
        <v>0</v>
      </c>
      <c r="H188" s="7">
        <f t="array" ref="H188">IF(E188="",0,IFERROR(XLOOKUP(E188,Medals!$B$2:$B$51,Medals!$D$2:$D$51,0),0))</f>
        <v>0</v>
      </c>
      <c r="I188" s="7">
        <f t="array" ref="I188">IF(E188="",0,IFERROR(XLOOKUP(E188,Medals!$B$2:$B$51,Medals!$E$2:$E$51,0),0))</f>
        <v>0</v>
      </c>
      <c r="J188" s="7">
        <f t="array" ref="J188">IF(E188="",0,IFERROR(XLOOKUP(E188,Medals!$B$2:$B$51,Medals!$F$2:$F$51,0),0))</f>
        <v>0</v>
      </c>
      <c r="K188" s="7">
        <f>H188*GoldPoints*G188</f>
        <v>0</v>
      </c>
      <c r="L188" s="7">
        <f>I188*SilverPoints*G188</f>
        <v>0</v>
      </c>
      <c r="M188" s="7">
        <f>J188*BronzePoints*G188</f>
        <v>0</v>
      </c>
      <c r="N188" s="7">
        <f t="shared" si="1"/>
        <v>0</v>
      </c>
      <c r="O188" s="7" t="b">
        <f t="array" ref="O188">IF(E188="",FALSE,IFERROR(AND(ISNUMBER(MATCH(E188,Countries!$A$2:$A$72,0)),XLOOKUP(E188,Countries!$A$2:$A$72,Countries!$I$2:$I$72,FALSE)),FALSE))</f>
        <v>0</v>
      </c>
      <c r="P188" s="7" t="b">
        <f t="array" ref="P188">IF(E188="",FALSE,IFERROR(XLOOKUP(E188,Countries!$A$2:$A$72,Countries!$G$2:$G$72,FALSE),FALSE))</f>
        <v>0</v>
      </c>
      <c r="Q188" s="7" t="str">
        <f t="shared" si="2"/>
        <v>⚪</v>
      </c>
    </row>
    <row r="189" ht="15.75" customHeight="1">
      <c r="A189" s="7" t="str">
        <f t="array" ref="A189">IFERROR(IF(INDEX(Entries!$C$2:$C$48,24)="","",INDEX(Entries!$Q$2:$Q$48,24)),"")</f>
        <v/>
      </c>
      <c r="B189" s="7" t="str">
        <f t="array" ref="B189">IF(A189="","",IFERROR(INDEX(Entries!$E$2:$E$48,24),""))</f>
        <v/>
      </c>
      <c r="C189" s="7" t="str">
        <f>IF(A189="","","Tier3_Pick1")</f>
        <v/>
      </c>
      <c r="D189" s="7" t="str">
        <f>IF(A189="","",3)</f>
        <v/>
      </c>
      <c r="E189" s="7" t="str">
        <f t="array" ref="E189">IF(A189="","",IFERROR(INDEX(Entries!$H$2:$H$48,24),""))</f>
        <v/>
      </c>
      <c r="F189" s="7" t="str">
        <f>IF(E189="","",IFERROR(_xludf.XLOOKUP(E189,Countries!$A$2:$A$72,Countries!$B$2:$B$72,"???"),"???"))</f>
        <v/>
      </c>
      <c r="G189" s="7">
        <f t="array" ref="G189">IF(E189="",0,IFERROR(XLOOKUP(E189,Countries!$A$2:$A$72,Countries!$E$2:$E$72,0),0))</f>
        <v>0</v>
      </c>
      <c r="H189" s="7">
        <f t="array" ref="H189">IF(E189="",0,IFERROR(XLOOKUP(E189,Medals!$B$2:$B$51,Medals!$D$2:$D$51,0),0))</f>
        <v>0</v>
      </c>
      <c r="I189" s="7">
        <f t="array" ref="I189">IF(E189="",0,IFERROR(XLOOKUP(E189,Medals!$B$2:$B$51,Medals!$E$2:$E$51,0),0))</f>
        <v>0</v>
      </c>
      <c r="J189" s="7">
        <f t="array" ref="J189">IF(E189="",0,IFERROR(XLOOKUP(E189,Medals!$B$2:$B$51,Medals!$F$2:$F$51,0),0))</f>
        <v>0</v>
      </c>
      <c r="K189" s="7">
        <f>H189*GoldPoints*G189</f>
        <v>0</v>
      </c>
      <c r="L189" s="7">
        <f>I189*SilverPoints*G189</f>
        <v>0</v>
      </c>
      <c r="M189" s="7">
        <f>J189*BronzePoints*G189</f>
        <v>0</v>
      </c>
      <c r="N189" s="7">
        <f t="shared" si="1"/>
        <v>0</v>
      </c>
      <c r="O189" s="7" t="b">
        <f t="array" ref="O189">IF(E189="",FALSE,IFERROR(AND(ISNUMBER(MATCH(E189,Countries!$A$2:$A$72,0)),XLOOKUP(E189,Countries!$A$2:$A$72,Countries!$I$2:$I$72,FALSE)),FALSE))</f>
        <v>0</v>
      </c>
      <c r="P189" s="7" t="b">
        <f t="array" ref="P189">IF(E189="",FALSE,IFERROR(XLOOKUP(E189,Countries!$A$2:$A$72,Countries!$G$2:$G$72,FALSE),FALSE))</f>
        <v>0</v>
      </c>
      <c r="Q189" s="7" t="str">
        <f t="shared" si="2"/>
        <v>⚪</v>
      </c>
    </row>
    <row r="190" ht="15.75" customHeight="1">
      <c r="A190" s="7" t="str">
        <f t="array" ref="A190">IFERROR(IF(INDEX(Entries!$C$2:$C$48,24)="","",INDEX(Entries!$Q$2:$Q$48,24)),"")</f>
        <v/>
      </c>
      <c r="B190" s="7" t="str">
        <f t="array" ref="B190">IF(A190="","",IFERROR(INDEX(Entries!$E$2:$E$48,24),""))</f>
        <v/>
      </c>
      <c r="C190" s="7" t="str">
        <f>IF(A190="","","Tier4_Pick1")</f>
        <v/>
      </c>
      <c r="D190" s="7" t="str">
        <f>IF(A190="","",4)</f>
        <v/>
      </c>
      <c r="E190" s="7" t="str">
        <f t="array" ref="E190">IF(A190="","",IFERROR(INDEX(Entries!$I$2:$I$48,24),""))</f>
        <v/>
      </c>
      <c r="F190" s="7" t="str">
        <f>IF(E190="","",IFERROR(_xludf.XLOOKUP(E190,Countries!$A$2:$A$72,Countries!$B$2:$B$72,"???"),"???"))</f>
        <v/>
      </c>
      <c r="G190" s="7">
        <f t="array" ref="G190">IF(E190="",0,IFERROR(XLOOKUP(E190,Countries!$A$2:$A$72,Countries!$E$2:$E$72,0),0))</f>
        <v>0</v>
      </c>
      <c r="H190" s="7">
        <f t="array" ref="H190">IF(E190="",0,IFERROR(XLOOKUP(E190,Medals!$B$2:$B$51,Medals!$D$2:$D$51,0),0))</f>
        <v>0</v>
      </c>
      <c r="I190" s="7">
        <f t="array" ref="I190">IF(E190="",0,IFERROR(XLOOKUP(E190,Medals!$B$2:$B$51,Medals!$E$2:$E$51,0),0))</f>
        <v>0</v>
      </c>
      <c r="J190" s="7">
        <f t="array" ref="J190">IF(E190="",0,IFERROR(XLOOKUP(E190,Medals!$B$2:$B$51,Medals!$F$2:$F$51,0),0))</f>
        <v>0</v>
      </c>
      <c r="K190" s="7">
        <f>H190*GoldPoints*G190</f>
        <v>0</v>
      </c>
      <c r="L190" s="7">
        <f>I190*SilverPoints*G190</f>
        <v>0</v>
      </c>
      <c r="M190" s="7">
        <f>J190*BronzePoints*G190</f>
        <v>0</v>
      </c>
      <c r="N190" s="7">
        <f t="shared" si="1"/>
        <v>0</v>
      </c>
      <c r="O190" s="7" t="b">
        <f t="array" ref="O190">IF(E190="",FALSE,IFERROR(AND(ISNUMBER(MATCH(E190,Countries!$A$2:$A$72,0)),XLOOKUP(E190,Countries!$A$2:$A$72,Countries!$I$2:$I$72,FALSE)),FALSE))</f>
        <v>0</v>
      </c>
      <c r="P190" s="7" t="b">
        <f t="array" ref="P190">IF(E190="",FALSE,IFERROR(XLOOKUP(E190,Countries!$A$2:$A$72,Countries!$G$2:$G$72,FALSE),FALSE))</f>
        <v>0</v>
      </c>
      <c r="Q190" s="7" t="str">
        <f t="shared" si="2"/>
        <v>⚪</v>
      </c>
    </row>
    <row r="191" ht="15.75" customHeight="1">
      <c r="A191" s="7" t="str">
        <f t="array" ref="A191">IFERROR(IF(INDEX(Entries!$C$2:$C$48,24)="","",INDEX(Entries!$Q$2:$Q$48,24)),"")</f>
        <v/>
      </c>
      <c r="B191" s="7" t="str">
        <f t="array" ref="B191">IF(A191="","",IFERROR(INDEX(Entries!$E$2:$E$48,24),""))</f>
        <v/>
      </c>
      <c r="C191" s="7" t="str">
        <f>IF(A191="","","Tier5_Pick1")</f>
        <v/>
      </c>
      <c r="D191" s="7" t="str">
        <f>IF(A191="","",5)</f>
        <v/>
      </c>
      <c r="E191" s="7" t="str">
        <f t="array" ref="E191">IF(A191="","",IFERROR(INDEX(Entries!$J$2:$J$48,24),""))</f>
        <v/>
      </c>
      <c r="F191" s="7" t="str">
        <f>IF(E191="","",IFERROR(_xludf.XLOOKUP(E191,Countries!$A$2:$A$72,Countries!$B$2:$B$72,"???"),"???"))</f>
        <v/>
      </c>
      <c r="G191" s="7">
        <f t="array" ref="G191">IF(E191="",0,IFERROR(XLOOKUP(E191,Countries!$A$2:$A$72,Countries!$E$2:$E$72,0),0))</f>
        <v>0</v>
      </c>
      <c r="H191" s="7">
        <f t="array" ref="H191">IF(E191="",0,IFERROR(XLOOKUP(E191,Medals!$B$2:$B$51,Medals!$D$2:$D$51,0),0))</f>
        <v>0</v>
      </c>
      <c r="I191" s="7">
        <f t="array" ref="I191">IF(E191="",0,IFERROR(XLOOKUP(E191,Medals!$B$2:$B$51,Medals!$E$2:$E$51,0),0))</f>
        <v>0</v>
      </c>
      <c r="J191" s="7">
        <f t="array" ref="J191">IF(E191="",0,IFERROR(XLOOKUP(E191,Medals!$B$2:$B$51,Medals!$F$2:$F$51,0),0))</f>
        <v>0</v>
      </c>
      <c r="K191" s="7">
        <f>H191*GoldPoints*G191</f>
        <v>0</v>
      </c>
      <c r="L191" s="7">
        <f>I191*SilverPoints*G191</f>
        <v>0</v>
      </c>
      <c r="M191" s="7">
        <f>J191*BronzePoints*G191</f>
        <v>0</v>
      </c>
      <c r="N191" s="7">
        <f t="shared" si="1"/>
        <v>0</v>
      </c>
      <c r="O191" s="7" t="b">
        <f t="array" ref="O191">IF(E191="",FALSE,IFERROR(AND(ISNUMBER(MATCH(E191,Countries!$A$2:$A$72,0)),XLOOKUP(E191,Countries!$A$2:$A$72,Countries!$I$2:$I$72,FALSE)),FALSE))</f>
        <v>0</v>
      </c>
      <c r="P191" s="7" t="b">
        <f t="array" ref="P191">IF(E191="",FALSE,IFERROR(XLOOKUP(E191,Countries!$A$2:$A$72,Countries!$G$2:$G$72,FALSE),FALSE))</f>
        <v>0</v>
      </c>
      <c r="Q191" s="7" t="str">
        <f t="shared" si="2"/>
        <v>⚪</v>
      </c>
    </row>
    <row r="192" ht="15.75" customHeight="1">
      <c r="A192" s="7" t="str">
        <f t="array" ref="A192">IFERROR(IF(INDEX(Entries!$C$2:$C$48,24)="","",INDEX(Entries!$Q$2:$Q$48,24)),"")</f>
        <v/>
      </c>
      <c r="B192" s="7" t="str">
        <f t="array" ref="B192">IF(A192="","",IFERROR(INDEX(Entries!$E$2:$E$48,24),""))</f>
        <v/>
      </c>
      <c r="C192" s="7" t="str">
        <f>IF(A192="","","Tier6_Pick1")</f>
        <v/>
      </c>
      <c r="D192" s="7" t="str">
        <f t="shared" ref="D192:D193" si="50">IF(A192="","",6)</f>
        <v/>
      </c>
      <c r="E192" s="7" t="str">
        <f t="array" ref="E192">IF(A192="","",IFERROR(INDEX(Entries!$O$2:$O$48,24),""))</f>
        <v/>
      </c>
      <c r="F192" s="7" t="str">
        <f>IF(E192="","",IFERROR(_xludf.XLOOKUP(E192,Countries!$A$2:$A$72,Countries!$B$2:$B$72,"???"),"???"))</f>
        <v/>
      </c>
      <c r="G192" s="7">
        <f t="array" ref="G192">IF(E192="",0,IFERROR(XLOOKUP(E192,Countries!$A$2:$A$72,Countries!$E$2:$E$72,0),0))</f>
        <v>0</v>
      </c>
      <c r="H192" s="7">
        <f t="array" ref="H192">IF(E192="",0,IFERROR(XLOOKUP(E192,Medals!$B$2:$B$51,Medals!$D$2:$D$51,0),0))</f>
        <v>0</v>
      </c>
      <c r="I192" s="7">
        <f t="array" ref="I192">IF(E192="",0,IFERROR(XLOOKUP(E192,Medals!$B$2:$B$51,Medals!$E$2:$E$51,0),0))</f>
        <v>0</v>
      </c>
      <c r="J192" s="7">
        <f t="array" ref="J192">IF(E192="",0,IFERROR(XLOOKUP(E192,Medals!$B$2:$B$51,Medals!$F$2:$F$51,0),0))</f>
        <v>0</v>
      </c>
      <c r="K192" s="7">
        <f>H192*GoldPoints*G192</f>
        <v>0</v>
      </c>
      <c r="L192" s="7">
        <f>I192*SilverPoints*G192</f>
        <v>0</v>
      </c>
      <c r="M192" s="7">
        <f>J192*BronzePoints*G192</f>
        <v>0</v>
      </c>
      <c r="N192" s="7">
        <f t="shared" si="1"/>
        <v>0</v>
      </c>
      <c r="O192" s="7" t="b">
        <f t="array" ref="O192">IF(E192="",FALSE,IFERROR(AND(ISNUMBER(MATCH(E192,Countries!$A$2:$A$72,0)),XLOOKUP(E192,Countries!$A$2:$A$72,Countries!$I$2:$I$72,FALSE)),FALSE))</f>
        <v>0</v>
      </c>
      <c r="P192" s="7" t="b">
        <f t="array" ref="P192">IF(E192="",FALSE,IFERROR(XLOOKUP(E192,Countries!$A$2:$A$72,Countries!$G$2:$G$72,FALSE),FALSE))</f>
        <v>0</v>
      </c>
      <c r="Q192" s="7" t="str">
        <f t="shared" si="2"/>
        <v>⚪</v>
      </c>
    </row>
    <row r="193" ht="15.75" customHeight="1">
      <c r="A193" s="7" t="str">
        <f t="array" ref="A193">IFERROR(IF(INDEX(Entries!$C$2:$C$48,24)="","",INDEX(Entries!$Q$2:$Q$48,24)),"")</f>
        <v/>
      </c>
      <c r="B193" s="7" t="str">
        <f t="array" ref="B193">IF(A193="","",IFERROR(INDEX(Entries!$E$2:$E$48,24),""))</f>
        <v/>
      </c>
      <c r="C193" s="7" t="str">
        <f>IF(A193="","","Tier6_Pick2")</f>
        <v/>
      </c>
      <c r="D193" s="7" t="str">
        <f t="shared" si="50"/>
        <v/>
      </c>
      <c r="E193" s="7" t="str">
        <f t="array" ref="E193">IF(A193="","",IFERROR(INDEX(Entries!$P$2:$P$48,24),""))</f>
        <v/>
      </c>
      <c r="F193" s="7" t="str">
        <f>IF(E193="","",IFERROR(_xludf.XLOOKUP(E193,Countries!$A$2:$A$72,Countries!$B$2:$B$72,"???"),"???"))</f>
        <v/>
      </c>
      <c r="G193" s="7">
        <f t="array" ref="G193">IF(E193="",0,IFERROR(XLOOKUP(E193,Countries!$A$2:$A$72,Countries!$E$2:$E$72,0),0))</f>
        <v>0</v>
      </c>
      <c r="H193" s="7">
        <f t="array" ref="H193">IF(E193="",0,IFERROR(XLOOKUP(E193,Medals!$B$2:$B$51,Medals!$D$2:$D$51,0),0))</f>
        <v>0</v>
      </c>
      <c r="I193" s="7">
        <f t="array" ref="I193">IF(E193="",0,IFERROR(XLOOKUP(E193,Medals!$B$2:$B$51,Medals!$E$2:$E$51,0),0))</f>
        <v>0</v>
      </c>
      <c r="J193" s="7">
        <f t="array" ref="J193">IF(E193="",0,IFERROR(XLOOKUP(E193,Medals!$B$2:$B$51,Medals!$F$2:$F$51,0),0))</f>
        <v>0</v>
      </c>
      <c r="K193" s="7">
        <f>H193*GoldPoints*G193</f>
        <v>0</v>
      </c>
      <c r="L193" s="7">
        <f>I193*SilverPoints*G193</f>
        <v>0</v>
      </c>
      <c r="M193" s="7">
        <f>J193*BronzePoints*G193</f>
        <v>0</v>
      </c>
      <c r="N193" s="7">
        <f t="shared" si="1"/>
        <v>0</v>
      </c>
      <c r="O193" s="7" t="b">
        <f t="array" ref="O193">IF(E193="",FALSE,IFERROR(AND(ISNUMBER(MATCH(E193,Countries!$A$2:$A$72,0)),XLOOKUP(E193,Countries!$A$2:$A$72,Countries!$I$2:$I$72,FALSE)),FALSE))</f>
        <v>0</v>
      </c>
      <c r="P193" s="7" t="b">
        <f t="array" ref="P193">IF(E193="",FALSE,IFERROR(XLOOKUP(E193,Countries!$A$2:$A$72,Countries!$G$2:$G$72,FALSE),FALSE))</f>
        <v>0</v>
      </c>
      <c r="Q193" s="7" t="str">
        <f t="shared" si="2"/>
        <v>⚪</v>
      </c>
    </row>
    <row r="194" ht="15.75" customHeight="1">
      <c r="A194" s="7" t="str">
        <f t="array" ref="A194">IFERROR(IF(INDEX(Entries!$C$2:$C$48,25)="","",INDEX(Entries!$Q$2:$Q$48,25)),"")</f>
        <v/>
      </c>
      <c r="B194" s="7" t="str">
        <f t="array" ref="B194">IF(A194="","",IFERROR(INDEX(Entries!$E$2:$E$48,25),""))</f>
        <v/>
      </c>
      <c r="C194" s="7" t="str">
        <f>IF(A194="","","Tier1_Pick1")</f>
        <v/>
      </c>
      <c r="D194" s="7" t="str">
        <f>IF(A194="","",1)</f>
        <v/>
      </c>
      <c r="E194" s="7" t="str">
        <f t="array" ref="E194">IF(A194="","",IFERROR(INDEX(Entries!$F$2:$F$48,25),""))</f>
        <v/>
      </c>
      <c r="F194" s="7" t="str">
        <f>IF(E194="","",IFERROR(_xludf.XLOOKUP(E194,Countries!$A$2:$A$72,Countries!$B$2:$B$72,"???"),"???"))</f>
        <v/>
      </c>
      <c r="G194" s="7">
        <f t="array" ref="G194">IF(E194="",0,IFERROR(XLOOKUP(E194,Countries!$A$2:$A$72,Countries!$E$2:$E$72,0),0))</f>
        <v>0</v>
      </c>
      <c r="H194" s="7">
        <f t="array" ref="H194">IF(E194="",0,IFERROR(XLOOKUP(E194,Medals!$B$2:$B$51,Medals!$D$2:$D$51,0),0))</f>
        <v>0</v>
      </c>
      <c r="I194" s="7">
        <f t="array" ref="I194">IF(E194="",0,IFERROR(XLOOKUP(E194,Medals!$B$2:$B$51,Medals!$E$2:$E$51,0),0))</f>
        <v>0</v>
      </c>
      <c r="J194" s="7">
        <f t="array" ref="J194">IF(E194="",0,IFERROR(XLOOKUP(E194,Medals!$B$2:$B$51,Medals!$F$2:$F$51,0),0))</f>
        <v>0</v>
      </c>
      <c r="K194" s="7">
        <f>H194*GoldPoints*G194</f>
        <v>0</v>
      </c>
      <c r="L194" s="7">
        <f>I194*SilverPoints*G194</f>
        <v>0</v>
      </c>
      <c r="M194" s="7">
        <f>J194*BronzePoints*G194</f>
        <v>0</v>
      </c>
      <c r="N194" s="7">
        <f t="shared" si="1"/>
        <v>0</v>
      </c>
      <c r="O194" s="7" t="b">
        <f t="array" ref="O194">IF(E194="",FALSE,IFERROR(AND(ISNUMBER(MATCH(E194,Countries!$A$2:$A$72,0)),XLOOKUP(E194,Countries!$A$2:$A$72,Countries!$I$2:$I$72,FALSE)),FALSE))</f>
        <v>0</v>
      </c>
      <c r="P194" s="7" t="b">
        <f t="array" ref="P194">IF(E194="",FALSE,IFERROR(XLOOKUP(E194,Countries!$A$2:$A$72,Countries!$G$2:$G$72,FALSE),FALSE))</f>
        <v>0</v>
      </c>
      <c r="Q194" s="7" t="str">
        <f t="shared" si="2"/>
        <v>⚪</v>
      </c>
    </row>
    <row r="195" ht="15.75" customHeight="1">
      <c r="A195" s="7" t="str">
        <f t="array" ref="A195">IFERROR(IF(INDEX(Entries!$C$2:$C$48,25)="","",INDEX(Entries!$Q$2:$Q$48,25)),"")</f>
        <v/>
      </c>
      <c r="B195" s="7" t="str">
        <f t="array" ref="B195">IF(A195="","",IFERROR(INDEX(Entries!$E$2:$E$48,25),""))</f>
        <v/>
      </c>
      <c r="C195" s="7" t="str">
        <f>IF(A195="","","Tier2_Pick1")</f>
        <v/>
      </c>
      <c r="D195" s="7" t="str">
        <f t="shared" ref="D195:D196" si="51">IF(A195="","",2)</f>
        <v/>
      </c>
      <c r="E195" s="7" t="str">
        <f t="array" ref="E195">IF(A195="","",IFERROR(INDEX(Entries!$M$2:$M$48,25),""))</f>
        <v/>
      </c>
      <c r="F195" s="7" t="str">
        <f>IF(E195="","",IFERROR(_xludf.XLOOKUP(E195,Countries!$A$2:$A$72,Countries!$B$2:$B$72,"???"),"???"))</f>
        <v/>
      </c>
      <c r="G195" s="7">
        <f t="array" ref="G195">IF(E195="",0,IFERROR(XLOOKUP(E195,Countries!$A$2:$A$72,Countries!$E$2:$E$72,0),0))</f>
        <v>0</v>
      </c>
      <c r="H195" s="7">
        <f t="array" ref="H195">IF(E195="",0,IFERROR(XLOOKUP(E195,Medals!$B$2:$B$51,Medals!$D$2:$D$51,0),0))</f>
        <v>0</v>
      </c>
      <c r="I195" s="7">
        <f t="array" ref="I195">IF(E195="",0,IFERROR(XLOOKUP(E195,Medals!$B$2:$B$51,Medals!$E$2:$E$51,0),0))</f>
        <v>0</v>
      </c>
      <c r="J195" s="7">
        <f t="array" ref="J195">IF(E195="",0,IFERROR(XLOOKUP(E195,Medals!$B$2:$B$51,Medals!$F$2:$F$51,0),0))</f>
        <v>0</v>
      </c>
      <c r="K195" s="7">
        <f>H195*GoldPoints*G195</f>
        <v>0</v>
      </c>
      <c r="L195" s="7">
        <f>I195*SilverPoints*G195</f>
        <v>0</v>
      </c>
      <c r="M195" s="7">
        <f>J195*BronzePoints*G195</f>
        <v>0</v>
      </c>
      <c r="N195" s="7">
        <f t="shared" si="1"/>
        <v>0</v>
      </c>
      <c r="O195" s="7" t="b">
        <f t="array" ref="O195">IF(E195="",FALSE,IFERROR(AND(ISNUMBER(MATCH(E195,Countries!$A$2:$A$72,0)),XLOOKUP(E195,Countries!$A$2:$A$72,Countries!$I$2:$I$72,FALSE)),FALSE))</f>
        <v>0</v>
      </c>
      <c r="P195" s="7" t="b">
        <f t="array" ref="P195">IF(E195="",FALSE,IFERROR(XLOOKUP(E195,Countries!$A$2:$A$72,Countries!$G$2:$G$72,FALSE),FALSE))</f>
        <v>0</v>
      </c>
      <c r="Q195" s="7" t="str">
        <f t="shared" si="2"/>
        <v>⚪</v>
      </c>
    </row>
    <row r="196" ht="15.75" customHeight="1">
      <c r="A196" s="7" t="str">
        <f t="array" ref="A196">IFERROR(IF(INDEX(Entries!$C$2:$C$48,25)="","",INDEX(Entries!$Q$2:$Q$48,25)),"")</f>
        <v/>
      </c>
      <c r="B196" s="7" t="str">
        <f t="array" ref="B196">IF(A196="","",IFERROR(INDEX(Entries!$E$2:$E$48,25),""))</f>
        <v/>
      </c>
      <c r="C196" s="7" t="str">
        <f>IF(A196="","","Tier2_Pick2")</f>
        <v/>
      </c>
      <c r="D196" s="7" t="str">
        <f t="shared" si="51"/>
        <v/>
      </c>
      <c r="E196" s="7" t="str">
        <f t="array" ref="E196">IF(A196="","",IFERROR(INDEX(Entries!$N$2:$N$48,25),""))</f>
        <v/>
      </c>
      <c r="F196" s="7" t="str">
        <f>IF(E196="","",IFERROR(_xludf.XLOOKUP(E196,Countries!$A$2:$A$72,Countries!$B$2:$B$72,"???"),"???"))</f>
        <v/>
      </c>
      <c r="G196" s="7">
        <f t="array" ref="G196">IF(E196="",0,IFERROR(XLOOKUP(E196,Countries!$A$2:$A$72,Countries!$E$2:$E$72,0),0))</f>
        <v>0</v>
      </c>
      <c r="H196" s="7">
        <f t="array" ref="H196">IF(E196="",0,IFERROR(XLOOKUP(E196,Medals!$B$2:$B$51,Medals!$D$2:$D$51,0),0))</f>
        <v>0</v>
      </c>
      <c r="I196" s="7">
        <f t="array" ref="I196">IF(E196="",0,IFERROR(XLOOKUP(E196,Medals!$B$2:$B$51,Medals!$E$2:$E$51,0),0))</f>
        <v>0</v>
      </c>
      <c r="J196" s="7">
        <f t="array" ref="J196">IF(E196="",0,IFERROR(XLOOKUP(E196,Medals!$B$2:$B$51,Medals!$F$2:$F$51,0),0))</f>
        <v>0</v>
      </c>
      <c r="K196" s="7">
        <f>H196*GoldPoints*G196</f>
        <v>0</v>
      </c>
      <c r="L196" s="7">
        <f>I196*SilverPoints*G196</f>
        <v>0</v>
      </c>
      <c r="M196" s="7">
        <f>J196*BronzePoints*G196</f>
        <v>0</v>
      </c>
      <c r="N196" s="7">
        <f t="shared" si="1"/>
        <v>0</v>
      </c>
      <c r="O196" s="7" t="b">
        <f t="array" ref="O196">IF(E196="",FALSE,IFERROR(AND(ISNUMBER(MATCH(E196,Countries!$A$2:$A$72,0)),XLOOKUP(E196,Countries!$A$2:$A$72,Countries!$I$2:$I$72,FALSE)),FALSE))</f>
        <v>0</v>
      </c>
      <c r="P196" s="7" t="b">
        <f t="array" ref="P196">IF(E196="",FALSE,IFERROR(XLOOKUP(E196,Countries!$A$2:$A$72,Countries!$G$2:$G$72,FALSE),FALSE))</f>
        <v>0</v>
      </c>
      <c r="Q196" s="7" t="str">
        <f t="shared" si="2"/>
        <v>⚪</v>
      </c>
    </row>
    <row r="197" ht="15.75" customHeight="1">
      <c r="A197" s="7" t="str">
        <f t="array" ref="A197">IFERROR(IF(INDEX(Entries!$C$2:$C$48,25)="","",INDEX(Entries!$Q$2:$Q$48,25)),"")</f>
        <v/>
      </c>
      <c r="B197" s="7" t="str">
        <f t="array" ref="B197">IF(A197="","",IFERROR(INDEX(Entries!$E$2:$E$48,25),""))</f>
        <v/>
      </c>
      <c r="C197" s="7" t="str">
        <f>IF(A197="","","Tier3_Pick1")</f>
        <v/>
      </c>
      <c r="D197" s="7" t="str">
        <f>IF(A197="","",3)</f>
        <v/>
      </c>
      <c r="E197" s="7" t="str">
        <f t="array" ref="E197">IF(A197="","",IFERROR(INDEX(Entries!$H$2:$H$48,25),""))</f>
        <v/>
      </c>
      <c r="F197" s="7" t="str">
        <f>IF(E197="","",IFERROR(_xludf.XLOOKUP(E197,Countries!$A$2:$A$72,Countries!$B$2:$B$72,"???"),"???"))</f>
        <v/>
      </c>
      <c r="G197" s="7">
        <f t="array" ref="G197">IF(E197="",0,IFERROR(XLOOKUP(E197,Countries!$A$2:$A$72,Countries!$E$2:$E$72,0),0))</f>
        <v>0</v>
      </c>
      <c r="H197" s="7">
        <f t="array" ref="H197">IF(E197="",0,IFERROR(XLOOKUP(E197,Medals!$B$2:$B$51,Medals!$D$2:$D$51,0),0))</f>
        <v>0</v>
      </c>
      <c r="I197" s="7">
        <f t="array" ref="I197">IF(E197="",0,IFERROR(XLOOKUP(E197,Medals!$B$2:$B$51,Medals!$E$2:$E$51,0),0))</f>
        <v>0</v>
      </c>
      <c r="J197" s="7">
        <f t="array" ref="J197">IF(E197="",0,IFERROR(XLOOKUP(E197,Medals!$B$2:$B$51,Medals!$F$2:$F$51,0),0))</f>
        <v>0</v>
      </c>
      <c r="K197" s="7">
        <f>H197*GoldPoints*G197</f>
        <v>0</v>
      </c>
      <c r="L197" s="7">
        <f>I197*SilverPoints*G197</f>
        <v>0</v>
      </c>
      <c r="M197" s="7">
        <f>J197*BronzePoints*G197</f>
        <v>0</v>
      </c>
      <c r="N197" s="7">
        <f t="shared" si="1"/>
        <v>0</v>
      </c>
      <c r="O197" s="7" t="b">
        <f t="array" ref="O197">IF(E197="",FALSE,IFERROR(AND(ISNUMBER(MATCH(E197,Countries!$A$2:$A$72,0)),XLOOKUP(E197,Countries!$A$2:$A$72,Countries!$I$2:$I$72,FALSE)),FALSE))</f>
        <v>0</v>
      </c>
      <c r="P197" s="7" t="b">
        <f t="array" ref="P197">IF(E197="",FALSE,IFERROR(XLOOKUP(E197,Countries!$A$2:$A$72,Countries!$G$2:$G$72,FALSE),FALSE))</f>
        <v>0</v>
      </c>
      <c r="Q197" s="7" t="str">
        <f t="shared" si="2"/>
        <v>⚪</v>
      </c>
    </row>
    <row r="198" ht="15.75" customHeight="1">
      <c r="A198" s="7" t="str">
        <f t="array" ref="A198">IFERROR(IF(INDEX(Entries!$C$2:$C$48,25)="","",INDEX(Entries!$Q$2:$Q$48,25)),"")</f>
        <v/>
      </c>
      <c r="B198" s="7" t="str">
        <f t="array" ref="B198">IF(A198="","",IFERROR(INDEX(Entries!$E$2:$E$48,25),""))</f>
        <v/>
      </c>
      <c r="C198" s="7" t="str">
        <f>IF(A198="","","Tier4_Pick1")</f>
        <v/>
      </c>
      <c r="D198" s="7" t="str">
        <f>IF(A198="","",4)</f>
        <v/>
      </c>
      <c r="E198" s="7" t="str">
        <f t="array" ref="E198">IF(A198="","",IFERROR(INDEX(Entries!$I$2:$I$48,25),""))</f>
        <v/>
      </c>
      <c r="F198" s="7" t="str">
        <f>IF(E198="","",IFERROR(_xludf.XLOOKUP(E198,Countries!$A$2:$A$72,Countries!$B$2:$B$72,"???"),"???"))</f>
        <v/>
      </c>
      <c r="G198" s="7">
        <f t="array" ref="G198">IF(E198="",0,IFERROR(XLOOKUP(E198,Countries!$A$2:$A$72,Countries!$E$2:$E$72,0),0))</f>
        <v>0</v>
      </c>
      <c r="H198" s="7">
        <f t="array" ref="H198">IF(E198="",0,IFERROR(XLOOKUP(E198,Medals!$B$2:$B$51,Medals!$D$2:$D$51,0),0))</f>
        <v>0</v>
      </c>
      <c r="I198" s="7">
        <f t="array" ref="I198">IF(E198="",0,IFERROR(XLOOKUP(E198,Medals!$B$2:$B$51,Medals!$E$2:$E$51,0),0))</f>
        <v>0</v>
      </c>
      <c r="J198" s="7">
        <f t="array" ref="J198">IF(E198="",0,IFERROR(XLOOKUP(E198,Medals!$B$2:$B$51,Medals!$F$2:$F$51,0),0))</f>
        <v>0</v>
      </c>
      <c r="K198" s="7">
        <f>H198*GoldPoints*G198</f>
        <v>0</v>
      </c>
      <c r="L198" s="7">
        <f>I198*SilverPoints*G198</f>
        <v>0</v>
      </c>
      <c r="M198" s="7">
        <f>J198*BronzePoints*G198</f>
        <v>0</v>
      </c>
      <c r="N198" s="7">
        <f t="shared" si="1"/>
        <v>0</v>
      </c>
      <c r="O198" s="7" t="b">
        <f t="array" ref="O198">IF(E198="",FALSE,IFERROR(AND(ISNUMBER(MATCH(E198,Countries!$A$2:$A$72,0)),XLOOKUP(E198,Countries!$A$2:$A$72,Countries!$I$2:$I$72,FALSE)),FALSE))</f>
        <v>0</v>
      </c>
      <c r="P198" s="7" t="b">
        <f t="array" ref="P198">IF(E198="",FALSE,IFERROR(XLOOKUP(E198,Countries!$A$2:$A$72,Countries!$G$2:$G$72,FALSE),FALSE))</f>
        <v>0</v>
      </c>
      <c r="Q198" s="7" t="str">
        <f t="shared" si="2"/>
        <v>⚪</v>
      </c>
    </row>
    <row r="199" ht="15.75" customHeight="1">
      <c r="A199" s="7" t="str">
        <f t="array" ref="A199">IFERROR(IF(INDEX(Entries!$C$2:$C$48,25)="","",INDEX(Entries!$Q$2:$Q$48,25)),"")</f>
        <v/>
      </c>
      <c r="B199" s="7" t="str">
        <f t="array" ref="B199">IF(A199="","",IFERROR(INDEX(Entries!$E$2:$E$48,25),""))</f>
        <v/>
      </c>
      <c r="C199" s="7" t="str">
        <f>IF(A199="","","Tier5_Pick1")</f>
        <v/>
      </c>
      <c r="D199" s="7" t="str">
        <f>IF(A199="","",5)</f>
        <v/>
      </c>
      <c r="E199" s="7" t="str">
        <f t="array" ref="E199">IF(A199="","",IFERROR(INDEX(Entries!$J$2:$J$48,25),""))</f>
        <v/>
      </c>
      <c r="F199" s="7" t="str">
        <f>IF(E199="","",IFERROR(_xludf.XLOOKUP(E199,Countries!$A$2:$A$72,Countries!$B$2:$B$72,"???"),"???"))</f>
        <v/>
      </c>
      <c r="G199" s="7">
        <f t="array" ref="G199">IF(E199="",0,IFERROR(XLOOKUP(E199,Countries!$A$2:$A$72,Countries!$E$2:$E$72,0),0))</f>
        <v>0</v>
      </c>
      <c r="H199" s="7">
        <f t="array" ref="H199">IF(E199="",0,IFERROR(XLOOKUP(E199,Medals!$B$2:$B$51,Medals!$D$2:$D$51,0),0))</f>
        <v>0</v>
      </c>
      <c r="I199" s="7">
        <f t="array" ref="I199">IF(E199="",0,IFERROR(XLOOKUP(E199,Medals!$B$2:$B$51,Medals!$E$2:$E$51,0),0))</f>
        <v>0</v>
      </c>
      <c r="J199" s="7">
        <f t="array" ref="J199">IF(E199="",0,IFERROR(XLOOKUP(E199,Medals!$B$2:$B$51,Medals!$F$2:$F$51,0),0))</f>
        <v>0</v>
      </c>
      <c r="K199" s="7">
        <f>H199*GoldPoints*G199</f>
        <v>0</v>
      </c>
      <c r="L199" s="7">
        <f>I199*SilverPoints*G199</f>
        <v>0</v>
      </c>
      <c r="M199" s="7">
        <f>J199*BronzePoints*G199</f>
        <v>0</v>
      </c>
      <c r="N199" s="7">
        <f t="shared" si="1"/>
        <v>0</v>
      </c>
      <c r="O199" s="7" t="b">
        <f t="array" ref="O199">IF(E199="",FALSE,IFERROR(AND(ISNUMBER(MATCH(E199,Countries!$A$2:$A$72,0)),XLOOKUP(E199,Countries!$A$2:$A$72,Countries!$I$2:$I$72,FALSE)),FALSE))</f>
        <v>0</v>
      </c>
      <c r="P199" s="7" t="b">
        <f t="array" ref="P199">IF(E199="",FALSE,IFERROR(XLOOKUP(E199,Countries!$A$2:$A$72,Countries!$G$2:$G$72,FALSE),FALSE))</f>
        <v>0</v>
      </c>
      <c r="Q199" s="7" t="str">
        <f t="shared" si="2"/>
        <v>⚪</v>
      </c>
    </row>
    <row r="200" ht="15.75" customHeight="1">
      <c r="A200" s="7" t="str">
        <f t="array" ref="A200">IFERROR(IF(INDEX(Entries!$C$2:$C$48,25)="","",INDEX(Entries!$Q$2:$Q$48,25)),"")</f>
        <v/>
      </c>
      <c r="B200" s="7" t="str">
        <f t="array" ref="B200">IF(A200="","",IFERROR(INDEX(Entries!$E$2:$E$48,25),""))</f>
        <v/>
      </c>
      <c r="C200" s="7" t="str">
        <f>IF(A200="","","Tier6_Pick1")</f>
        <v/>
      </c>
      <c r="D200" s="7" t="str">
        <f t="shared" ref="D200:D201" si="52">IF(A200="","",6)</f>
        <v/>
      </c>
      <c r="E200" s="7" t="str">
        <f t="array" ref="E200">IF(A200="","",IFERROR(INDEX(Entries!$O$2:$O$48,25),""))</f>
        <v/>
      </c>
      <c r="F200" s="7" t="str">
        <f>IF(E200="","",IFERROR(_xludf.XLOOKUP(E200,Countries!$A$2:$A$72,Countries!$B$2:$B$72,"???"),"???"))</f>
        <v/>
      </c>
      <c r="G200" s="7">
        <f t="array" ref="G200">IF(E200="",0,IFERROR(XLOOKUP(E200,Countries!$A$2:$A$72,Countries!$E$2:$E$72,0),0))</f>
        <v>0</v>
      </c>
      <c r="H200" s="7">
        <f t="array" ref="H200">IF(E200="",0,IFERROR(XLOOKUP(E200,Medals!$B$2:$B$51,Medals!$D$2:$D$51,0),0))</f>
        <v>0</v>
      </c>
      <c r="I200" s="7">
        <f t="array" ref="I200">IF(E200="",0,IFERROR(XLOOKUP(E200,Medals!$B$2:$B$51,Medals!$E$2:$E$51,0),0))</f>
        <v>0</v>
      </c>
      <c r="J200" s="7">
        <f t="array" ref="J200">IF(E200="",0,IFERROR(XLOOKUP(E200,Medals!$B$2:$B$51,Medals!$F$2:$F$51,0),0))</f>
        <v>0</v>
      </c>
      <c r="K200" s="7">
        <f>H200*GoldPoints*G200</f>
        <v>0</v>
      </c>
      <c r="L200" s="7">
        <f>I200*SilverPoints*G200</f>
        <v>0</v>
      </c>
      <c r="M200" s="7">
        <f>J200*BronzePoints*G200</f>
        <v>0</v>
      </c>
      <c r="N200" s="7">
        <f t="shared" si="1"/>
        <v>0</v>
      </c>
      <c r="O200" s="7" t="b">
        <f t="array" ref="O200">IF(E200="",FALSE,IFERROR(AND(ISNUMBER(MATCH(E200,Countries!$A$2:$A$72,0)),XLOOKUP(E200,Countries!$A$2:$A$72,Countries!$I$2:$I$72,FALSE)),FALSE))</f>
        <v>0</v>
      </c>
      <c r="P200" s="7" t="b">
        <f t="array" ref="P200">IF(E200="",FALSE,IFERROR(XLOOKUP(E200,Countries!$A$2:$A$72,Countries!$G$2:$G$72,FALSE),FALSE))</f>
        <v>0</v>
      </c>
      <c r="Q200" s="7" t="str">
        <f t="shared" si="2"/>
        <v>⚪</v>
      </c>
    </row>
    <row r="201" ht="15.75" customHeight="1">
      <c r="A201" s="7" t="str">
        <f t="array" ref="A201">IFERROR(IF(INDEX(Entries!$C$2:$C$48,25)="","",INDEX(Entries!$Q$2:$Q$48,25)),"")</f>
        <v/>
      </c>
      <c r="B201" s="7" t="str">
        <f t="array" ref="B201">IF(A201="","",IFERROR(INDEX(Entries!$E$2:$E$48,25),""))</f>
        <v/>
      </c>
      <c r="C201" s="7" t="str">
        <f>IF(A201="","","Tier6_Pick2")</f>
        <v/>
      </c>
      <c r="D201" s="7" t="str">
        <f t="shared" si="52"/>
        <v/>
      </c>
      <c r="E201" s="7" t="str">
        <f t="array" ref="E201">IF(A201="","",IFERROR(INDEX(Entries!$P$2:$P$48,25),""))</f>
        <v/>
      </c>
      <c r="F201" s="7" t="str">
        <f>IF(E201="","",IFERROR(_xludf.XLOOKUP(E201,Countries!$A$2:$A$72,Countries!$B$2:$B$72,"???"),"???"))</f>
        <v/>
      </c>
      <c r="G201" s="7">
        <f t="array" ref="G201">IF(E201="",0,IFERROR(XLOOKUP(E201,Countries!$A$2:$A$72,Countries!$E$2:$E$72,0),0))</f>
        <v>0</v>
      </c>
      <c r="H201" s="7">
        <f t="array" ref="H201">IF(E201="",0,IFERROR(XLOOKUP(E201,Medals!$B$2:$B$51,Medals!$D$2:$D$51,0),0))</f>
        <v>0</v>
      </c>
      <c r="I201" s="7">
        <f t="array" ref="I201">IF(E201="",0,IFERROR(XLOOKUP(E201,Medals!$B$2:$B$51,Medals!$E$2:$E$51,0),0))</f>
        <v>0</v>
      </c>
      <c r="J201" s="7">
        <f t="array" ref="J201">IF(E201="",0,IFERROR(XLOOKUP(E201,Medals!$B$2:$B$51,Medals!$F$2:$F$51,0),0))</f>
        <v>0</v>
      </c>
      <c r="K201" s="7">
        <f>H201*GoldPoints*G201</f>
        <v>0</v>
      </c>
      <c r="L201" s="7">
        <f>I201*SilverPoints*G201</f>
        <v>0</v>
      </c>
      <c r="M201" s="7">
        <f>J201*BronzePoints*G201</f>
        <v>0</v>
      </c>
      <c r="N201" s="7">
        <f t="shared" si="1"/>
        <v>0</v>
      </c>
      <c r="O201" s="7" t="b">
        <f t="array" ref="O201">IF(E201="",FALSE,IFERROR(AND(ISNUMBER(MATCH(E201,Countries!$A$2:$A$72,0)),XLOOKUP(E201,Countries!$A$2:$A$72,Countries!$I$2:$I$72,FALSE)),FALSE))</f>
        <v>0</v>
      </c>
      <c r="P201" s="7" t="b">
        <f t="array" ref="P201">IF(E201="",FALSE,IFERROR(XLOOKUP(E201,Countries!$A$2:$A$72,Countries!$G$2:$G$72,FALSE),FALSE))</f>
        <v>0</v>
      </c>
      <c r="Q201" s="7" t="str">
        <f t="shared" si="2"/>
        <v>⚪</v>
      </c>
    </row>
    <row r="202" ht="15.75" customHeight="1">
      <c r="A202" s="7" t="str">
        <f t="array" ref="A202">IFERROR(IF(INDEX(Entries!$C$2:$C$48,26)="","",INDEX(Entries!$Q$2:$Q$48,26)),"")</f>
        <v/>
      </c>
      <c r="B202" s="7" t="str">
        <f t="array" ref="B202">IF(A202="","",IFERROR(INDEX(Entries!$E$2:$E$48,26),""))</f>
        <v/>
      </c>
      <c r="C202" s="7" t="str">
        <f>IF(A202="","","Tier1_Pick1")</f>
        <v/>
      </c>
      <c r="D202" s="7" t="str">
        <f>IF(A202="","",1)</f>
        <v/>
      </c>
      <c r="E202" s="7" t="str">
        <f t="array" ref="E202">IF(A202="","",IFERROR(INDEX(Entries!$F$2:$F$48,26),""))</f>
        <v/>
      </c>
      <c r="F202" s="7" t="str">
        <f>IF(E202="","",IFERROR(_xludf.XLOOKUP(E202,Countries!$A$2:$A$72,Countries!$B$2:$B$72,"???"),"???"))</f>
        <v/>
      </c>
      <c r="G202" s="7">
        <f t="array" ref="G202">IF(E202="",0,IFERROR(XLOOKUP(E202,Countries!$A$2:$A$72,Countries!$E$2:$E$72,0),0))</f>
        <v>0</v>
      </c>
      <c r="H202" s="7">
        <f t="array" ref="H202">IF(E202="",0,IFERROR(XLOOKUP(E202,Medals!$B$2:$B$51,Medals!$D$2:$D$51,0),0))</f>
        <v>0</v>
      </c>
      <c r="I202" s="7">
        <f t="array" ref="I202">IF(E202="",0,IFERROR(XLOOKUP(E202,Medals!$B$2:$B$51,Medals!$E$2:$E$51,0),0))</f>
        <v>0</v>
      </c>
      <c r="J202" s="7">
        <f t="array" ref="J202">IF(E202="",0,IFERROR(XLOOKUP(E202,Medals!$B$2:$B$51,Medals!$F$2:$F$51,0),0))</f>
        <v>0</v>
      </c>
      <c r="K202" s="7">
        <f>H202*GoldPoints*G202</f>
        <v>0</v>
      </c>
      <c r="L202" s="7">
        <f>I202*SilverPoints*G202</f>
        <v>0</v>
      </c>
      <c r="M202" s="7">
        <f>J202*BronzePoints*G202</f>
        <v>0</v>
      </c>
      <c r="N202" s="7">
        <f t="shared" si="1"/>
        <v>0</v>
      </c>
      <c r="O202" s="7" t="b">
        <f t="array" ref="O202">IF(E202="",FALSE,IFERROR(AND(ISNUMBER(MATCH(E202,Countries!$A$2:$A$72,0)),XLOOKUP(E202,Countries!$A$2:$A$72,Countries!$I$2:$I$72,FALSE)),FALSE))</f>
        <v>0</v>
      </c>
      <c r="P202" s="7" t="b">
        <f t="array" ref="P202">IF(E202="",FALSE,IFERROR(XLOOKUP(E202,Countries!$A$2:$A$72,Countries!$G$2:$G$72,FALSE),FALSE))</f>
        <v>0</v>
      </c>
      <c r="Q202" s="7" t="str">
        <f t="shared" si="2"/>
        <v>⚪</v>
      </c>
    </row>
    <row r="203" ht="15.75" customHeight="1">
      <c r="A203" s="7" t="str">
        <f t="array" ref="A203">IFERROR(IF(INDEX(Entries!$C$2:$C$48,26)="","",INDEX(Entries!$Q$2:$Q$48,26)),"")</f>
        <v/>
      </c>
      <c r="B203" s="7" t="str">
        <f t="array" ref="B203">IF(A203="","",IFERROR(INDEX(Entries!$E$2:$E$48,26),""))</f>
        <v/>
      </c>
      <c r="C203" s="7" t="str">
        <f>IF(A203="","","Tier2_Pick1")</f>
        <v/>
      </c>
      <c r="D203" s="7" t="str">
        <f t="shared" ref="D203:D204" si="53">IF(A203="","",2)</f>
        <v/>
      </c>
      <c r="E203" s="7" t="str">
        <f t="array" ref="E203">IF(A203="","",IFERROR(INDEX(Entries!$M$2:$M$48,26),""))</f>
        <v/>
      </c>
      <c r="F203" s="7" t="str">
        <f>IF(E203="","",IFERROR(_xludf.XLOOKUP(E203,Countries!$A$2:$A$72,Countries!$B$2:$B$72,"???"),"???"))</f>
        <v/>
      </c>
      <c r="G203" s="7">
        <f t="array" ref="G203">IF(E203="",0,IFERROR(XLOOKUP(E203,Countries!$A$2:$A$72,Countries!$E$2:$E$72,0),0))</f>
        <v>0</v>
      </c>
      <c r="H203" s="7">
        <f t="array" ref="H203">IF(E203="",0,IFERROR(XLOOKUP(E203,Medals!$B$2:$B$51,Medals!$D$2:$D$51,0),0))</f>
        <v>0</v>
      </c>
      <c r="I203" s="7">
        <f t="array" ref="I203">IF(E203="",0,IFERROR(XLOOKUP(E203,Medals!$B$2:$B$51,Medals!$E$2:$E$51,0),0))</f>
        <v>0</v>
      </c>
      <c r="J203" s="7">
        <f t="array" ref="J203">IF(E203="",0,IFERROR(XLOOKUP(E203,Medals!$B$2:$B$51,Medals!$F$2:$F$51,0),0))</f>
        <v>0</v>
      </c>
      <c r="K203" s="7">
        <f>H203*GoldPoints*G203</f>
        <v>0</v>
      </c>
      <c r="L203" s="7">
        <f>I203*SilverPoints*G203</f>
        <v>0</v>
      </c>
      <c r="M203" s="7">
        <f>J203*BronzePoints*G203</f>
        <v>0</v>
      </c>
      <c r="N203" s="7">
        <f t="shared" si="1"/>
        <v>0</v>
      </c>
      <c r="O203" s="7" t="b">
        <f t="array" ref="O203">IF(E203="",FALSE,IFERROR(AND(ISNUMBER(MATCH(E203,Countries!$A$2:$A$72,0)),XLOOKUP(E203,Countries!$A$2:$A$72,Countries!$I$2:$I$72,FALSE)),FALSE))</f>
        <v>0</v>
      </c>
      <c r="P203" s="7" t="b">
        <f t="array" ref="P203">IF(E203="",FALSE,IFERROR(XLOOKUP(E203,Countries!$A$2:$A$72,Countries!$G$2:$G$72,FALSE),FALSE))</f>
        <v>0</v>
      </c>
      <c r="Q203" s="7" t="str">
        <f t="shared" si="2"/>
        <v>⚪</v>
      </c>
    </row>
    <row r="204" ht="15.75" customHeight="1">
      <c r="A204" s="7" t="str">
        <f t="array" ref="A204">IFERROR(IF(INDEX(Entries!$C$2:$C$48,26)="","",INDEX(Entries!$Q$2:$Q$48,26)),"")</f>
        <v/>
      </c>
      <c r="B204" s="7" t="str">
        <f t="array" ref="B204">IF(A204="","",IFERROR(INDEX(Entries!$E$2:$E$48,26),""))</f>
        <v/>
      </c>
      <c r="C204" s="7" t="str">
        <f>IF(A204="","","Tier2_Pick2")</f>
        <v/>
      </c>
      <c r="D204" s="7" t="str">
        <f t="shared" si="53"/>
        <v/>
      </c>
      <c r="E204" s="7" t="str">
        <f t="array" ref="E204">IF(A204="","",IFERROR(INDEX(Entries!$N$2:$N$48,26),""))</f>
        <v/>
      </c>
      <c r="F204" s="7" t="str">
        <f>IF(E204="","",IFERROR(_xludf.XLOOKUP(E204,Countries!$A$2:$A$72,Countries!$B$2:$B$72,"???"),"???"))</f>
        <v/>
      </c>
      <c r="G204" s="7">
        <f t="array" ref="G204">IF(E204="",0,IFERROR(XLOOKUP(E204,Countries!$A$2:$A$72,Countries!$E$2:$E$72,0),0))</f>
        <v>0</v>
      </c>
      <c r="H204" s="7">
        <f t="array" ref="H204">IF(E204="",0,IFERROR(XLOOKUP(E204,Medals!$B$2:$B$51,Medals!$D$2:$D$51,0),0))</f>
        <v>0</v>
      </c>
      <c r="I204" s="7">
        <f t="array" ref="I204">IF(E204="",0,IFERROR(XLOOKUP(E204,Medals!$B$2:$B$51,Medals!$E$2:$E$51,0),0))</f>
        <v>0</v>
      </c>
      <c r="J204" s="7">
        <f t="array" ref="J204">IF(E204="",0,IFERROR(XLOOKUP(E204,Medals!$B$2:$B$51,Medals!$F$2:$F$51,0),0))</f>
        <v>0</v>
      </c>
      <c r="K204" s="7">
        <f>H204*GoldPoints*G204</f>
        <v>0</v>
      </c>
      <c r="L204" s="7">
        <f>I204*SilverPoints*G204</f>
        <v>0</v>
      </c>
      <c r="M204" s="7">
        <f>J204*BronzePoints*G204</f>
        <v>0</v>
      </c>
      <c r="N204" s="7">
        <f t="shared" si="1"/>
        <v>0</v>
      </c>
      <c r="O204" s="7" t="b">
        <f t="array" ref="O204">IF(E204="",FALSE,IFERROR(AND(ISNUMBER(MATCH(E204,Countries!$A$2:$A$72,0)),XLOOKUP(E204,Countries!$A$2:$A$72,Countries!$I$2:$I$72,FALSE)),FALSE))</f>
        <v>0</v>
      </c>
      <c r="P204" s="7" t="b">
        <f t="array" ref="P204">IF(E204="",FALSE,IFERROR(XLOOKUP(E204,Countries!$A$2:$A$72,Countries!$G$2:$G$72,FALSE),FALSE))</f>
        <v>0</v>
      </c>
      <c r="Q204" s="7" t="str">
        <f t="shared" si="2"/>
        <v>⚪</v>
      </c>
    </row>
    <row r="205" ht="15.75" customHeight="1">
      <c r="A205" s="7" t="str">
        <f t="array" ref="A205">IFERROR(IF(INDEX(Entries!$C$2:$C$48,26)="","",INDEX(Entries!$Q$2:$Q$48,26)),"")</f>
        <v/>
      </c>
      <c r="B205" s="7" t="str">
        <f t="array" ref="B205">IF(A205="","",IFERROR(INDEX(Entries!$E$2:$E$48,26),""))</f>
        <v/>
      </c>
      <c r="C205" s="7" t="str">
        <f>IF(A205="","","Tier3_Pick1")</f>
        <v/>
      </c>
      <c r="D205" s="7" t="str">
        <f>IF(A205="","",3)</f>
        <v/>
      </c>
      <c r="E205" s="7" t="str">
        <f t="array" ref="E205">IF(A205="","",IFERROR(INDEX(Entries!$H$2:$H$48,26),""))</f>
        <v/>
      </c>
      <c r="F205" s="7" t="str">
        <f>IF(E205="","",IFERROR(_xludf.XLOOKUP(E205,Countries!$A$2:$A$72,Countries!$B$2:$B$72,"???"),"???"))</f>
        <v/>
      </c>
      <c r="G205" s="7">
        <f t="array" ref="G205">IF(E205="",0,IFERROR(XLOOKUP(E205,Countries!$A$2:$A$72,Countries!$E$2:$E$72,0),0))</f>
        <v>0</v>
      </c>
      <c r="H205" s="7">
        <f t="array" ref="H205">IF(E205="",0,IFERROR(XLOOKUP(E205,Medals!$B$2:$B$51,Medals!$D$2:$D$51,0),0))</f>
        <v>0</v>
      </c>
      <c r="I205" s="7">
        <f t="array" ref="I205">IF(E205="",0,IFERROR(XLOOKUP(E205,Medals!$B$2:$B$51,Medals!$E$2:$E$51,0),0))</f>
        <v>0</v>
      </c>
      <c r="J205" s="7">
        <f t="array" ref="J205">IF(E205="",0,IFERROR(XLOOKUP(E205,Medals!$B$2:$B$51,Medals!$F$2:$F$51,0),0))</f>
        <v>0</v>
      </c>
      <c r="K205" s="7">
        <f>H205*GoldPoints*G205</f>
        <v>0</v>
      </c>
      <c r="L205" s="7">
        <f>I205*SilverPoints*G205</f>
        <v>0</v>
      </c>
      <c r="M205" s="7">
        <f>J205*BronzePoints*G205</f>
        <v>0</v>
      </c>
      <c r="N205" s="7">
        <f t="shared" si="1"/>
        <v>0</v>
      </c>
      <c r="O205" s="7" t="b">
        <f t="array" ref="O205">IF(E205="",FALSE,IFERROR(AND(ISNUMBER(MATCH(E205,Countries!$A$2:$A$72,0)),XLOOKUP(E205,Countries!$A$2:$A$72,Countries!$I$2:$I$72,FALSE)),FALSE))</f>
        <v>0</v>
      </c>
      <c r="P205" s="7" t="b">
        <f t="array" ref="P205">IF(E205="",FALSE,IFERROR(XLOOKUP(E205,Countries!$A$2:$A$72,Countries!$G$2:$G$72,FALSE),FALSE))</f>
        <v>0</v>
      </c>
      <c r="Q205" s="7" t="str">
        <f t="shared" si="2"/>
        <v>⚪</v>
      </c>
    </row>
    <row r="206" ht="15.75" customHeight="1">
      <c r="A206" s="7" t="str">
        <f t="array" ref="A206">IFERROR(IF(INDEX(Entries!$C$2:$C$48,26)="","",INDEX(Entries!$Q$2:$Q$48,26)),"")</f>
        <v/>
      </c>
      <c r="B206" s="7" t="str">
        <f t="array" ref="B206">IF(A206="","",IFERROR(INDEX(Entries!$E$2:$E$48,26),""))</f>
        <v/>
      </c>
      <c r="C206" s="7" t="str">
        <f>IF(A206="","","Tier4_Pick1")</f>
        <v/>
      </c>
      <c r="D206" s="7" t="str">
        <f>IF(A206="","",4)</f>
        <v/>
      </c>
      <c r="E206" s="7" t="str">
        <f t="array" ref="E206">IF(A206="","",IFERROR(INDEX(Entries!$I$2:$I$48,26),""))</f>
        <v/>
      </c>
      <c r="F206" s="7" t="str">
        <f>IF(E206="","",IFERROR(_xludf.XLOOKUP(E206,Countries!$A$2:$A$72,Countries!$B$2:$B$72,"???"),"???"))</f>
        <v/>
      </c>
      <c r="G206" s="7">
        <f t="array" ref="G206">IF(E206="",0,IFERROR(XLOOKUP(E206,Countries!$A$2:$A$72,Countries!$E$2:$E$72,0),0))</f>
        <v>0</v>
      </c>
      <c r="H206" s="7">
        <f t="array" ref="H206">IF(E206="",0,IFERROR(XLOOKUP(E206,Medals!$B$2:$B$51,Medals!$D$2:$D$51,0),0))</f>
        <v>0</v>
      </c>
      <c r="I206" s="7">
        <f t="array" ref="I206">IF(E206="",0,IFERROR(XLOOKUP(E206,Medals!$B$2:$B$51,Medals!$E$2:$E$51,0),0))</f>
        <v>0</v>
      </c>
      <c r="J206" s="7">
        <f t="array" ref="J206">IF(E206="",0,IFERROR(XLOOKUP(E206,Medals!$B$2:$B$51,Medals!$F$2:$F$51,0),0))</f>
        <v>0</v>
      </c>
      <c r="K206" s="7">
        <f>H206*GoldPoints*G206</f>
        <v>0</v>
      </c>
      <c r="L206" s="7">
        <f>I206*SilverPoints*G206</f>
        <v>0</v>
      </c>
      <c r="M206" s="7">
        <f>J206*BronzePoints*G206</f>
        <v>0</v>
      </c>
      <c r="N206" s="7">
        <f t="shared" si="1"/>
        <v>0</v>
      </c>
      <c r="O206" s="7" t="b">
        <f t="array" ref="O206">IF(E206="",FALSE,IFERROR(AND(ISNUMBER(MATCH(E206,Countries!$A$2:$A$72,0)),XLOOKUP(E206,Countries!$A$2:$A$72,Countries!$I$2:$I$72,FALSE)),FALSE))</f>
        <v>0</v>
      </c>
      <c r="P206" s="7" t="b">
        <f t="array" ref="P206">IF(E206="",FALSE,IFERROR(XLOOKUP(E206,Countries!$A$2:$A$72,Countries!$G$2:$G$72,FALSE),FALSE))</f>
        <v>0</v>
      </c>
      <c r="Q206" s="7" t="str">
        <f t="shared" si="2"/>
        <v>⚪</v>
      </c>
    </row>
    <row r="207" ht="15.75" customHeight="1">
      <c r="A207" s="7" t="str">
        <f t="array" ref="A207">IFERROR(IF(INDEX(Entries!$C$2:$C$48,26)="","",INDEX(Entries!$Q$2:$Q$48,26)),"")</f>
        <v/>
      </c>
      <c r="B207" s="7" t="str">
        <f t="array" ref="B207">IF(A207="","",IFERROR(INDEX(Entries!$E$2:$E$48,26),""))</f>
        <v/>
      </c>
      <c r="C207" s="7" t="str">
        <f>IF(A207="","","Tier5_Pick1")</f>
        <v/>
      </c>
      <c r="D207" s="7" t="str">
        <f>IF(A207="","",5)</f>
        <v/>
      </c>
      <c r="E207" s="7" t="str">
        <f t="array" ref="E207">IF(A207="","",IFERROR(INDEX(Entries!$J$2:$J$48,26),""))</f>
        <v/>
      </c>
      <c r="F207" s="7" t="str">
        <f>IF(E207="","",IFERROR(_xludf.XLOOKUP(E207,Countries!$A$2:$A$72,Countries!$B$2:$B$72,"???"),"???"))</f>
        <v/>
      </c>
      <c r="G207" s="7">
        <f t="array" ref="G207">IF(E207="",0,IFERROR(XLOOKUP(E207,Countries!$A$2:$A$72,Countries!$E$2:$E$72,0),0))</f>
        <v>0</v>
      </c>
      <c r="H207" s="7">
        <f t="array" ref="H207">IF(E207="",0,IFERROR(XLOOKUP(E207,Medals!$B$2:$B$51,Medals!$D$2:$D$51,0),0))</f>
        <v>0</v>
      </c>
      <c r="I207" s="7">
        <f t="array" ref="I207">IF(E207="",0,IFERROR(XLOOKUP(E207,Medals!$B$2:$B$51,Medals!$E$2:$E$51,0),0))</f>
        <v>0</v>
      </c>
      <c r="J207" s="7">
        <f t="array" ref="J207">IF(E207="",0,IFERROR(XLOOKUP(E207,Medals!$B$2:$B$51,Medals!$F$2:$F$51,0),0))</f>
        <v>0</v>
      </c>
      <c r="K207" s="7">
        <f>H207*GoldPoints*G207</f>
        <v>0</v>
      </c>
      <c r="L207" s="7">
        <f>I207*SilverPoints*G207</f>
        <v>0</v>
      </c>
      <c r="M207" s="7">
        <f>J207*BronzePoints*G207</f>
        <v>0</v>
      </c>
      <c r="N207" s="7">
        <f t="shared" si="1"/>
        <v>0</v>
      </c>
      <c r="O207" s="7" t="b">
        <f t="array" ref="O207">IF(E207="",FALSE,IFERROR(AND(ISNUMBER(MATCH(E207,Countries!$A$2:$A$72,0)),XLOOKUP(E207,Countries!$A$2:$A$72,Countries!$I$2:$I$72,FALSE)),FALSE))</f>
        <v>0</v>
      </c>
      <c r="P207" s="7" t="b">
        <f t="array" ref="P207">IF(E207="",FALSE,IFERROR(XLOOKUP(E207,Countries!$A$2:$A$72,Countries!$G$2:$G$72,FALSE),FALSE))</f>
        <v>0</v>
      </c>
      <c r="Q207" s="7" t="str">
        <f t="shared" si="2"/>
        <v>⚪</v>
      </c>
    </row>
    <row r="208" ht="15.75" customHeight="1">
      <c r="A208" s="7" t="str">
        <f t="array" ref="A208">IFERROR(IF(INDEX(Entries!$C$2:$C$48,26)="","",INDEX(Entries!$Q$2:$Q$48,26)),"")</f>
        <v/>
      </c>
      <c r="B208" s="7" t="str">
        <f t="array" ref="B208">IF(A208="","",IFERROR(INDEX(Entries!$E$2:$E$48,26),""))</f>
        <v/>
      </c>
      <c r="C208" s="7" t="str">
        <f>IF(A208="","","Tier6_Pick1")</f>
        <v/>
      </c>
      <c r="D208" s="7" t="str">
        <f t="shared" ref="D208:D209" si="54">IF(A208="","",6)</f>
        <v/>
      </c>
      <c r="E208" s="7" t="str">
        <f t="array" ref="E208">IF(A208="","",IFERROR(INDEX(Entries!$O$2:$O$48,26),""))</f>
        <v/>
      </c>
      <c r="F208" s="7" t="str">
        <f>IF(E208="","",IFERROR(_xludf.XLOOKUP(E208,Countries!$A$2:$A$72,Countries!$B$2:$B$72,"???"),"???"))</f>
        <v/>
      </c>
      <c r="G208" s="7">
        <f t="array" ref="G208">IF(E208="",0,IFERROR(XLOOKUP(E208,Countries!$A$2:$A$72,Countries!$E$2:$E$72,0),0))</f>
        <v>0</v>
      </c>
      <c r="H208" s="7">
        <f t="array" ref="H208">IF(E208="",0,IFERROR(XLOOKUP(E208,Medals!$B$2:$B$51,Medals!$D$2:$D$51,0),0))</f>
        <v>0</v>
      </c>
      <c r="I208" s="7">
        <f t="array" ref="I208">IF(E208="",0,IFERROR(XLOOKUP(E208,Medals!$B$2:$B$51,Medals!$E$2:$E$51,0),0))</f>
        <v>0</v>
      </c>
      <c r="J208" s="7">
        <f t="array" ref="J208">IF(E208="",0,IFERROR(XLOOKUP(E208,Medals!$B$2:$B$51,Medals!$F$2:$F$51,0),0))</f>
        <v>0</v>
      </c>
      <c r="K208" s="7">
        <f>H208*GoldPoints*G208</f>
        <v>0</v>
      </c>
      <c r="L208" s="7">
        <f>I208*SilverPoints*G208</f>
        <v>0</v>
      </c>
      <c r="M208" s="7">
        <f>J208*BronzePoints*G208</f>
        <v>0</v>
      </c>
      <c r="N208" s="7">
        <f t="shared" si="1"/>
        <v>0</v>
      </c>
      <c r="O208" s="7" t="b">
        <f t="array" ref="O208">IF(E208="",FALSE,IFERROR(AND(ISNUMBER(MATCH(E208,Countries!$A$2:$A$72,0)),XLOOKUP(E208,Countries!$A$2:$A$72,Countries!$I$2:$I$72,FALSE)),FALSE))</f>
        <v>0</v>
      </c>
      <c r="P208" s="7" t="b">
        <f t="array" ref="P208">IF(E208="",FALSE,IFERROR(XLOOKUP(E208,Countries!$A$2:$A$72,Countries!$G$2:$G$72,FALSE),FALSE))</f>
        <v>0</v>
      </c>
      <c r="Q208" s="7" t="str">
        <f t="shared" si="2"/>
        <v>⚪</v>
      </c>
    </row>
    <row r="209" ht="15.75" customHeight="1">
      <c r="A209" s="7" t="str">
        <f t="array" ref="A209">IFERROR(IF(INDEX(Entries!$C$2:$C$48,26)="","",INDEX(Entries!$Q$2:$Q$48,26)),"")</f>
        <v/>
      </c>
      <c r="B209" s="7" t="str">
        <f t="array" ref="B209">IF(A209="","",IFERROR(INDEX(Entries!$E$2:$E$48,26),""))</f>
        <v/>
      </c>
      <c r="C209" s="7" t="str">
        <f>IF(A209="","","Tier6_Pick2")</f>
        <v/>
      </c>
      <c r="D209" s="7" t="str">
        <f t="shared" si="54"/>
        <v/>
      </c>
      <c r="E209" s="7" t="str">
        <f t="array" ref="E209">IF(A209="","",IFERROR(INDEX(Entries!$P$2:$P$48,26),""))</f>
        <v/>
      </c>
      <c r="F209" s="7" t="str">
        <f>IF(E209="","",IFERROR(_xludf.XLOOKUP(E209,Countries!$A$2:$A$72,Countries!$B$2:$B$72,"???"),"???"))</f>
        <v/>
      </c>
      <c r="G209" s="7">
        <f t="array" ref="G209">IF(E209="",0,IFERROR(XLOOKUP(E209,Countries!$A$2:$A$72,Countries!$E$2:$E$72,0),0))</f>
        <v>0</v>
      </c>
      <c r="H209" s="7">
        <f t="array" ref="H209">IF(E209="",0,IFERROR(XLOOKUP(E209,Medals!$B$2:$B$51,Medals!$D$2:$D$51,0),0))</f>
        <v>0</v>
      </c>
      <c r="I209" s="7">
        <f t="array" ref="I209">IF(E209="",0,IFERROR(XLOOKUP(E209,Medals!$B$2:$B$51,Medals!$E$2:$E$51,0),0))</f>
        <v>0</v>
      </c>
      <c r="J209" s="7">
        <f t="array" ref="J209">IF(E209="",0,IFERROR(XLOOKUP(E209,Medals!$B$2:$B$51,Medals!$F$2:$F$51,0),0))</f>
        <v>0</v>
      </c>
      <c r="K209" s="7">
        <f>H209*GoldPoints*G209</f>
        <v>0</v>
      </c>
      <c r="L209" s="7">
        <f>I209*SilverPoints*G209</f>
        <v>0</v>
      </c>
      <c r="M209" s="7">
        <f>J209*BronzePoints*G209</f>
        <v>0</v>
      </c>
      <c r="N209" s="7">
        <f t="shared" si="1"/>
        <v>0</v>
      </c>
      <c r="O209" s="7" t="b">
        <f t="array" ref="O209">IF(E209="",FALSE,IFERROR(AND(ISNUMBER(MATCH(E209,Countries!$A$2:$A$72,0)),XLOOKUP(E209,Countries!$A$2:$A$72,Countries!$I$2:$I$72,FALSE)),FALSE))</f>
        <v>0</v>
      </c>
      <c r="P209" s="7" t="b">
        <f t="array" ref="P209">IF(E209="",FALSE,IFERROR(XLOOKUP(E209,Countries!$A$2:$A$72,Countries!$G$2:$G$72,FALSE),FALSE))</f>
        <v>0</v>
      </c>
      <c r="Q209" s="7" t="str">
        <f t="shared" si="2"/>
        <v>⚪</v>
      </c>
    </row>
    <row r="210" ht="15.75" customHeight="1">
      <c r="A210" s="7" t="str">
        <f t="array" ref="A210">IFERROR(IF(INDEX(Entries!$C$2:$C$48,27)="","",INDEX(Entries!$Q$2:$Q$48,27)),"")</f>
        <v/>
      </c>
      <c r="B210" s="7" t="str">
        <f t="array" ref="B210">IF(A210="","",IFERROR(INDEX(Entries!$E$2:$E$48,27),""))</f>
        <v/>
      </c>
      <c r="C210" s="7" t="str">
        <f>IF(A210="","","Tier1_Pick1")</f>
        <v/>
      </c>
      <c r="D210" s="7" t="str">
        <f>IF(A210="","",1)</f>
        <v/>
      </c>
      <c r="E210" s="7" t="str">
        <f t="array" ref="E210">IF(A210="","",IFERROR(INDEX(Entries!$F$2:$F$48,27),""))</f>
        <v/>
      </c>
      <c r="F210" s="7" t="str">
        <f>IF(E210="","",IFERROR(_xludf.XLOOKUP(E210,Countries!$A$2:$A$72,Countries!$B$2:$B$72,"???"),"???"))</f>
        <v/>
      </c>
      <c r="G210" s="7">
        <f t="array" ref="G210">IF(E210="",0,IFERROR(XLOOKUP(E210,Countries!$A$2:$A$72,Countries!$E$2:$E$72,0),0))</f>
        <v>0</v>
      </c>
      <c r="H210" s="7">
        <f t="array" ref="H210">IF(E210="",0,IFERROR(XLOOKUP(E210,Medals!$B$2:$B$51,Medals!$D$2:$D$51,0),0))</f>
        <v>0</v>
      </c>
      <c r="I210" s="7">
        <f t="array" ref="I210">IF(E210="",0,IFERROR(XLOOKUP(E210,Medals!$B$2:$B$51,Medals!$E$2:$E$51,0),0))</f>
        <v>0</v>
      </c>
      <c r="J210" s="7">
        <f t="array" ref="J210">IF(E210="",0,IFERROR(XLOOKUP(E210,Medals!$B$2:$B$51,Medals!$F$2:$F$51,0),0))</f>
        <v>0</v>
      </c>
      <c r="K210" s="7">
        <f>H210*GoldPoints*G210</f>
        <v>0</v>
      </c>
      <c r="L210" s="7">
        <f>I210*SilverPoints*G210</f>
        <v>0</v>
      </c>
      <c r="M210" s="7">
        <f>J210*BronzePoints*G210</f>
        <v>0</v>
      </c>
      <c r="N210" s="7">
        <f t="shared" si="1"/>
        <v>0</v>
      </c>
      <c r="O210" s="7" t="b">
        <f t="array" ref="O210">IF(E210="",FALSE,IFERROR(AND(ISNUMBER(MATCH(E210,Countries!$A$2:$A$72,0)),XLOOKUP(E210,Countries!$A$2:$A$72,Countries!$I$2:$I$72,FALSE)),FALSE))</f>
        <v>0</v>
      </c>
      <c r="P210" s="7" t="b">
        <f t="array" ref="P210">IF(E210="",FALSE,IFERROR(XLOOKUP(E210,Countries!$A$2:$A$72,Countries!$G$2:$G$72,FALSE),FALSE))</f>
        <v>0</v>
      </c>
      <c r="Q210" s="7" t="str">
        <f t="shared" si="2"/>
        <v>⚪</v>
      </c>
    </row>
    <row r="211" ht="15.75" customHeight="1">
      <c r="A211" s="7" t="str">
        <f t="array" ref="A211">IFERROR(IF(INDEX(Entries!$C$2:$C$48,27)="","",INDEX(Entries!$Q$2:$Q$48,27)),"")</f>
        <v/>
      </c>
      <c r="B211" s="7" t="str">
        <f t="array" ref="B211">IF(A211="","",IFERROR(INDEX(Entries!$E$2:$E$48,27),""))</f>
        <v/>
      </c>
      <c r="C211" s="7" t="str">
        <f>IF(A211="","","Tier2_Pick1")</f>
        <v/>
      </c>
      <c r="D211" s="7" t="str">
        <f t="shared" ref="D211:D212" si="55">IF(A211="","",2)</f>
        <v/>
      </c>
      <c r="E211" s="7" t="str">
        <f t="array" ref="E211">IF(A211="","",IFERROR(INDEX(Entries!$M$2:$M$48,27),""))</f>
        <v/>
      </c>
      <c r="F211" s="7" t="str">
        <f>IF(E211="","",IFERROR(_xludf.XLOOKUP(E211,Countries!$A$2:$A$72,Countries!$B$2:$B$72,"???"),"???"))</f>
        <v/>
      </c>
      <c r="G211" s="7">
        <f t="array" ref="G211">IF(E211="",0,IFERROR(XLOOKUP(E211,Countries!$A$2:$A$72,Countries!$E$2:$E$72,0),0))</f>
        <v>0</v>
      </c>
      <c r="H211" s="7">
        <f t="array" ref="H211">IF(E211="",0,IFERROR(XLOOKUP(E211,Medals!$B$2:$B$51,Medals!$D$2:$D$51,0),0))</f>
        <v>0</v>
      </c>
      <c r="I211" s="7">
        <f t="array" ref="I211">IF(E211="",0,IFERROR(XLOOKUP(E211,Medals!$B$2:$B$51,Medals!$E$2:$E$51,0),0))</f>
        <v>0</v>
      </c>
      <c r="J211" s="7">
        <f t="array" ref="J211">IF(E211="",0,IFERROR(XLOOKUP(E211,Medals!$B$2:$B$51,Medals!$F$2:$F$51,0),0))</f>
        <v>0</v>
      </c>
      <c r="K211" s="7">
        <f>H211*GoldPoints*G211</f>
        <v>0</v>
      </c>
      <c r="L211" s="7">
        <f>I211*SilverPoints*G211</f>
        <v>0</v>
      </c>
      <c r="M211" s="7">
        <f>J211*BronzePoints*G211</f>
        <v>0</v>
      </c>
      <c r="N211" s="7">
        <f t="shared" si="1"/>
        <v>0</v>
      </c>
      <c r="O211" s="7" t="b">
        <f t="array" ref="O211">IF(E211="",FALSE,IFERROR(AND(ISNUMBER(MATCH(E211,Countries!$A$2:$A$72,0)),XLOOKUP(E211,Countries!$A$2:$A$72,Countries!$I$2:$I$72,FALSE)),FALSE))</f>
        <v>0</v>
      </c>
      <c r="P211" s="7" t="b">
        <f t="array" ref="P211">IF(E211="",FALSE,IFERROR(XLOOKUP(E211,Countries!$A$2:$A$72,Countries!$G$2:$G$72,FALSE),FALSE))</f>
        <v>0</v>
      </c>
      <c r="Q211" s="7" t="str">
        <f t="shared" si="2"/>
        <v>⚪</v>
      </c>
    </row>
    <row r="212" ht="15.75" customHeight="1">
      <c r="A212" s="7" t="str">
        <f t="array" ref="A212">IFERROR(IF(INDEX(Entries!$C$2:$C$48,27)="","",INDEX(Entries!$Q$2:$Q$48,27)),"")</f>
        <v/>
      </c>
      <c r="B212" s="7" t="str">
        <f t="array" ref="B212">IF(A212="","",IFERROR(INDEX(Entries!$E$2:$E$48,27),""))</f>
        <v/>
      </c>
      <c r="C212" s="7" t="str">
        <f>IF(A212="","","Tier2_Pick2")</f>
        <v/>
      </c>
      <c r="D212" s="7" t="str">
        <f t="shared" si="55"/>
        <v/>
      </c>
      <c r="E212" s="7" t="str">
        <f t="array" ref="E212">IF(A212="","",IFERROR(INDEX(Entries!$N$2:$N$48,27),""))</f>
        <v/>
      </c>
      <c r="F212" s="7" t="str">
        <f>IF(E212="","",IFERROR(_xludf.XLOOKUP(E212,Countries!$A$2:$A$72,Countries!$B$2:$B$72,"???"),"???"))</f>
        <v/>
      </c>
      <c r="G212" s="7">
        <f t="array" ref="G212">IF(E212="",0,IFERROR(XLOOKUP(E212,Countries!$A$2:$A$72,Countries!$E$2:$E$72,0),0))</f>
        <v>0</v>
      </c>
      <c r="H212" s="7">
        <f t="array" ref="H212">IF(E212="",0,IFERROR(XLOOKUP(E212,Medals!$B$2:$B$51,Medals!$D$2:$D$51,0),0))</f>
        <v>0</v>
      </c>
      <c r="I212" s="7">
        <f t="array" ref="I212">IF(E212="",0,IFERROR(XLOOKUP(E212,Medals!$B$2:$B$51,Medals!$E$2:$E$51,0),0))</f>
        <v>0</v>
      </c>
      <c r="J212" s="7">
        <f t="array" ref="J212">IF(E212="",0,IFERROR(XLOOKUP(E212,Medals!$B$2:$B$51,Medals!$F$2:$F$51,0),0))</f>
        <v>0</v>
      </c>
      <c r="K212" s="7">
        <f>H212*GoldPoints*G212</f>
        <v>0</v>
      </c>
      <c r="L212" s="7">
        <f>I212*SilverPoints*G212</f>
        <v>0</v>
      </c>
      <c r="M212" s="7">
        <f>J212*BronzePoints*G212</f>
        <v>0</v>
      </c>
      <c r="N212" s="7">
        <f t="shared" si="1"/>
        <v>0</v>
      </c>
      <c r="O212" s="7" t="b">
        <f t="array" ref="O212">IF(E212="",FALSE,IFERROR(AND(ISNUMBER(MATCH(E212,Countries!$A$2:$A$72,0)),XLOOKUP(E212,Countries!$A$2:$A$72,Countries!$I$2:$I$72,FALSE)),FALSE))</f>
        <v>0</v>
      </c>
      <c r="P212" s="7" t="b">
        <f t="array" ref="P212">IF(E212="",FALSE,IFERROR(XLOOKUP(E212,Countries!$A$2:$A$72,Countries!$G$2:$G$72,FALSE),FALSE))</f>
        <v>0</v>
      </c>
      <c r="Q212" s="7" t="str">
        <f t="shared" si="2"/>
        <v>⚪</v>
      </c>
    </row>
    <row r="213" ht="15.75" customHeight="1">
      <c r="A213" s="7" t="str">
        <f t="array" ref="A213">IFERROR(IF(INDEX(Entries!$C$2:$C$48,27)="","",INDEX(Entries!$Q$2:$Q$48,27)),"")</f>
        <v/>
      </c>
      <c r="B213" s="7" t="str">
        <f t="array" ref="B213">IF(A213="","",IFERROR(INDEX(Entries!$E$2:$E$48,27),""))</f>
        <v/>
      </c>
      <c r="C213" s="7" t="str">
        <f>IF(A213="","","Tier3_Pick1")</f>
        <v/>
      </c>
      <c r="D213" s="7" t="str">
        <f>IF(A213="","",3)</f>
        <v/>
      </c>
      <c r="E213" s="7" t="str">
        <f t="array" ref="E213">IF(A213="","",IFERROR(INDEX(Entries!$H$2:$H$48,27),""))</f>
        <v/>
      </c>
      <c r="F213" s="7" t="str">
        <f>IF(E213="","",IFERROR(_xludf.XLOOKUP(E213,Countries!$A$2:$A$72,Countries!$B$2:$B$72,"???"),"???"))</f>
        <v/>
      </c>
      <c r="G213" s="7">
        <f t="array" ref="G213">IF(E213="",0,IFERROR(XLOOKUP(E213,Countries!$A$2:$A$72,Countries!$E$2:$E$72,0),0))</f>
        <v>0</v>
      </c>
      <c r="H213" s="7">
        <f t="array" ref="H213">IF(E213="",0,IFERROR(XLOOKUP(E213,Medals!$B$2:$B$51,Medals!$D$2:$D$51,0),0))</f>
        <v>0</v>
      </c>
      <c r="I213" s="7">
        <f t="array" ref="I213">IF(E213="",0,IFERROR(XLOOKUP(E213,Medals!$B$2:$B$51,Medals!$E$2:$E$51,0),0))</f>
        <v>0</v>
      </c>
      <c r="J213" s="7">
        <f t="array" ref="J213">IF(E213="",0,IFERROR(XLOOKUP(E213,Medals!$B$2:$B$51,Medals!$F$2:$F$51,0),0))</f>
        <v>0</v>
      </c>
      <c r="K213" s="7">
        <f>H213*GoldPoints*G213</f>
        <v>0</v>
      </c>
      <c r="L213" s="7">
        <f>I213*SilverPoints*G213</f>
        <v>0</v>
      </c>
      <c r="M213" s="7">
        <f>J213*BronzePoints*G213</f>
        <v>0</v>
      </c>
      <c r="N213" s="7">
        <f t="shared" si="1"/>
        <v>0</v>
      </c>
      <c r="O213" s="7" t="b">
        <f t="array" ref="O213">IF(E213="",FALSE,IFERROR(AND(ISNUMBER(MATCH(E213,Countries!$A$2:$A$72,0)),XLOOKUP(E213,Countries!$A$2:$A$72,Countries!$I$2:$I$72,FALSE)),FALSE))</f>
        <v>0</v>
      </c>
      <c r="P213" s="7" t="b">
        <f t="array" ref="P213">IF(E213="",FALSE,IFERROR(XLOOKUP(E213,Countries!$A$2:$A$72,Countries!$G$2:$G$72,FALSE),FALSE))</f>
        <v>0</v>
      </c>
      <c r="Q213" s="7" t="str">
        <f t="shared" si="2"/>
        <v>⚪</v>
      </c>
    </row>
    <row r="214" ht="15.75" customHeight="1">
      <c r="A214" s="7" t="str">
        <f t="array" ref="A214">IFERROR(IF(INDEX(Entries!$C$2:$C$48,27)="","",INDEX(Entries!$Q$2:$Q$48,27)),"")</f>
        <v/>
      </c>
      <c r="B214" s="7" t="str">
        <f t="array" ref="B214">IF(A214="","",IFERROR(INDEX(Entries!$E$2:$E$48,27),""))</f>
        <v/>
      </c>
      <c r="C214" s="7" t="str">
        <f>IF(A214="","","Tier4_Pick1")</f>
        <v/>
      </c>
      <c r="D214" s="7" t="str">
        <f>IF(A214="","",4)</f>
        <v/>
      </c>
      <c r="E214" s="7" t="str">
        <f t="array" ref="E214">IF(A214="","",IFERROR(INDEX(Entries!$I$2:$I$48,27),""))</f>
        <v/>
      </c>
      <c r="F214" s="7" t="str">
        <f>IF(E214="","",IFERROR(_xludf.XLOOKUP(E214,Countries!$A$2:$A$72,Countries!$B$2:$B$72,"???"),"???"))</f>
        <v/>
      </c>
      <c r="G214" s="7">
        <f t="array" ref="G214">IF(E214="",0,IFERROR(XLOOKUP(E214,Countries!$A$2:$A$72,Countries!$E$2:$E$72,0),0))</f>
        <v>0</v>
      </c>
      <c r="H214" s="7">
        <f t="array" ref="H214">IF(E214="",0,IFERROR(XLOOKUP(E214,Medals!$B$2:$B$51,Medals!$D$2:$D$51,0),0))</f>
        <v>0</v>
      </c>
      <c r="I214" s="7">
        <f t="array" ref="I214">IF(E214="",0,IFERROR(XLOOKUP(E214,Medals!$B$2:$B$51,Medals!$E$2:$E$51,0),0))</f>
        <v>0</v>
      </c>
      <c r="J214" s="7">
        <f t="array" ref="J214">IF(E214="",0,IFERROR(XLOOKUP(E214,Medals!$B$2:$B$51,Medals!$F$2:$F$51,0),0))</f>
        <v>0</v>
      </c>
      <c r="K214" s="7">
        <f>H214*GoldPoints*G214</f>
        <v>0</v>
      </c>
      <c r="L214" s="7">
        <f>I214*SilverPoints*G214</f>
        <v>0</v>
      </c>
      <c r="M214" s="7">
        <f>J214*BronzePoints*G214</f>
        <v>0</v>
      </c>
      <c r="N214" s="7">
        <f t="shared" si="1"/>
        <v>0</v>
      </c>
      <c r="O214" s="7" t="b">
        <f t="array" ref="O214">IF(E214="",FALSE,IFERROR(AND(ISNUMBER(MATCH(E214,Countries!$A$2:$A$72,0)),XLOOKUP(E214,Countries!$A$2:$A$72,Countries!$I$2:$I$72,FALSE)),FALSE))</f>
        <v>0</v>
      </c>
      <c r="P214" s="7" t="b">
        <f t="array" ref="P214">IF(E214="",FALSE,IFERROR(XLOOKUP(E214,Countries!$A$2:$A$72,Countries!$G$2:$G$72,FALSE),FALSE))</f>
        <v>0</v>
      </c>
      <c r="Q214" s="7" t="str">
        <f t="shared" si="2"/>
        <v>⚪</v>
      </c>
    </row>
    <row r="215" ht="15.75" customHeight="1">
      <c r="A215" s="7" t="str">
        <f t="array" ref="A215">IFERROR(IF(INDEX(Entries!$C$2:$C$48,27)="","",INDEX(Entries!$Q$2:$Q$48,27)),"")</f>
        <v/>
      </c>
      <c r="B215" s="7" t="str">
        <f t="array" ref="B215">IF(A215="","",IFERROR(INDEX(Entries!$E$2:$E$48,27),""))</f>
        <v/>
      </c>
      <c r="C215" s="7" t="str">
        <f>IF(A215="","","Tier5_Pick1")</f>
        <v/>
      </c>
      <c r="D215" s="7" t="str">
        <f>IF(A215="","",5)</f>
        <v/>
      </c>
      <c r="E215" s="7" t="str">
        <f t="array" ref="E215">IF(A215="","",IFERROR(INDEX(Entries!$J$2:$J$48,27),""))</f>
        <v/>
      </c>
      <c r="F215" s="7" t="str">
        <f>IF(E215="","",IFERROR(_xludf.XLOOKUP(E215,Countries!$A$2:$A$72,Countries!$B$2:$B$72,"???"),"???"))</f>
        <v/>
      </c>
      <c r="G215" s="7">
        <f t="array" ref="G215">IF(E215="",0,IFERROR(XLOOKUP(E215,Countries!$A$2:$A$72,Countries!$E$2:$E$72,0),0))</f>
        <v>0</v>
      </c>
      <c r="H215" s="7">
        <f t="array" ref="H215">IF(E215="",0,IFERROR(XLOOKUP(E215,Medals!$B$2:$B$51,Medals!$D$2:$D$51,0),0))</f>
        <v>0</v>
      </c>
      <c r="I215" s="7">
        <f t="array" ref="I215">IF(E215="",0,IFERROR(XLOOKUP(E215,Medals!$B$2:$B$51,Medals!$E$2:$E$51,0),0))</f>
        <v>0</v>
      </c>
      <c r="J215" s="7">
        <f t="array" ref="J215">IF(E215="",0,IFERROR(XLOOKUP(E215,Medals!$B$2:$B$51,Medals!$F$2:$F$51,0),0))</f>
        <v>0</v>
      </c>
      <c r="K215" s="7">
        <f>H215*GoldPoints*G215</f>
        <v>0</v>
      </c>
      <c r="L215" s="7">
        <f>I215*SilverPoints*G215</f>
        <v>0</v>
      </c>
      <c r="M215" s="7">
        <f>J215*BronzePoints*G215</f>
        <v>0</v>
      </c>
      <c r="N215" s="7">
        <f t="shared" si="1"/>
        <v>0</v>
      </c>
      <c r="O215" s="7" t="b">
        <f t="array" ref="O215">IF(E215="",FALSE,IFERROR(AND(ISNUMBER(MATCH(E215,Countries!$A$2:$A$72,0)),XLOOKUP(E215,Countries!$A$2:$A$72,Countries!$I$2:$I$72,FALSE)),FALSE))</f>
        <v>0</v>
      </c>
      <c r="P215" s="7" t="b">
        <f t="array" ref="P215">IF(E215="",FALSE,IFERROR(XLOOKUP(E215,Countries!$A$2:$A$72,Countries!$G$2:$G$72,FALSE),FALSE))</f>
        <v>0</v>
      </c>
      <c r="Q215" s="7" t="str">
        <f t="shared" si="2"/>
        <v>⚪</v>
      </c>
    </row>
    <row r="216" ht="15.75" customHeight="1">
      <c r="A216" s="7" t="str">
        <f t="array" ref="A216">IFERROR(IF(INDEX(Entries!$C$2:$C$48,27)="","",INDEX(Entries!$Q$2:$Q$48,27)),"")</f>
        <v/>
      </c>
      <c r="B216" s="7" t="str">
        <f t="array" ref="B216">IF(A216="","",IFERROR(INDEX(Entries!$E$2:$E$48,27),""))</f>
        <v/>
      </c>
      <c r="C216" s="7" t="str">
        <f>IF(A216="","","Tier6_Pick1")</f>
        <v/>
      </c>
      <c r="D216" s="7" t="str">
        <f t="shared" ref="D216:D217" si="56">IF(A216="","",6)</f>
        <v/>
      </c>
      <c r="E216" s="7" t="str">
        <f t="array" ref="E216">IF(A216="","",IFERROR(INDEX(Entries!$O$2:$O$48,27),""))</f>
        <v/>
      </c>
      <c r="F216" s="7" t="str">
        <f>IF(E216="","",IFERROR(_xludf.XLOOKUP(E216,Countries!$A$2:$A$72,Countries!$B$2:$B$72,"???"),"???"))</f>
        <v/>
      </c>
      <c r="G216" s="7">
        <f t="array" ref="G216">IF(E216="",0,IFERROR(XLOOKUP(E216,Countries!$A$2:$A$72,Countries!$E$2:$E$72,0),0))</f>
        <v>0</v>
      </c>
      <c r="H216" s="7">
        <f t="array" ref="H216">IF(E216="",0,IFERROR(XLOOKUP(E216,Medals!$B$2:$B$51,Medals!$D$2:$D$51,0),0))</f>
        <v>0</v>
      </c>
      <c r="I216" s="7">
        <f t="array" ref="I216">IF(E216="",0,IFERROR(XLOOKUP(E216,Medals!$B$2:$B$51,Medals!$E$2:$E$51,0),0))</f>
        <v>0</v>
      </c>
      <c r="J216" s="7">
        <f t="array" ref="J216">IF(E216="",0,IFERROR(XLOOKUP(E216,Medals!$B$2:$B$51,Medals!$F$2:$F$51,0),0))</f>
        <v>0</v>
      </c>
      <c r="K216" s="7">
        <f>H216*GoldPoints*G216</f>
        <v>0</v>
      </c>
      <c r="L216" s="7">
        <f>I216*SilverPoints*G216</f>
        <v>0</v>
      </c>
      <c r="M216" s="7">
        <f>J216*BronzePoints*G216</f>
        <v>0</v>
      </c>
      <c r="N216" s="7">
        <f t="shared" si="1"/>
        <v>0</v>
      </c>
      <c r="O216" s="7" t="b">
        <f t="array" ref="O216">IF(E216="",FALSE,IFERROR(AND(ISNUMBER(MATCH(E216,Countries!$A$2:$A$72,0)),XLOOKUP(E216,Countries!$A$2:$A$72,Countries!$I$2:$I$72,FALSE)),FALSE))</f>
        <v>0</v>
      </c>
      <c r="P216" s="7" t="b">
        <f t="array" ref="P216">IF(E216="",FALSE,IFERROR(XLOOKUP(E216,Countries!$A$2:$A$72,Countries!$G$2:$G$72,FALSE),FALSE))</f>
        <v>0</v>
      </c>
      <c r="Q216" s="7" t="str">
        <f t="shared" si="2"/>
        <v>⚪</v>
      </c>
    </row>
    <row r="217" ht="15.75" customHeight="1">
      <c r="A217" s="7" t="str">
        <f t="array" ref="A217">IFERROR(IF(INDEX(Entries!$C$2:$C$48,27)="","",INDEX(Entries!$Q$2:$Q$48,27)),"")</f>
        <v/>
      </c>
      <c r="B217" s="7" t="str">
        <f t="array" ref="B217">IF(A217="","",IFERROR(INDEX(Entries!$E$2:$E$48,27),""))</f>
        <v/>
      </c>
      <c r="C217" s="7" t="str">
        <f>IF(A217="","","Tier6_Pick2")</f>
        <v/>
      </c>
      <c r="D217" s="7" t="str">
        <f t="shared" si="56"/>
        <v/>
      </c>
      <c r="E217" s="7" t="str">
        <f t="array" ref="E217">IF(A217="","",IFERROR(INDEX(Entries!$P$2:$P$48,27),""))</f>
        <v/>
      </c>
      <c r="F217" s="7" t="str">
        <f>IF(E217="","",IFERROR(_xludf.XLOOKUP(E217,Countries!$A$2:$A$72,Countries!$B$2:$B$72,"???"),"???"))</f>
        <v/>
      </c>
      <c r="G217" s="7">
        <f t="array" ref="G217">IF(E217="",0,IFERROR(XLOOKUP(E217,Countries!$A$2:$A$72,Countries!$E$2:$E$72,0),0))</f>
        <v>0</v>
      </c>
      <c r="H217" s="7">
        <f t="array" ref="H217">IF(E217="",0,IFERROR(XLOOKUP(E217,Medals!$B$2:$B$51,Medals!$D$2:$D$51,0),0))</f>
        <v>0</v>
      </c>
      <c r="I217" s="7">
        <f t="array" ref="I217">IF(E217="",0,IFERROR(XLOOKUP(E217,Medals!$B$2:$B$51,Medals!$E$2:$E$51,0),0))</f>
        <v>0</v>
      </c>
      <c r="J217" s="7">
        <f t="array" ref="J217">IF(E217="",0,IFERROR(XLOOKUP(E217,Medals!$B$2:$B$51,Medals!$F$2:$F$51,0),0))</f>
        <v>0</v>
      </c>
      <c r="K217" s="7">
        <f>H217*GoldPoints*G217</f>
        <v>0</v>
      </c>
      <c r="L217" s="7">
        <f>I217*SilverPoints*G217</f>
        <v>0</v>
      </c>
      <c r="M217" s="7">
        <f>J217*BronzePoints*G217</f>
        <v>0</v>
      </c>
      <c r="N217" s="7">
        <f t="shared" si="1"/>
        <v>0</v>
      </c>
      <c r="O217" s="7" t="b">
        <f t="array" ref="O217">IF(E217="",FALSE,IFERROR(AND(ISNUMBER(MATCH(E217,Countries!$A$2:$A$72,0)),XLOOKUP(E217,Countries!$A$2:$A$72,Countries!$I$2:$I$72,FALSE)),FALSE))</f>
        <v>0</v>
      </c>
      <c r="P217" s="7" t="b">
        <f t="array" ref="P217">IF(E217="",FALSE,IFERROR(XLOOKUP(E217,Countries!$A$2:$A$72,Countries!$G$2:$G$72,FALSE),FALSE))</f>
        <v>0</v>
      </c>
      <c r="Q217" s="7" t="str">
        <f t="shared" si="2"/>
        <v>⚪</v>
      </c>
    </row>
    <row r="218" ht="15.75" customHeight="1">
      <c r="A218" s="7" t="str">
        <f t="array" ref="A218">IFERROR(IF(INDEX(Entries!$C$2:$C$48,28)="","",INDEX(Entries!$Q$2:$Q$48,28)),"")</f>
        <v/>
      </c>
      <c r="B218" s="7" t="str">
        <f t="array" ref="B218">IF(A218="","",IFERROR(INDEX(Entries!$E$2:$E$48,28),""))</f>
        <v/>
      </c>
      <c r="C218" s="7" t="str">
        <f>IF(A218="","","Tier1_Pick1")</f>
        <v/>
      </c>
      <c r="D218" s="7" t="str">
        <f>IF(A218="","",1)</f>
        <v/>
      </c>
      <c r="E218" s="7" t="str">
        <f t="array" ref="E218">IF(A218="","",IFERROR(INDEX(Entries!$F$2:$F$48,28),""))</f>
        <v/>
      </c>
      <c r="F218" s="7" t="str">
        <f>IF(E218="","",IFERROR(_xludf.XLOOKUP(E218,Countries!$A$2:$A$72,Countries!$B$2:$B$72,"???"),"???"))</f>
        <v/>
      </c>
      <c r="G218" s="7">
        <f t="array" ref="G218">IF(E218="",0,IFERROR(XLOOKUP(E218,Countries!$A$2:$A$72,Countries!$E$2:$E$72,0),0))</f>
        <v>0</v>
      </c>
      <c r="H218" s="7">
        <f t="array" ref="H218">IF(E218="",0,IFERROR(XLOOKUP(E218,Medals!$B$2:$B$51,Medals!$D$2:$D$51,0),0))</f>
        <v>0</v>
      </c>
      <c r="I218" s="7">
        <f t="array" ref="I218">IF(E218="",0,IFERROR(XLOOKUP(E218,Medals!$B$2:$B$51,Medals!$E$2:$E$51,0),0))</f>
        <v>0</v>
      </c>
      <c r="J218" s="7">
        <f t="array" ref="J218">IF(E218="",0,IFERROR(XLOOKUP(E218,Medals!$B$2:$B$51,Medals!$F$2:$F$51,0),0))</f>
        <v>0</v>
      </c>
      <c r="K218" s="7">
        <f>H218*GoldPoints*G218</f>
        <v>0</v>
      </c>
      <c r="L218" s="7">
        <f>I218*SilverPoints*G218</f>
        <v>0</v>
      </c>
      <c r="M218" s="7">
        <f>J218*BronzePoints*G218</f>
        <v>0</v>
      </c>
      <c r="N218" s="7">
        <f t="shared" si="1"/>
        <v>0</v>
      </c>
      <c r="O218" s="7" t="b">
        <f t="array" ref="O218">IF(E218="",FALSE,IFERROR(AND(ISNUMBER(MATCH(E218,Countries!$A$2:$A$72,0)),XLOOKUP(E218,Countries!$A$2:$A$72,Countries!$I$2:$I$72,FALSE)),FALSE))</f>
        <v>0</v>
      </c>
      <c r="P218" s="7" t="b">
        <f t="array" ref="P218">IF(E218="",FALSE,IFERROR(XLOOKUP(E218,Countries!$A$2:$A$72,Countries!$G$2:$G$72,FALSE),FALSE))</f>
        <v>0</v>
      </c>
      <c r="Q218" s="7" t="str">
        <f t="shared" si="2"/>
        <v>⚪</v>
      </c>
    </row>
    <row r="219" ht="15.75" customHeight="1">
      <c r="A219" s="7" t="str">
        <f t="array" ref="A219">IFERROR(IF(INDEX(Entries!$C$2:$C$48,28)="","",INDEX(Entries!$Q$2:$Q$48,28)),"")</f>
        <v/>
      </c>
      <c r="B219" s="7" t="str">
        <f t="array" ref="B219">IF(A219="","",IFERROR(INDEX(Entries!$E$2:$E$48,28),""))</f>
        <v/>
      </c>
      <c r="C219" s="7" t="str">
        <f>IF(A219="","","Tier2_Pick1")</f>
        <v/>
      </c>
      <c r="D219" s="7" t="str">
        <f t="shared" ref="D219:D220" si="57">IF(A219="","",2)</f>
        <v/>
      </c>
      <c r="E219" s="7" t="str">
        <f t="array" ref="E219">IF(A219="","",IFERROR(INDEX(Entries!$M$2:$M$48,28),""))</f>
        <v/>
      </c>
      <c r="F219" s="7" t="str">
        <f>IF(E219="","",IFERROR(_xludf.XLOOKUP(E219,Countries!$A$2:$A$72,Countries!$B$2:$B$72,"???"),"???"))</f>
        <v/>
      </c>
      <c r="G219" s="7">
        <f t="array" ref="G219">IF(E219="",0,IFERROR(XLOOKUP(E219,Countries!$A$2:$A$72,Countries!$E$2:$E$72,0),0))</f>
        <v>0</v>
      </c>
      <c r="H219" s="7">
        <f t="array" ref="H219">IF(E219="",0,IFERROR(XLOOKUP(E219,Medals!$B$2:$B$51,Medals!$D$2:$D$51,0),0))</f>
        <v>0</v>
      </c>
      <c r="I219" s="7">
        <f t="array" ref="I219">IF(E219="",0,IFERROR(XLOOKUP(E219,Medals!$B$2:$B$51,Medals!$E$2:$E$51,0),0))</f>
        <v>0</v>
      </c>
      <c r="J219" s="7">
        <f t="array" ref="J219">IF(E219="",0,IFERROR(XLOOKUP(E219,Medals!$B$2:$B$51,Medals!$F$2:$F$51,0),0))</f>
        <v>0</v>
      </c>
      <c r="K219" s="7">
        <f>H219*GoldPoints*G219</f>
        <v>0</v>
      </c>
      <c r="L219" s="7">
        <f>I219*SilverPoints*G219</f>
        <v>0</v>
      </c>
      <c r="M219" s="7">
        <f>J219*BronzePoints*G219</f>
        <v>0</v>
      </c>
      <c r="N219" s="7">
        <f t="shared" si="1"/>
        <v>0</v>
      </c>
      <c r="O219" s="7" t="b">
        <f t="array" ref="O219">IF(E219="",FALSE,IFERROR(AND(ISNUMBER(MATCH(E219,Countries!$A$2:$A$72,0)),XLOOKUP(E219,Countries!$A$2:$A$72,Countries!$I$2:$I$72,FALSE)),FALSE))</f>
        <v>0</v>
      </c>
      <c r="P219" s="7" t="b">
        <f t="array" ref="P219">IF(E219="",FALSE,IFERROR(XLOOKUP(E219,Countries!$A$2:$A$72,Countries!$G$2:$G$72,FALSE),FALSE))</f>
        <v>0</v>
      </c>
      <c r="Q219" s="7" t="str">
        <f t="shared" si="2"/>
        <v>⚪</v>
      </c>
    </row>
    <row r="220" ht="15.75" customHeight="1">
      <c r="A220" s="7" t="str">
        <f t="array" ref="A220">IFERROR(IF(INDEX(Entries!$C$2:$C$48,28)="","",INDEX(Entries!$Q$2:$Q$48,28)),"")</f>
        <v/>
      </c>
      <c r="B220" s="7" t="str">
        <f t="array" ref="B220">IF(A220="","",IFERROR(INDEX(Entries!$E$2:$E$48,28),""))</f>
        <v/>
      </c>
      <c r="C220" s="7" t="str">
        <f>IF(A220="","","Tier2_Pick2")</f>
        <v/>
      </c>
      <c r="D220" s="7" t="str">
        <f t="shared" si="57"/>
        <v/>
      </c>
      <c r="E220" s="7" t="str">
        <f t="array" ref="E220">IF(A220="","",IFERROR(INDEX(Entries!$N$2:$N$48,28),""))</f>
        <v/>
      </c>
      <c r="F220" s="7" t="str">
        <f>IF(E220="","",IFERROR(_xludf.XLOOKUP(E220,Countries!$A$2:$A$72,Countries!$B$2:$B$72,"???"),"???"))</f>
        <v/>
      </c>
      <c r="G220" s="7">
        <f t="array" ref="G220">IF(E220="",0,IFERROR(XLOOKUP(E220,Countries!$A$2:$A$72,Countries!$E$2:$E$72,0),0))</f>
        <v>0</v>
      </c>
      <c r="H220" s="7">
        <f t="array" ref="H220">IF(E220="",0,IFERROR(XLOOKUP(E220,Medals!$B$2:$B$51,Medals!$D$2:$D$51,0),0))</f>
        <v>0</v>
      </c>
      <c r="I220" s="7">
        <f t="array" ref="I220">IF(E220="",0,IFERROR(XLOOKUP(E220,Medals!$B$2:$B$51,Medals!$E$2:$E$51,0),0))</f>
        <v>0</v>
      </c>
      <c r="J220" s="7">
        <f t="array" ref="J220">IF(E220="",0,IFERROR(XLOOKUP(E220,Medals!$B$2:$B$51,Medals!$F$2:$F$51,0),0))</f>
        <v>0</v>
      </c>
      <c r="K220" s="7">
        <f>H220*GoldPoints*G220</f>
        <v>0</v>
      </c>
      <c r="L220" s="7">
        <f>I220*SilverPoints*G220</f>
        <v>0</v>
      </c>
      <c r="M220" s="7">
        <f>J220*BronzePoints*G220</f>
        <v>0</v>
      </c>
      <c r="N220" s="7">
        <f t="shared" si="1"/>
        <v>0</v>
      </c>
      <c r="O220" s="7" t="b">
        <f t="array" ref="O220">IF(E220="",FALSE,IFERROR(AND(ISNUMBER(MATCH(E220,Countries!$A$2:$A$72,0)),XLOOKUP(E220,Countries!$A$2:$A$72,Countries!$I$2:$I$72,FALSE)),FALSE))</f>
        <v>0</v>
      </c>
      <c r="P220" s="7" t="b">
        <f t="array" ref="P220">IF(E220="",FALSE,IFERROR(XLOOKUP(E220,Countries!$A$2:$A$72,Countries!$G$2:$G$72,FALSE),FALSE))</f>
        <v>0</v>
      </c>
      <c r="Q220" s="7" t="str">
        <f t="shared" si="2"/>
        <v>⚪</v>
      </c>
    </row>
    <row r="221" ht="15.75" customHeight="1">
      <c r="A221" s="7" t="str">
        <f t="array" ref="A221">IFERROR(IF(INDEX(Entries!$C$2:$C$48,28)="","",INDEX(Entries!$Q$2:$Q$48,28)),"")</f>
        <v/>
      </c>
      <c r="B221" s="7" t="str">
        <f t="array" ref="B221">IF(A221="","",IFERROR(INDEX(Entries!$E$2:$E$48,28),""))</f>
        <v/>
      </c>
      <c r="C221" s="7" t="str">
        <f>IF(A221="","","Tier3_Pick1")</f>
        <v/>
      </c>
      <c r="D221" s="7" t="str">
        <f>IF(A221="","",3)</f>
        <v/>
      </c>
      <c r="E221" s="7" t="str">
        <f t="array" ref="E221">IF(A221="","",IFERROR(INDEX(Entries!$H$2:$H$48,28),""))</f>
        <v/>
      </c>
      <c r="F221" s="7" t="str">
        <f>IF(E221="","",IFERROR(_xludf.XLOOKUP(E221,Countries!$A$2:$A$72,Countries!$B$2:$B$72,"???"),"???"))</f>
        <v/>
      </c>
      <c r="G221" s="7">
        <f t="array" ref="G221">IF(E221="",0,IFERROR(XLOOKUP(E221,Countries!$A$2:$A$72,Countries!$E$2:$E$72,0),0))</f>
        <v>0</v>
      </c>
      <c r="H221" s="7">
        <f t="array" ref="H221">IF(E221="",0,IFERROR(XLOOKUP(E221,Medals!$B$2:$B$51,Medals!$D$2:$D$51,0),0))</f>
        <v>0</v>
      </c>
      <c r="I221" s="7">
        <f t="array" ref="I221">IF(E221="",0,IFERROR(XLOOKUP(E221,Medals!$B$2:$B$51,Medals!$E$2:$E$51,0),0))</f>
        <v>0</v>
      </c>
      <c r="J221" s="7">
        <f t="array" ref="J221">IF(E221="",0,IFERROR(XLOOKUP(E221,Medals!$B$2:$B$51,Medals!$F$2:$F$51,0),0))</f>
        <v>0</v>
      </c>
      <c r="K221" s="7">
        <f>H221*GoldPoints*G221</f>
        <v>0</v>
      </c>
      <c r="L221" s="7">
        <f>I221*SilverPoints*G221</f>
        <v>0</v>
      </c>
      <c r="M221" s="7">
        <f>J221*BronzePoints*G221</f>
        <v>0</v>
      </c>
      <c r="N221" s="7">
        <f t="shared" si="1"/>
        <v>0</v>
      </c>
      <c r="O221" s="7" t="b">
        <f t="array" ref="O221">IF(E221="",FALSE,IFERROR(AND(ISNUMBER(MATCH(E221,Countries!$A$2:$A$72,0)),XLOOKUP(E221,Countries!$A$2:$A$72,Countries!$I$2:$I$72,FALSE)),FALSE))</f>
        <v>0</v>
      </c>
      <c r="P221" s="7" t="b">
        <f t="array" ref="P221">IF(E221="",FALSE,IFERROR(XLOOKUP(E221,Countries!$A$2:$A$72,Countries!$G$2:$G$72,FALSE),FALSE))</f>
        <v>0</v>
      </c>
      <c r="Q221" s="7" t="str">
        <f t="shared" si="2"/>
        <v>⚪</v>
      </c>
    </row>
    <row r="222" ht="15.75" customHeight="1">
      <c r="A222" s="7" t="str">
        <f t="array" ref="A222">IFERROR(IF(INDEX(Entries!$C$2:$C$48,28)="","",INDEX(Entries!$Q$2:$Q$48,28)),"")</f>
        <v/>
      </c>
      <c r="B222" s="7" t="str">
        <f t="array" ref="B222">IF(A222="","",IFERROR(INDEX(Entries!$E$2:$E$48,28),""))</f>
        <v/>
      </c>
      <c r="C222" s="7" t="str">
        <f>IF(A222="","","Tier4_Pick1")</f>
        <v/>
      </c>
      <c r="D222" s="7" t="str">
        <f>IF(A222="","",4)</f>
        <v/>
      </c>
      <c r="E222" s="7" t="str">
        <f t="array" ref="E222">IF(A222="","",IFERROR(INDEX(Entries!$I$2:$I$48,28),""))</f>
        <v/>
      </c>
      <c r="F222" s="7" t="str">
        <f>IF(E222="","",IFERROR(_xludf.XLOOKUP(E222,Countries!$A$2:$A$72,Countries!$B$2:$B$72,"???"),"???"))</f>
        <v/>
      </c>
      <c r="G222" s="7">
        <f t="array" ref="G222">IF(E222="",0,IFERROR(XLOOKUP(E222,Countries!$A$2:$A$72,Countries!$E$2:$E$72,0),0))</f>
        <v>0</v>
      </c>
      <c r="H222" s="7">
        <f t="array" ref="H222">IF(E222="",0,IFERROR(XLOOKUP(E222,Medals!$B$2:$B$51,Medals!$D$2:$D$51,0),0))</f>
        <v>0</v>
      </c>
      <c r="I222" s="7">
        <f t="array" ref="I222">IF(E222="",0,IFERROR(XLOOKUP(E222,Medals!$B$2:$B$51,Medals!$E$2:$E$51,0),0))</f>
        <v>0</v>
      </c>
      <c r="J222" s="7">
        <f t="array" ref="J222">IF(E222="",0,IFERROR(XLOOKUP(E222,Medals!$B$2:$B$51,Medals!$F$2:$F$51,0),0))</f>
        <v>0</v>
      </c>
      <c r="K222" s="7">
        <f>H222*GoldPoints*G222</f>
        <v>0</v>
      </c>
      <c r="L222" s="7">
        <f>I222*SilverPoints*G222</f>
        <v>0</v>
      </c>
      <c r="M222" s="7">
        <f>J222*BronzePoints*G222</f>
        <v>0</v>
      </c>
      <c r="N222" s="7">
        <f t="shared" si="1"/>
        <v>0</v>
      </c>
      <c r="O222" s="7" t="b">
        <f t="array" ref="O222">IF(E222="",FALSE,IFERROR(AND(ISNUMBER(MATCH(E222,Countries!$A$2:$A$72,0)),XLOOKUP(E222,Countries!$A$2:$A$72,Countries!$I$2:$I$72,FALSE)),FALSE))</f>
        <v>0</v>
      </c>
      <c r="P222" s="7" t="b">
        <f t="array" ref="P222">IF(E222="",FALSE,IFERROR(XLOOKUP(E222,Countries!$A$2:$A$72,Countries!$G$2:$G$72,FALSE),FALSE))</f>
        <v>0</v>
      </c>
      <c r="Q222" s="7" t="str">
        <f t="shared" si="2"/>
        <v>⚪</v>
      </c>
    </row>
    <row r="223" ht="15.75" customHeight="1">
      <c r="A223" s="7" t="str">
        <f t="array" ref="A223">IFERROR(IF(INDEX(Entries!$C$2:$C$48,28)="","",INDEX(Entries!$Q$2:$Q$48,28)),"")</f>
        <v/>
      </c>
      <c r="B223" s="7" t="str">
        <f t="array" ref="B223">IF(A223="","",IFERROR(INDEX(Entries!$E$2:$E$48,28),""))</f>
        <v/>
      </c>
      <c r="C223" s="7" t="str">
        <f>IF(A223="","","Tier5_Pick1")</f>
        <v/>
      </c>
      <c r="D223" s="7" t="str">
        <f>IF(A223="","",5)</f>
        <v/>
      </c>
      <c r="E223" s="7" t="str">
        <f t="array" ref="E223">IF(A223="","",IFERROR(INDEX(Entries!$J$2:$J$48,28),""))</f>
        <v/>
      </c>
      <c r="F223" s="7" t="str">
        <f>IF(E223="","",IFERROR(_xludf.XLOOKUP(E223,Countries!$A$2:$A$72,Countries!$B$2:$B$72,"???"),"???"))</f>
        <v/>
      </c>
      <c r="G223" s="7">
        <f t="array" ref="G223">IF(E223="",0,IFERROR(XLOOKUP(E223,Countries!$A$2:$A$72,Countries!$E$2:$E$72,0),0))</f>
        <v>0</v>
      </c>
      <c r="H223" s="7">
        <f t="array" ref="H223">IF(E223="",0,IFERROR(XLOOKUP(E223,Medals!$B$2:$B$51,Medals!$D$2:$D$51,0),0))</f>
        <v>0</v>
      </c>
      <c r="I223" s="7">
        <f t="array" ref="I223">IF(E223="",0,IFERROR(XLOOKUP(E223,Medals!$B$2:$B$51,Medals!$E$2:$E$51,0),0))</f>
        <v>0</v>
      </c>
      <c r="J223" s="7">
        <f t="array" ref="J223">IF(E223="",0,IFERROR(XLOOKUP(E223,Medals!$B$2:$B$51,Medals!$F$2:$F$51,0),0))</f>
        <v>0</v>
      </c>
      <c r="K223" s="7">
        <f>H223*GoldPoints*G223</f>
        <v>0</v>
      </c>
      <c r="L223" s="7">
        <f>I223*SilverPoints*G223</f>
        <v>0</v>
      </c>
      <c r="M223" s="7">
        <f>J223*BronzePoints*G223</f>
        <v>0</v>
      </c>
      <c r="N223" s="7">
        <f t="shared" si="1"/>
        <v>0</v>
      </c>
      <c r="O223" s="7" t="b">
        <f t="array" ref="O223">IF(E223="",FALSE,IFERROR(AND(ISNUMBER(MATCH(E223,Countries!$A$2:$A$72,0)),XLOOKUP(E223,Countries!$A$2:$A$72,Countries!$I$2:$I$72,FALSE)),FALSE))</f>
        <v>0</v>
      </c>
      <c r="P223" s="7" t="b">
        <f t="array" ref="P223">IF(E223="",FALSE,IFERROR(XLOOKUP(E223,Countries!$A$2:$A$72,Countries!$G$2:$G$72,FALSE),FALSE))</f>
        <v>0</v>
      </c>
      <c r="Q223" s="7" t="str">
        <f t="shared" si="2"/>
        <v>⚪</v>
      </c>
    </row>
    <row r="224" ht="15.75" customHeight="1">
      <c r="A224" s="7" t="str">
        <f t="array" ref="A224">IFERROR(IF(INDEX(Entries!$C$2:$C$48,28)="","",INDEX(Entries!$Q$2:$Q$48,28)),"")</f>
        <v/>
      </c>
      <c r="B224" s="7" t="str">
        <f t="array" ref="B224">IF(A224="","",IFERROR(INDEX(Entries!$E$2:$E$48,28),""))</f>
        <v/>
      </c>
      <c r="C224" s="7" t="str">
        <f>IF(A224="","","Tier6_Pick1")</f>
        <v/>
      </c>
      <c r="D224" s="7" t="str">
        <f t="shared" ref="D224:D225" si="58">IF(A224="","",6)</f>
        <v/>
      </c>
      <c r="E224" s="7" t="str">
        <f t="array" ref="E224">IF(A224="","",IFERROR(INDEX(Entries!$O$2:$O$48,28),""))</f>
        <v/>
      </c>
      <c r="F224" s="7" t="str">
        <f>IF(E224="","",IFERROR(_xludf.XLOOKUP(E224,Countries!$A$2:$A$72,Countries!$B$2:$B$72,"???"),"???"))</f>
        <v/>
      </c>
      <c r="G224" s="7">
        <f t="array" ref="G224">IF(E224="",0,IFERROR(XLOOKUP(E224,Countries!$A$2:$A$72,Countries!$E$2:$E$72,0),0))</f>
        <v>0</v>
      </c>
      <c r="H224" s="7">
        <f t="array" ref="H224">IF(E224="",0,IFERROR(XLOOKUP(E224,Medals!$B$2:$B$51,Medals!$D$2:$D$51,0),0))</f>
        <v>0</v>
      </c>
      <c r="I224" s="7">
        <f t="array" ref="I224">IF(E224="",0,IFERROR(XLOOKUP(E224,Medals!$B$2:$B$51,Medals!$E$2:$E$51,0),0))</f>
        <v>0</v>
      </c>
      <c r="J224" s="7">
        <f t="array" ref="J224">IF(E224="",0,IFERROR(XLOOKUP(E224,Medals!$B$2:$B$51,Medals!$F$2:$F$51,0),0))</f>
        <v>0</v>
      </c>
      <c r="K224" s="7">
        <f>H224*GoldPoints*G224</f>
        <v>0</v>
      </c>
      <c r="L224" s="7">
        <f>I224*SilverPoints*G224</f>
        <v>0</v>
      </c>
      <c r="M224" s="7">
        <f>J224*BronzePoints*G224</f>
        <v>0</v>
      </c>
      <c r="N224" s="7">
        <f t="shared" si="1"/>
        <v>0</v>
      </c>
      <c r="O224" s="7" t="b">
        <f t="array" ref="O224">IF(E224="",FALSE,IFERROR(AND(ISNUMBER(MATCH(E224,Countries!$A$2:$A$72,0)),XLOOKUP(E224,Countries!$A$2:$A$72,Countries!$I$2:$I$72,FALSE)),FALSE))</f>
        <v>0</v>
      </c>
      <c r="P224" s="7" t="b">
        <f t="array" ref="P224">IF(E224="",FALSE,IFERROR(XLOOKUP(E224,Countries!$A$2:$A$72,Countries!$G$2:$G$72,FALSE),FALSE))</f>
        <v>0</v>
      </c>
      <c r="Q224" s="7" t="str">
        <f t="shared" si="2"/>
        <v>⚪</v>
      </c>
    </row>
    <row r="225" ht="15.75" customHeight="1">
      <c r="A225" s="7" t="str">
        <f t="array" ref="A225">IFERROR(IF(INDEX(Entries!$C$2:$C$48,28)="","",INDEX(Entries!$Q$2:$Q$48,28)),"")</f>
        <v/>
      </c>
      <c r="B225" s="7" t="str">
        <f t="array" ref="B225">IF(A225="","",IFERROR(INDEX(Entries!$E$2:$E$48,28),""))</f>
        <v/>
      </c>
      <c r="C225" s="7" t="str">
        <f>IF(A225="","","Tier6_Pick2")</f>
        <v/>
      </c>
      <c r="D225" s="7" t="str">
        <f t="shared" si="58"/>
        <v/>
      </c>
      <c r="E225" s="7" t="str">
        <f t="array" ref="E225">IF(A225="","",IFERROR(INDEX(Entries!$P$2:$P$48,28),""))</f>
        <v/>
      </c>
      <c r="F225" s="7" t="str">
        <f>IF(E225="","",IFERROR(_xludf.XLOOKUP(E225,Countries!$A$2:$A$72,Countries!$B$2:$B$72,"???"),"???"))</f>
        <v/>
      </c>
      <c r="G225" s="7">
        <f t="array" ref="G225">IF(E225="",0,IFERROR(XLOOKUP(E225,Countries!$A$2:$A$72,Countries!$E$2:$E$72,0),0))</f>
        <v>0</v>
      </c>
      <c r="H225" s="7">
        <f t="array" ref="H225">IF(E225="",0,IFERROR(XLOOKUP(E225,Medals!$B$2:$B$51,Medals!$D$2:$D$51,0),0))</f>
        <v>0</v>
      </c>
      <c r="I225" s="7">
        <f t="array" ref="I225">IF(E225="",0,IFERROR(XLOOKUP(E225,Medals!$B$2:$B$51,Medals!$E$2:$E$51,0),0))</f>
        <v>0</v>
      </c>
      <c r="J225" s="7">
        <f t="array" ref="J225">IF(E225="",0,IFERROR(XLOOKUP(E225,Medals!$B$2:$B$51,Medals!$F$2:$F$51,0),0))</f>
        <v>0</v>
      </c>
      <c r="K225" s="7">
        <f>H225*GoldPoints*G225</f>
        <v>0</v>
      </c>
      <c r="L225" s="7">
        <f>I225*SilverPoints*G225</f>
        <v>0</v>
      </c>
      <c r="M225" s="7">
        <f>J225*BronzePoints*G225</f>
        <v>0</v>
      </c>
      <c r="N225" s="7">
        <f t="shared" si="1"/>
        <v>0</v>
      </c>
      <c r="O225" s="7" t="b">
        <f t="array" ref="O225">IF(E225="",FALSE,IFERROR(AND(ISNUMBER(MATCH(E225,Countries!$A$2:$A$72,0)),XLOOKUP(E225,Countries!$A$2:$A$72,Countries!$I$2:$I$72,FALSE)),FALSE))</f>
        <v>0</v>
      </c>
      <c r="P225" s="7" t="b">
        <f t="array" ref="P225">IF(E225="",FALSE,IFERROR(XLOOKUP(E225,Countries!$A$2:$A$72,Countries!$G$2:$G$72,FALSE),FALSE))</f>
        <v>0</v>
      </c>
      <c r="Q225" s="7" t="str">
        <f t="shared" si="2"/>
        <v>⚪</v>
      </c>
    </row>
    <row r="226" ht="15.75" customHeight="1">
      <c r="A226" s="7" t="str">
        <f t="array" ref="A226">IFERROR(IF(INDEX(Entries!$C$2:$C$48,29)="","",INDEX(Entries!$Q$2:$Q$48,29)),"")</f>
        <v/>
      </c>
      <c r="B226" s="7" t="str">
        <f t="array" ref="B226">IF(A226="","",IFERROR(INDEX(Entries!$E$2:$E$48,29),""))</f>
        <v/>
      </c>
      <c r="C226" s="7" t="str">
        <f>IF(A226="","","Tier1_Pick1")</f>
        <v/>
      </c>
      <c r="D226" s="7" t="str">
        <f>IF(A226="","",1)</f>
        <v/>
      </c>
      <c r="E226" s="7" t="str">
        <f t="array" ref="E226">IF(A226="","",IFERROR(INDEX(Entries!$F$2:$F$48,29),""))</f>
        <v/>
      </c>
      <c r="F226" s="7" t="str">
        <f>IF(E226="","",IFERROR(_xludf.XLOOKUP(E226,Countries!$A$2:$A$72,Countries!$B$2:$B$72,"???"),"???"))</f>
        <v/>
      </c>
      <c r="G226" s="7">
        <f t="array" ref="G226">IF(E226="",0,IFERROR(XLOOKUP(E226,Countries!$A$2:$A$72,Countries!$E$2:$E$72,0),0))</f>
        <v>0</v>
      </c>
      <c r="H226" s="7">
        <f t="array" ref="H226">IF(E226="",0,IFERROR(XLOOKUP(E226,Medals!$B$2:$B$51,Medals!$D$2:$D$51,0),0))</f>
        <v>0</v>
      </c>
      <c r="I226" s="7">
        <f t="array" ref="I226">IF(E226="",0,IFERROR(XLOOKUP(E226,Medals!$B$2:$B$51,Medals!$E$2:$E$51,0),0))</f>
        <v>0</v>
      </c>
      <c r="J226" s="7">
        <f t="array" ref="J226">IF(E226="",0,IFERROR(XLOOKUP(E226,Medals!$B$2:$B$51,Medals!$F$2:$F$51,0),0))</f>
        <v>0</v>
      </c>
      <c r="K226" s="7">
        <f>H226*GoldPoints*G226</f>
        <v>0</v>
      </c>
      <c r="L226" s="7">
        <f>I226*SilverPoints*G226</f>
        <v>0</v>
      </c>
      <c r="M226" s="7">
        <f>J226*BronzePoints*G226</f>
        <v>0</v>
      </c>
      <c r="N226" s="7">
        <f t="shared" si="1"/>
        <v>0</v>
      </c>
      <c r="O226" s="7" t="b">
        <f t="array" ref="O226">IF(E226="",FALSE,IFERROR(AND(ISNUMBER(MATCH(E226,Countries!$A$2:$A$72,0)),XLOOKUP(E226,Countries!$A$2:$A$72,Countries!$I$2:$I$72,FALSE)),FALSE))</f>
        <v>0</v>
      </c>
      <c r="P226" s="7" t="b">
        <f t="array" ref="P226">IF(E226="",FALSE,IFERROR(XLOOKUP(E226,Countries!$A$2:$A$72,Countries!$G$2:$G$72,FALSE),FALSE))</f>
        <v>0</v>
      </c>
      <c r="Q226" s="7" t="str">
        <f t="shared" si="2"/>
        <v>⚪</v>
      </c>
    </row>
    <row r="227" ht="15.75" customHeight="1">
      <c r="A227" s="7" t="str">
        <f t="array" ref="A227">IFERROR(IF(INDEX(Entries!$C$2:$C$48,29)="","",INDEX(Entries!$Q$2:$Q$48,29)),"")</f>
        <v/>
      </c>
      <c r="B227" s="7" t="str">
        <f t="array" ref="B227">IF(A227="","",IFERROR(INDEX(Entries!$E$2:$E$48,29),""))</f>
        <v/>
      </c>
      <c r="C227" s="7" t="str">
        <f>IF(A227="","","Tier2_Pick1")</f>
        <v/>
      </c>
      <c r="D227" s="7" t="str">
        <f t="shared" ref="D227:D228" si="59">IF(A227="","",2)</f>
        <v/>
      </c>
      <c r="E227" s="7" t="str">
        <f t="array" ref="E227">IF(A227="","",IFERROR(INDEX(Entries!$M$2:$M$48,29),""))</f>
        <v/>
      </c>
      <c r="F227" s="7" t="str">
        <f>IF(E227="","",IFERROR(_xludf.XLOOKUP(E227,Countries!$A$2:$A$72,Countries!$B$2:$B$72,"???"),"???"))</f>
        <v/>
      </c>
      <c r="G227" s="7">
        <f t="array" ref="G227">IF(E227="",0,IFERROR(XLOOKUP(E227,Countries!$A$2:$A$72,Countries!$E$2:$E$72,0),0))</f>
        <v>0</v>
      </c>
      <c r="H227" s="7">
        <f t="array" ref="H227">IF(E227="",0,IFERROR(XLOOKUP(E227,Medals!$B$2:$B$51,Medals!$D$2:$D$51,0),0))</f>
        <v>0</v>
      </c>
      <c r="I227" s="7">
        <f t="array" ref="I227">IF(E227="",0,IFERROR(XLOOKUP(E227,Medals!$B$2:$B$51,Medals!$E$2:$E$51,0),0))</f>
        <v>0</v>
      </c>
      <c r="J227" s="7">
        <f t="array" ref="J227">IF(E227="",0,IFERROR(XLOOKUP(E227,Medals!$B$2:$B$51,Medals!$F$2:$F$51,0),0))</f>
        <v>0</v>
      </c>
      <c r="K227" s="7">
        <f>H227*GoldPoints*G227</f>
        <v>0</v>
      </c>
      <c r="L227" s="7">
        <f>I227*SilverPoints*G227</f>
        <v>0</v>
      </c>
      <c r="M227" s="7">
        <f>J227*BronzePoints*G227</f>
        <v>0</v>
      </c>
      <c r="N227" s="7">
        <f t="shared" si="1"/>
        <v>0</v>
      </c>
      <c r="O227" s="7" t="b">
        <f t="array" ref="O227">IF(E227="",FALSE,IFERROR(AND(ISNUMBER(MATCH(E227,Countries!$A$2:$A$72,0)),XLOOKUP(E227,Countries!$A$2:$A$72,Countries!$I$2:$I$72,FALSE)),FALSE))</f>
        <v>0</v>
      </c>
      <c r="P227" s="7" t="b">
        <f t="array" ref="P227">IF(E227="",FALSE,IFERROR(XLOOKUP(E227,Countries!$A$2:$A$72,Countries!$G$2:$G$72,FALSE),FALSE))</f>
        <v>0</v>
      </c>
      <c r="Q227" s="7" t="str">
        <f t="shared" si="2"/>
        <v>⚪</v>
      </c>
    </row>
    <row r="228" ht="15.75" customHeight="1">
      <c r="A228" s="7" t="str">
        <f t="array" ref="A228">IFERROR(IF(INDEX(Entries!$C$2:$C$48,29)="","",INDEX(Entries!$Q$2:$Q$48,29)),"")</f>
        <v/>
      </c>
      <c r="B228" s="7" t="str">
        <f t="array" ref="B228">IF(A228="","",IFERROR(INDEX(Entries!$E$2:$E$48,29),""))</f>
        <v/>
      </c>
      <c r="C228" s="7" t="str">
        <f>IF(A228="","","Tier2_Pick2")</f>
        <v/>
      </c>
      <c r="D228" s="7" t="str">
        <f t="shared" si="59"/>
        <v/>
      </c>
      <c r="E228" s="7" t="str">
        <f t="array" ref="E228">IF(A228="","",IFERROR(INDEX(Entries!$N$2:$N$48,29),""))</f>
        <v/>
      </c>
      <c r="F228" s="7" t="str">
        <f>IF(E228="","",IFERROR(_xludf.XLOOKUP(E228,Countries!$A$2:$A$72,Countries!$B$2:$B$72,"???"),"???"))</f>
        <v/>
      </c>
      <c r="G228" s="7">
        <f t="array" ref="G228">IF(E228="",0,IFERROR(XLOOKUP(E228,Countries!$A$2:$A$72,Countries!$E$2:$E$72,0),0))</f>
        <v>0</v>
      </c>
      <c r="H228" s="7">
        <f t="array" ref="H228">IF(E228="",0,IFERROR(XLOOKUP(E228,Medals!$B$2:$B$51,Medals!$D$2:$D$51,0),0))</f>
        <v>0</v>
      </c>
      <c r="I228" s="7">
        <f t="array" ref="I228">IF(E228="",0,IFERROR(XLOOKUP(E228,Medals!$B$2:$B$51,Medals!$E$2:$E$51,0),0))</f>
        <v>0</v>
      </c>
      <c r="J228" s="7">
        <f t="array" ref="J228">IF(E228="",0,IFERROR(XLOOKUP(E228,Medals!$B$2:$B$51,Medals!$F$2:$F$51,0),0))</f>
        <v>0</v>
      </c>
      <c r="K228" s="7">
        <f>H228*GoldPoints*G228</f>
        <v>0</v>
      </c>
      <c r="L228" s="7">
        <f>I228*SilverPoints*G228</f>
        <v>0</v>
      </c>
      <c r="M228" s="7">
        <f>J228*BronzePoints*G228</f>
        <v>0</v>
      </c>
      <c r="N228" s="7">
        <f t="shared" si="1"/>
        <v>0</v>
      </c>
      <c r="O228" s="7" t="b">
        <f t="array" ref="O228">IF(E228="",FALSE,IFERROR(AND(ISNUMBER(MATCH(E228,Countries!$A$2:$A$72,0)),XLOOKUP(E228,Countries!$A$2:$A$72,Countries!$I$2:$I$72,FALSE)),FALSE))</f>
        <v>0</v>
      </c>
      <c r="P228" s="7" t="b">
        <f t="array" ref="P228">IF(E228="",FALSE,IFERROR(XLOOKUP(E228,Countries!$A$2:$A$72,Countries!$G$2:$G$72,FALSE),FALSE))</f>
        <v>0</v>
      </c>
      <c r="Q228" s="7" t="str">
        <f t="shared" si="2"/>
        <v>⚪</v>
      </c>
    </row>
    <row r="229" ht="15.75" customHeight="1">
      <c r="A229" s="7" t="str">
        <f t="array" ref="A229">IFERROR(IF(INDEX(Entries!$C$2:$C$48,29)="","",INDEX(Entries!$Q$2:$Q$48,29)),"")</f>
        <v/>
      </c>
      <c r="B229" s="7" t="str">
        <f t="array" ref="B229">IF(A229="","",IFERROR(INDEX(Entries!$E$2:$E$48,29),""))</f>
        <v/>
      </c>
      <c r="C229" s="7" t="str">
        <f>IF(A229="","","Tier3_Pick1")</f>
        <v/>
      </c>
      <c r="D229" s="7" t="str">
        <f>IF(A229="","",3)</f>
        <v/>
      </c>
      <c r="E229" s="7" t="str">
        <f t="array" ref="E229">IF(A229="","",IFERROR(INDEX(Entries!$H$2:$H$48,29),""))</f>
        <v/>
      </c>
      <c r="F229" s="7" t="str">
        <f>IF(E229="","",IFERROR(_xludf.XLOOKUP(E229,Countries!$A$2:$A$72,Countries!$B$2:$B$72,"???"),"???"))</f>
        <v/>
      </c>
      <c r="G229" s="7">
        <f t="array" ref="G229">IF(E229="",0,IFERROR(XLOOKUP(E229,Countries!$A$2:$A$72,Countries!$E$2:$E$72,0),0))</f>
        <v>0</v>
      </c>
      <c r="H229" s="7">
        <f t="array" ref="H229">IF(E229="",0,IFERROR(XLOOKUP(E229,Medals!$B$2:$B$51,Medals!$D$2:$D$51,0),0))</f>
        <v>0</v>
      </c>
      <c r="I229" s="7">
        <f t="array" ref="I229">IF(E229="",0,IFERROR(XLOOKUP(E229,Medals!$B$2:$B$51,Medals!$E$2:$E$51,0),0))</f>
        <v>0</v>
      </c>
      <c r="J229" s="7">
        <f t="array" ref="J229">IF(E229="",0,IFERROR(XLOOKUP(E229,Medals!$B$2:$B$51,Medals!$F$2:$F$51,0),0))</f>
        <v>0</v>
      </c>
      <c r="K229" s="7">
        <f>H229*GoldPoints*G229</f>
        <v>0</v>
      </c>
      <c r="L229" s="7">
        <f>I229*SilverPoints*G229</f>
        <v>0</v>
      </c>
      <c r="M229" s="7">
        <f>J229*BronzePoints*G229</f>
        <v>0</v>
      </c>
      <c r="N229" s="7">
        <f t="shared" si="1"/>
        <v>0</v>
      </c>
      <c r="O229" s="7" t="b">
        <f t="array" ref="O229">IF(E229="",FALSE,IFERROR(AND(ISNUMBER(MATCH(E229,Countries!$A$2:$A$72,0)),XLOOKUP(E229,Countries!$A$2:$A$72,Countries!$I$2:$I$72,FALSE)),FALSE))</f>
        <v>0</v>
      </c>
      <c r="P229" s="7" t="b">
        <f t="array" ref="P229">IF(E229="",FALSE,IFERROR(XLOOKUP(E229,Countries!$A$2:$A$72,Countries!$G$2:$G$72,FALSE),FALSE))</f>
        <v>0</v>
      </c>
      <c r="Q229" s="7" t="str">
        <f t="shared" si="2"/>
        <v>⚪</v>
      </c>
    </row>
    <row r="230" ht="15.75" customHeight="1">
      <c r="A230" s="7" t="str">
        <f t="array" ref="A230">IFERROR(IF(INDEX(Entries!$C$2:$C$48,29)="","",INDEX(Entries!$Q$2:$Q$48,29)),"")</f>
        <v/>
      </c>
      <c r="B230" s="7" t="str">
        <f t="array" ref="B230">IF(A230="","",IFERROR(INDEX(Entries!$E$2:$E$48,29),""))</f>
        <v/>
      </c>
      <c r="C230" s="7" t="str">
        <f>IF(A230="","","Tier4_Pick1")</f>
        <v/>
      </c>
      <c r="D230" s="7" t="str">
        <f>IF(A230="","",4)</f>
        <v/>
      </c>
      <c r="E230" s="7" t="str">
        <f t="array" ref="E230">IF(A230="","",IFERROR(INDEX(Entries!$I$2:$I$48,29),""))</f>
        <v/>
      </c>
      <c r="F230" s="7" t="str">
        <f>IF(E230="","",IFERROR(_xludf.XLOOKUP(E230,Countries!$A$2:$A$72,Countries!$B$2:$B$72,"???"),"???"))</f>
        <v/>
      </c>
      <c r="G230" s="7">
        <f t="array" ref="G230">IF(E230="",0,IFERROR(XLOOKUP(E230,Countries!$A$2:$A$72,Countries!$E$2:$E$72,0),0))</f>
        <v>0</v>
      </c>
      <c r="H230" s="7">
        <f t="array" ref="H230">IF(E230="",0,IFERROR(XLOOKUP(E230,Medals!$B$2:$B$51,Medals!$D$2:$D$51,0),0))</f>
        <v>0</v>
      </c>
      <c r="I230" s="7">
        <f t="array" ref="I230">IF(E230="",0,IFERROR(XLOOKUP(E230,Medals!$B$2:$B$51,Medals!$E$2:$E$51,0),0))</f>
        <v>0</v>
      </c>
      <c r="J230" s="7">
        <f t="array" ref="J230">IF(E230="",0,IFERROR(XLOOKUP(E230,Medals!$B$2:$B$51,Medals!$F$2:$F$51,0),0))</f>
        <v>0</v>
      </c>
      <c r="K230" s="7">
        <f>H230*GoldPoints*G230</f>
        <v>0</v>
      </c>
      <c r="L230" s="7">
        <f>I230*SilverPoints*G230</f>
        <v>0</v>
      </c>
      <c r="M230" s="7">
        <f>J230*BronzePoints*G230</f>
        <v>0</v>
      </c>
      <c r="N230" s="7">
        <f t="shared" si="1"/>
        <v>0</v>
      </c>
      <c r="O230" s="7" t="b">
        <f t="array" ref="O230">IF(E230="",FALSE,IFERROR(AND(ISNUMBER(MATCH(E230,Countries!$A$2:$A$72,0)),XLOOKUP(E230,Countries!$A$2:$A$72,Countries!$I$2:$I$72,FALSE)),FALSE))</f>
        <v>0</v>
      </c>
      <c r="P230" s="7" t="b">
        <f t="array" ref="P230">IF(E230="",FALSE,IFERROR(XLOOKUP(E230,Countries!$A$2:$A$72,Countries!$G$2:$G$72,FALSE),FALSE))</f>
        <v>0</v>
      </c>
      <c r="Q230" s="7" t="str">
        <f t="shared" si="2"/>
        <v>⚪</v>
      </c>
    </row>
    <row r="231" ht="15.75" customHeight="1">
      <c r="A231" s="7" t="str">
        <f t="array" ref="A231">IFERROR(IF(INDEX(Entries!$C$2:$C$48,29)="","",INDEX(Entries!$Q$2:$Q$48,29)),"")</f>
        <v/>
      </c>
      <c r="B231" s="7" t="str">
        <f t="array" ref="B231">IF(A231="","",IFERROR(INDEX(Entries!$E$2:$E$48,29),""))</f>
        <v/>
      </c>
      <c r="C231" s="7" t="str">
        <f>IF(A231="","","Tier5_Pick1")</f>
        <v/>
      </c>
      <c r="D231" s="7" t="str">
        <f>IF(A231="","",5)</f>
        <v/>
      </c>
      <c r="E231" s="7" t="str">
        <f t="array" ref="E231">IF(A231="","",IFERROR(INDEX(Entries!$J$2:$J$48,29),""))</f>
        <v/>
      </c>
      <c r="F231" s="7" t="str">
        <f>IF(E231="","",IFERROR(_xludf.XLOOKUP(E231,Countries!$A$2:$A$72,Countries!$B$2:$B$72,"???"),"???"))</f>
        <v/>
      </c>
      <c r="G231" s="7">
        <f t="array" ref="G231">IF(E231="",0,IFERROR(XLOOKUP(E231,Countries!$A$2:$A$72,Countries!$E$2:$E$72,0),0))</f>
        <v>0</v>
      </c>
      <c r="H231" s="7">
        <f t="array" ref="H231">IF(E231="",0,IFERROR(XLOOKUP(E231,Medals!$B$2:$B$51,Medals!$D$2:$D$51,0),0))</f>
        <v>0</v>
      </c>
      <c r="I231" s="7">
        <f t="array" ref="I231">IF(E231="",0,IFERROR(XLOOKUP(E231,Medals!$B$2:$B$51,Medals!$E$2:$E$51,0),0))</f>
        <v>0</v>
      </c>
      <c r="J231" s="7">
        <f t="array" ref="J231">IF(E231="",0,IFERROR(XLOOKUP(E231,Medals!$B$2:$B$51,Medals!$F$2:$F$51,0),0))</f>
        <v>0</v>
      </c>
      <c r="K231" s="7">
        <f>H231*GoldPoints*G231</f>
        <v>0</v>
      </c>
      <c r="L231" s="7">
        <f>I231*SilverPoints*G231</f>
        <v>0</v>
      </c>
      <c r="M231" s="7">
        <f>J231*BronzePoints*G231</f>
        <v>0</v>
      </c>
      <c r="N231" s="7">
        <f t="shared" si="1"/>
        <v>0</v>
      </c>
      <c r="O231" s="7" t="b">
        <f t="array" ref="O231">IF(E231="",FALSE,IFERROR(AND(ISNUMBER(MATCH(E231,Countries!$A$2:$A$72,0)),XLOOKUP(E231,Countries!$A$2:$A$72,Countries!$I$2:$I$72,FALSE)),FALSE))</f>
        <v>0</v>
      </c>
      <c r="P231" s="7" t="b">
        <f t="array" ref="P231">IF(E231="",FALSE,IFERROR(XLOOKUP(E231,Countries!$A$2:$A$72,Countries!$G$2:$G$72,FALSE),FALSE))</f>
        <v>0</v>
      </c>
      <c r="Q231" s="7" t="str">
        <f t="shared" si="2"/>
        <v>⚪</v>
      </c>
    </row>
    <row r="232" ht="15.75" customHeight="1">
      <c r="A232" s="7" t="str">
        <f t="array" ref="A232">IFERROR(IF(INDEX(Entries!$C$2:$C$48,29)="","",INDEX(Entries!$Q$2:$Q$48,29)),"")</f>
        <v/>
      </c>
      <c r="B232" s="7" t="str">
        <f t="array" ref="B232">IF(A232="","",IFERROR(INDEX(Entries!$E$2:$E$48,29),""))</f>
        <v/>
      </c>
      <c r="C232" s="7" t="str">
        <f>IF(A232="","","Tier6_Pick1")</f>
        <v/>
      </c>
      <c r="D232" s="7" t="str">
        <f t="shared" ref="D232:D233" si="60">IF(A232="","",6)</f>
        <v/>
      </c>
      <c r="E232" s="7" t="str">
        <f t="array" ref="E232">IF(A232="","",IFERROR(INDEX(Entries!$O$2:$O$48,29),""))</f>
        <v/>
      </c>
      <c r="F232" s="7" t="str">
        <f>IF(E232="","",IFERROR(_xludf.XLOOKUP(E232,Countries!$A$2:$A$72,Countries!$B$2:$B$72,"???"),"???"))</f>
        <v/>
      </c>
      <c r="G232" s="7">
        <f t="array" ref="G232">IF(E232="",0,IFERROR(XLOOKUP(E232,Countries!$A$2:$A$72,Countries!$E$2:$E$72,0),0))</f>
        <v>0</v>
      </c>
      <c r="H232" s="7">
        <f t="array" ref="H232">IF(E232="",0,IFERROR(XLOOKUP(E232,Medals!$B$2:$B$51,Medals!$D$2:$D$51,0),0))</f>
        <v>0</v>
      </c>
      <c r="I232" s="7">
        <f t="array" ref="I232">IF(E232="",0,IFERROR(XLOOKUP(E232,Medals!$B$2:$B$51,Medals!$E$2:$E$51,0),0))</f>
        <v>0</v>
      </c>
      <c r="J232" s="7">
        <f t="array" ref="J232">IF(E232="",0,IFERROR(XLOOKUP(E232,Medals!$B$2:$B$51,Medals!$F$2:$F$51,0),0))</f>
        <v>0</v>
      </c>
      <c r="K232" s="7">
        <f>H232*GoldPoints*G232</f>
        <v>0</v>
      </c>
      <c r="L232" s="7">
        <f>I232*SilverPoints*G232</f>
        <v>0</v>
      </c>
      <c r="M232" s="7">
        <f>J232*BronzePoints*G232</f>
        <v>0</v>
      </c>
      <c r="N232" s="7">
        <f t="shared" si="1"/>
        <v>0</v>
      </c>
      <c r="O232" s="7" t="b">
        <f t="array" ref="O232">IF(E232="",FALSE,IFERROR(AND(ISNUMBER(MATCH(E232,Countries!$A$2:$A$72,0)),XLOOKUP(E232,Countries!$A$2:$A$72,Countries!$I$2:$I$72,FALSE)),FALSE))</f>
        <v>0</v>
      </c>
      <c r="P232" s="7" t="b">
        <f t="array" ref="P232">IF(E232="",FALSE,IFERROR(XLOOKUP(E232,Countries!$A$2:$A$72,Countries!$G$2:$G$72,FALSE),FALSE))</f>
        <v>0</v>
      </c>
      <c r="Q232" s="7" t="str">
        <f t="shared" si="2"/>
        <v>⚪</v>
      </c>
    </row>
    <row r="233" ht="15.75" customHeight="1">
      <c r="A233" s="7" t="str">
        <f t="array" ref="A233">IFERROR(IF(INDEX(Entries!$C$2:$C$48,29)="","",INDEX(Entries!$Q$2:$Q$48,29)),"")</f>
        <v/>
      </c>
      <c r="B233" s="7" t="str">
        <f t="array" ref="B233">IF(A233="","",IFERROR(INDEX(Entries!$E$2:$E$48,29),""))</f>
        <v/>
      </c>
      <c r="C233" s="7" t="str">
        <f>IF(A233="","","Tier6_Pick2")</f>
        <v/>
      </c>
      <c r="D233" s="7" t="str">
        <f t="shared" si="60"/>
        <v/>
      </c>
      <c r="E233" s="7" t="str">
        <f t="array" ref="E233">IF(A233="","",IFERROR(INDEX(Entries!$P$2:$P$48,29),""))</f>
        <v/>
      </c>
      <c r="F233" s="7" t="str">
        <f>IF(E233="","",IFERROR(_xludf.XLOOKUP(E233,Countries!$A$2:$A$72,Countries!$B$2:$B$72,"???"),"???"))</f>
        <v/>
      </c>
      <c r="G233" s="7">
        <f t="array" ref="G233">IF(E233="",0,IFERROR(XLOOKUP(E233,Countries!$A$2:$A$72,Countries!$E$2:$E$72,0),0))</f>
        <v>0</v>
      </c>
      <c r="H233" s="7">
        <f t="array" ref="H233">IF(E233="",0,IFERROR(XLOOKUP(E233,Medals!$B$2:$B$51,Medals!$D$2:$D$51,0),0))</f>
        <v>0</v>
      </c>
      <c r="I233" s="7">
        <f t="array" ref="I233">IF(E233="",0,IFERROR(XLOOKUP(E233,Medals!$B$2:$B$51,Medals!$E$2:$E$51,0),0))</f>
        <v>0</v>
      </c>
      <c r="J233" s="7">
        <f t="array" ref="J233">IF(E233="",0,IFERROR(XLOOKUP(E233,Medals!$B$2:$B$51,Medals!$F$2:$F$51,0),0))</f>
        <v>0</v>
      </c>
      <c r="K233" s="7">
        <f>H233*GoldPoints*G233</f>
        <v>0</v>
      </c>
      <c r="L233" s="7">
        <f>I233*SilverPoints*G233</f>
        <v>0</v>
      </c>
      <c r="M233" s="7">
        <f>J233*BronzePoints*G233</f>
        <v>0</v>
      </c>
      <c r="N233" s="7">
        <f t="shared" si="1"/>
        <v>0</v>
      </c>
      <c r="O233" s="7" t="b">
        <f t="array" ref="O233">IF(E233="",FALSE,IFERROR(AND(ISNUMBER(MATCH(E233,Countries!$A$2:$A$72,0)),XLOOKUP(E233,Countries!$A$2:$A$72,Countries!$I$2:$I$72,FALSE)),FALSE))</f>
        <v>0</v>
      </c>
      <c r="P233" s="7" t="b">
        <f t="array" ref="P233">IF(E233="",FALSE,IFERROR(XLOOKUP(E233,Countries!$A$2:$A$72,Countries!$G$2:$G$72,FALSE),FALSE))</f>
        <v>0</v>
      </c>
      <c r="Q233" s="7" t="str">
        <f t="shared" si="2"/>
        <v>⚪</v>
      </c>
    </row>
    <row r="234" ht="15.75" customHeight="1">
      <c r="A234" s="7" t="str">
        <f t="array" ref="A234">IFERROR(IF(INDEX(Entries!$C$2:$C$48,30)="","",INDEX(Entries!$Q$2:$Q$48,30)),"")</f>
        <v/>
      </c>
      <c r="B234" s="7" t="str">
        <f t="array" ref="B234">IF(A234="","",IFERROR(INDEX(Entries!$E$2:$E$48,30),""))</f>
        <v/>
      </c>
      <c r="C234" s="7" t="str">
        <f>IF(A234="","","Tier1_Pick1")</f>
        <v/>
      </c>
      <c r="D234" s="7" t="str">
        <f>IF(A234="","",1)</f>
        <v/>
      </c>
      <c r="E234" s="7" t="str">
        <f t="array" ref="E234">IF(A234="","",IFERROR(INDEX(Entries!$F$2:$F$48,30),""))</f>
        <v/>
      </c>
      <c r="F234" s="7" t="str">
        <f>IF(E234="","",IFERROR(_xludf.XLOOKUP(E234,Countries!$A$2:$A$72,Countries!$B$2:$B$72,"???"),"???"))</f>
        <v/>
      </c>
      <c r="G234" s="7">
        <f t="array" ref="G234">IF(E234="",0,IFERROR(XLOOKUP(E234,Countries!$A$2:$A$72,Countries!$E$2:$E$72,0),0))</f>
        <v>0</v>
      </c>
      <c r="H234" s="7">
        <f t="array" ref="H234">IF(E234="",0,IFERROR(XLOOKUP(E234,Medals!$B$2:$B$51,Medals!$D$2:$D$51,0),0))</f>
        <v>0</v>
      </c>
      <c r="I234" s="7">
        <f t="array" ref="I234">IF(E234="",0,IFERROR(XLOOKUP(E234,Medals!$B$2:$B$51,Medals!$E$2:$E$51,0),0))</f>
        <v>0</v>
      </c>
      <c r="J234" s="7">
        <f t="array" ref="J234">IF(E234="",0,IFERROR(XLOOKUP(E234,Medals!$B$2:$B$51,Medals!$F$2:$F$51,0),0))</f>
        <v>0</v>
      </c>
      <c r="K234" s="7">
        <f>H234*GoldPoints*G234</f>
        <v>0</v>
      </c>
      <c r="L234" s="7">
        <f>I234*SilverPoints*G234</f>
        <v>0</v>
      </c>
      <c r="M234" s="7">
        <f>J234*BronzePoints*G234</f>
        <v>0</v>
      </c>
      <c r="N234" s="7">
        <f t="shared" si="1"/>
        <v>0</v>
      </c>
      <c r="O234" s="7" t="b">
        <f t="array" ref="O234">IF(E234="",FALSE,IFERROR(AND(ISNUMBER(MATCH(E234,Countries!$A$2:$A$72,0)),XLOOKUP(E234,Countries!$A$2:$A$72,Countries!$I$2:$I$72,FALSE)),FALSE))</f>
        <v>0</v>
      </c>
      <c r="P234" s="7" t="b">
        <f t="array" ref="P234">IF(E234="",FALSE,IFERROR(XLOOKUP(E234,Countries!$A$2:$A$72,Countries!$G$2:$G$72,FALSE),FALSE))</f>
        <v>0</v>
      </c>
      <c r="Q234" s="7" t="str">
        <f t="shared" si="2"/>
        <v>⚪</v>
      </c>
    </row>
    <row r="235" ht="15.75" customHeight="1">
      <c r="A235" s="7" t="str">
        <f t="array" ref="A235">IFERROR(IF(INDEX(Entries!$C$2:$C$48,30)="","",INDEX(Entries!$Q$2:$Q$48,30)),"")</f>
        <v/>
      </c>
      <c r="B235" s="7" t="str">
        <f t="array" ref="B235">IF(A235="","",IFERROR(INDEX(Entries!$E$2:$E$48,30),""))</f>
        <v/>
      </c>
      <c r="C235" s="7" t="str">
        <f>IF(A235="","","Tier2_Pick1")</f>
        <v/>
      </c>
      <c r="D235" s="7" t="str">
        <f t="shared" ref="D235:D236" si="61">IF(A235="","",2)</f>
        <v/>
      </c>
      <c r="E235" s="7" t="str">
        <f t="array" ref="E235">IF(A235="","",IFERROR(INDEX(Entries!$M$2:$M$48,30),""))</f>
        <v/>
      </c>
      <c r="F235" s="7" t="str">
        <f>IF(E235="","",IFERROR(_xludf.XLOOKUP(E235,Countries!$A$2:$A$72,Countries!$B$2:$B$72,"???"),"???"))</f>
        <v/>
      </c>
      <c r="G235" s="7">
        <f t="array" ref="G235">IF(E235="",0,IFERROR(XLOOKUP(E235,Countries!$A$2:$A$72,Countries!$E$2:$E$72,0),0))</f>
        <v>0</v>
      </c>
      <c r="H235" s="7">
        <f t="array" ref="H235">IF(E235="",0,IFERROR(XLOOKUP(E235,Medals!$B$2:$B$51,Medals!$D$2:$D$51,0),0))</f>
        <v>0</v>
      </c>
      <c r="I235" s="7">
        <f t="array" ref="I235">IF(E235="",0,IFERROR(XLOOKUP(E235,Medals!$B$2:$B$51,Medals!$E$2:$E$51,0),0))</f>
        <v>0</v>
      </c>
      <c r="J235" s="7">
        <f t="array" ref="J235">IF(E235="",0,IFERROR(XLOOKUP(E235,Medals!$B$2:$B$51,Medals!$F$2:$F$51,0),0))</f>
        <v>0</v>
      </c>
      <c r="K235" s="7">
        <f>H235*GoldPoints*G235</f>
        <v>0</v>
      </c>
      <c r="L235" s="7">
        <f>I235*SilverPoints*G235</f>
        <v>0</v>
      </c>
      <c r="M235" s="7">
        <f>J235*BronzePoints*G235</f>
        <v>0</v>
      </c>
      <c r="N235" s="7">
        <f t="shared" si="1"/>
        <v>0</v>
      </c>
      <c r="O235" s="7" t="b">
        <f t="array" ref="O235">IF(E235="",FALSE,IFERROR(AND(ISNUMBER(MATCH(E235,Countries!$A$2:$A$72,0)),XLOOKUP(E235,Countries!$A$2:$A$72,Countries!$I$2:$I$72,FALSE)),FALSE))</f>
        <v>0</v>
      </c>
      <c r="P235" s="7" t="b">
        <f t="array" ref="P235">IF(E235="",FALSE,IFERROR(XLOOKUP(E235,Countries!$A$2:$A$72,Countries!$G$2:$G$72,FALSE),FALSE))</f>
        <v>0</v>
      </c>
      <c r="Q235" s="7" t="str">
        <f t="shared" si="2"/>
        <v>⚪</v>
      </c>
    </row>
    <row r="236" ht="15.75" customHeight="1">
      <c r="A236" s="7" t="str">
        <f t="array" ref="A236">IFERROR(IF(INDEX(Entries!$C$2:$C$48,30)="","",INDEX(Entries!$Q$2:$Q$48,30)),"")</f>
        <v/>
      </c>
      <c r="B236" s="7" t="str">
        <f t="array" ref="B236">IF(A236="","",IFERROR(INDEX(Entries!$E$2:$E$48,30),""))</f>
        <v/>
      </c>
      <c r="C236" s="7" t="str">
        <f>IF(A236="","","Tier2_Pick2")</f>
        <v/>
      </c>
      <c r="D236" s="7" t="str">
        <f t="shared" si="61"/>
        <v/>
      </c>
      <c r="E236" s="7" t="str">
        <f t="array" ref="E236">IF(A236="","",IFERROR(INDEX(Entries!$N$2:$N$48,30),""))</f>
        <v/>
      </c>
      <c r="F236" s="7" t="str">
        <f>IF(E236="","",IFERROR(_xludf.XLOOKUP(E236,Countries!$A$2:$A$72,Countries!$B$2:$B$72,"???"),"???"))</f>
        <v/>
      </c>
      <c r="G236" s="7">
        <f t="array" ref="G236">IF(E236="",0,IFERROR(XLOOKUP(E236,Countries!$A$2:$A$72,Countries!$E$2:$E$72,0),0))</f>
        <v>0</v>
      </c>
      <c r="H236" s="7">
        <f t="array" ref="H236">IF(E236="",0,IFERROR(XLOOKUP(E236,Medals!$B$2:$B$51,Medals!$D$2:$D$51,0),0))</f>
        <v>0</v>
      </c>
      <c r="I236" s="7">
        <f t="array" ref="I236">IF(E236="",0,IFERROR(XLOOKUP(E236,Medals!$B$2:$B$51,Medals!$E$2:$E$51,0),0))</f>
        <v>0</v>
      </c>
      <c r="J236" s="7">
        <f t="array" ref="J236">IF(E236="",0,IFERROR(XLOOKUP(E236,Medals!$B$2:$B$51,Medals!$F$2:$F$51,0),0))</f>
        <v>0</v>
      </c>
      <c r="K236" s="7">
        <f>H236*GoldPoints*G236</f>
        <v>0</v>
      </c>
      <c r="L236" s="7">
        <f>I236*SilverPoints*G236</f>
        <v>0</v>
      </c>
      <c r="M236" s="7">
        <f>J236*BronzePoints*G236</f>
        <v>0</v>
      </c>
      <c r="N236" s="7">
        <f t="shared" si="1"/>
        <v>0</v>
      </c>
      <c r="O236" s="7" t="b">
        <f t="array" ref="O236">IF(E236="",FALSE,IFERROR(AND(ISNUMBER(MATCH(E236,Countries!$A$2:$A$72,0)),XLOOKUP(E236,Countries!$A$2:$A$72,Countries!$I$2:$I$72,FALSE)),FALSE))</f>
        <v>0</v>
      </c>
      <c r="P236" s="7" t="b">
        <f t="array" ref="P236">IF(E236="",FALSE,IFERROR(XLOOKUP(E236,Countries!$A$2:$A$72,Countries!$G$2:$G$72,FALSE),FALSE))</f>
        <v>0</v>
      </c>
      <c r="Q236" s="7" t="str">
        <f t="shared" si="2"/>
        <v>⚪</v>
      </c>
    </row>
    <row r="237" ht="15.75" customHeight="1">
      <c r="A237" s="7" t="str">
        <f t="array" ref="A237">IFERROR(IF(INDEX(Entries!$C$2:$C$48,30)="","",INDEX(Entries!$Q$2:$Q$48,30)),"")</f>
        <v/>
      </c>
      <c r="B237" s="7" t="str">
        <f t="array" ref="B237">IF(A237="","",IFERROR(INDEX(Entries!$E$2:$E$48,30),""))</f>
        <v/>
      </c>
      <c r="C237" s="7" t="str">
        <f>IF(A237="","","Tier3_Pick1")</f>
        <v/>
      </c>
      <c r="D237" s="7" t="str">
        <f>IF(A237="","",3)</f>
        <v/>
      </c>
      <c r="E237" s="7" t="str">
        <f t="array" ref="E237">IF(A237="","",IFERROR(INDEX(Entries!$H$2:$H$48,30),""))</f>
        <v/>
      </c>
      <c r="F237" s="7" t="str">
        <f>IF(E237="","",IFERROR(_xludf.XLOOKUP(E237,Countries!$A$2:$A$72,Countries!$B$2:$B$72,"???"),"???"))</f>
        <v/>
      </c>
      <c r="G237" s="7">
        <f t="array" ref="G237">IF(E237="",0,IFERROR(XLOOKUP(E237,Countries!$A$2:$A$72,Countries!$E$2:$E$72,0),0))</f>
        <v>0</v>
      </c>
      <c r="H237" s="7">
        <f t="array" ref="H237">IF(E237="",0,IFERROR(XLOOKUP(E237,Medals!$B$2:$B$51,Medals!$D$2:$D$51,0),0))</f>
        <v>0</v>
      </c>
      <c r="I237" s="7">
        <f t="array" ref="I237">IF(E237="",0,IFERROR(XLOOKUP(E237,Medals!$B$2:$B$51,Medals!$E$2:$E$51,0),0))</f>
        <v>0</v>
      </c>
      <c r="J237" s="7">
        <f t="array" ref="J237">IF(E237="",0,IFERROR(XLOOKUP(E237,Medals!$B$2:$B$51,Medals!$F$2:$F$51,0),0))</f>
        <v>0</v>
      </c>
      <c r="K237" s="7">
        <f>H237*GoldPoints*G237</f>
        <v>0</v>
      </c>
      <c r="L237" s="7">
        <f>I237*SilverPoints*G237</f>
        <v>0</v>
      </c>
      <c r="M237" s="7">
        <f>J237*BronzePoints*G237</f>
        <v>0</v>
      </c>
      <c r="N237" s="7">
        <f t="shared" si="1"/>
        <v>0</v>
      </c>
      <c r="O237" s="7" t="b">
        <f t="array" ref="O237">IF(E237="",FALSE,IFERROR(AND(ISNUMBER(MATCH(E237,Countries!$A$2:$A$72,0)),XLOOKUP(E237,Countries!$A$2:$A$72,Countries!$I$2:$I$72,FALSE)),FALSE))</f>
        <v>0</v>
      </c>
      <c r="P237" s="7" t="b">
        <f t="array" ref="P237">IF(E237="",FALSE,IFERROR(XLOOKUP(E237,Countries!$A$2:$A$72,Countries!$G$2:$G$72,FALSE),FALSE))</f>
        <v>0</v>
      </c>
      <c r="Q237" s="7" t="str">
        <f t="shared" si="2"/>
        <v>⚪</v>
      </c>
    </row>
    <row r="238" ht="15.75" customHeight="1">
      <c r="A238" s="7" t="str">
        <f t="array" ref="A238">IFERROR(IF(INDEX(Entries!$C$2:$C$48,30)="","",INDEX(Entries!$Q$2:$Q$48,30)),"")</f>
        <v/>
      </c>
      <c r="B238" s="7" t="str">
        <f t="array" ref="B238">IF(A238="","",IFERROR(INDEX(Entries!$E$2:$E$48,30),""))</f>
        <v/>
      </c>
      <c r="C238" s="7" t="str">
        <f>IF(A238="","","Tier4_Pick1")</f>
        <v/>
      </c>
      <c r="D238" s="7" t="str">
        <f>IF(A238="","",4)</f>
        <v/>
      </c>
      <c r="E238" s="7" t="str">
        <f t="array" ref="E238">IF(A238="","",IFERROR(INDEX(Entries!$I$2:$I$48,30),""))</f>
        <v/>
      </c>
      <c r="F238" s="7" t="str">
        <f>IF(E238="","",IFERROR(_xludf.XLOOKUP(E238,Countries!$A$2:$A$72,Countries!$B$2:$B$72,"???"),"???"))</f>
        <v/>
      </c>
      <c r="G238" s="7">
        <f t="array" ref="G238">IF(E238="",0,IFERROR(XLOOKUP(E238,Countries!$A$2:$A$72,Countries!$E$2:$E$72,0),0))</f>
        <v>0</v>
      </c>
      <c r="H238" s="7">
        <f t="array" ref="H238">IF(E238="",0,IFERROR(XLOOKUP(E238,Medals!$B$2:$B$51,Medals!$D$2:$D$51,0),0))</f>
        <v>0</v>
      </c>
      <c r="I238" s="7">
        <f t="array" ref="I238">IF(E238="",0,IFERROR(XLOOKUP(E238,Medals!$B$2:$B$51,Medals!$E$2:$E$51,0),0))</f>
        <v>0</v>
      </c>
      <c r="J238" s="7">
        <f t="array" ref="J238">IF(E238="",0,IFERROR(XLOOKUP(E238,Medals!$B$2:$B$51,Medals!$F$2:$F$51,0),0))</f>
        <v>0</v>
      </c>
      <c r="K238" s="7">
        <f>H238*GoldPoints*G238</f>
        <v>0</v>
      </c>
      <c r="L238" s="7">
        <f>I238*SilverPoints*G238</f>
        <v>0</v>
      </c>
      <c r="M238" s="7">
        <f>J238*BronzePoints*G238</f>
        <v>0</v>
      </c>
      <c r="N238" s="7">
        <f t="shared" si="1"/>
        <v>0</v>
      </c>
      <c r="O238" s="7" t="b">
        <f t="array" ref="O238">IF(E238="",FALSE,IFERROR(AND(ISNUMBER(MATCH(E238,Countries!$A$2:$A$72,0)),XLOOKUP(E238,Countries!$A$2:$A$72,Countries!$I$2:$I$72,FALSE)),FALSE))</f>
        <v>0</v>
      </c>
      <c r="P238" s="7" t="b">
        <f t="array" ref="P238">IF(E238="",FALSE,IFERROR(XLOOKUP(E238,Countries!$A$2:$A$72,Countries!$G$2:$G$72,FALSE),FALSE))</f>
        <v>0</v>
      </c>
      <c r="Q238" s="7" t="str">
        <f t="shared" si="2"/>
        <v>⚪</v>
      </c>
    </row>
    <row r="239" ht="15.75" customHeight="1">
      <c r="A239" s="7" t="str">
        <f t="array" ref="A239">IFERROR(IF(INDEX(Entries!$C$2:$C$48,30)="","",INDEX(Entries!$Q$2:$Q$48,30)),"")</f>
        <v/>
      </c>
      <c r="B239" s="7" t="str">
        <f t="array" ref="B239">IF(A239="","",IFERROR(INDEX(Entries!$E$2:$E$48,30),""))</f>
        <v/>
      </c>
      <c r="C239" s="7" t="str">
        <f>IF(A239="","","Tier5_Pick1")</f>
        <v/>
      </c>
      <c r="D239" s="7" t="str">
        <f>IF(A239="","",5)</f>
        <v/>
      </c>
      <c r="E239" s="7" t="str">
        <f t="array" ref="E239">IF(A239="","",IFERROR(INDEX(Entries!$J$2:$J$48,30),""))</f>
        <v/>
      </c>
      <c r="F239" s="7" t="str">
        <f>IF(E239="","",IFERROR(_xludf.XLOOKUP(E239,Countries!$A$2:$A$72,Countries!$B$2:$B$72,"???"),"???"))</f>
        <v/>
      </c>
      <c r="G239" s="7">
        <f t="array" ref="G239">IF(E239="",0,IFERROR(XLOOKUP(E239,Countries!$A$2:$A$72,Countries!$E$2:$E$72,0),0))</f>
        <v>0</v>
      </c>
      <c r="H239" s="7">
        <f t="array" ref="H239">IF(E239="",0,IFERROR(XLOOKUP(E239,Medals!$B$2:$B$51,Medals!$D$2:$D$51,0),0))</f>
        <v>0</v>
      </c>
      <c r="I239" s="7">
        <f t="array" ref="I239">IF(E239="",0,IFERROR(XLOOKUP(E239,Medals!$B$2:$B$51,Medals!$E$2:$E$51,0),0))</f>
        <v>0</v>
      </c>
      <c r="J239" s="7">
        <f t="array" ref="J239">IF(E239="",0,IFERROR(XLOOKUP(E239,Medals!$B$2:$B$51,Medals!$F$2:$F$51,0),0))</f>
        <v>0</v>
      </c>
      <c r="K239" s="7">
        <f>H239*GoldPoints*G239</f>
        <v>0</v>
      </c>
      <c r="L239" s="7">
        <f>I239*SilverPoints*G239</f>
        <v>0</v>
      </c>
      <c r="M239" s="7">
        <f>J239*BronzePoints*G239</f>
        <v>0</v>
      </c>
      <c r="N239" s="7">
        <f t="shared" si="1"/>
        <v>0</v>
      </c>
      <c r="O239" s="7" t="b">
        <f t="array" ref="O239">IF(E239="",FALSE,IFERROR(AND(ISNUMBER(MATCH(E239,Countries!$A$2:$A$72,0)),XLOOKUP(E239,Countries!$A$2:$A$72,Countries!$I$2:$I$72,FALSE)),FALSE))</f>
        <v>0</v>
      </c>
      <c r="P239" s="7" t="b">
        <f t="array" ref="P239">IF(E239="",FALSE,IFERROR(XLOOKUP(E239,Countries!$A$2:$A$72,Countries!$G$2:$G$72,FALSE),FALSE))</f>
        <v>0</v>
      </c>
      <c r="Q239" s="7" t="str">
        <f t="shared" si="2"/>
        <v>⚪</v>
      </c>
    </row>
    <row r="240" ht="15.75" customHeight="1">
      <c r="A240" s="7" t="str">
        <f t="array" ref="A240">IFERROR(IF(INDEX(Entries!$C$2:$C$48,30)="","",INDEX(Entries!$Q$2:$Q$48,30)),"")</f>
        <v/>
      </c>
      <c r="B240" s="7" t="str">
        <f t="array" ref="B240">IF(A240="","",IFERROR(INDEX(Entries!$E$2:$E$48,30),""))</f>
        <v/>
      </c>
      <c r="C240" s="7" t="str">
        <f>IF(A240="","","Tier6_Pick1")</f>
        <v/>
      </c>
      <c r="D240" s="7" t="str">
        <f t="shared" ref="D240:D241" si="62">IF(A240="","",6)</f>
        <v/>
      </c>
      <c r="E240" s="7" t="str">
        <f t="array" ref="E240">IF(A240="","",IFERROR(INDEX(Entries!$O$2:$O$48,30),""))</f>
        <v/>
      </c>
      <c r="F240" s="7" t="str">
        <f>IF(E240="","",IFERROR(_xludf.XLOOKUP(E240,Countries!$A$2:$A$72,Countries!$B$2:$B$72,"???"),"???"))</f>
        <v/>
      </c>
      <c r="G240" s="7">
        <f t="array" ref="G240">IF(E240="",0,IFERROR(XLOOKUP(E240,Countries!$A$2:$A$72,Countries!$E$2:$E$72,0),0))</f>
        <v>0</v>
      </c>
      <c r="H240" s="7">
        <f t="array" ref="H240">IF(E240="",0,IFERROR(XLOOKUP(E240,Medals!$B$2:$B$51,Medals!$D$2:$D$51,0),0))</f>
        <v>0</v>
      </c>
      <c r="I240" s="7">
        <f t="array" ref="I240">IF(E240="",0,IFERROR(XLOOKUP(E240,Medals!$B$2:$B$51,Medals!$E$2:$E$51,0),0))</f>
        <v>0</v>
      </c>
      <c r="J240" s="7">
        <f t="array" ref="J240">IF(E240="",0,IFERROR(XLOOKUP(E240,Medals!$B$2:$B$51,Medals!$F$2:$F$51,0),0))</f>
        <v>0</v>
      </c>
      <c r="K240" s="7">
        <f>H240*GoldPoints*G240</f>
        <v>0</v>
      </c>
      <c r="L240" s="7">
        <f>I240*SilverPoints*G240</f>
        <v>0</v>
      </c>
      <c r="M240" s="7">
        <f>J240*BronzePoints*G240</f>
        <v>0</v>
      </c>
      <c r="N240" s="7">
        <f t="shared" si="1"/>
        <v>0</v>
      </c>
      <c r="O240" s="7" t="b">
        <f t="array" ref="O240">IF(E240="",FALSE,IFERROR(AND(ISNUMBER(MATCH(E240,Countries!$A$2:$A$72,0)),XLOOKUP(E240,Countries!$A$2:$A$72,Countries!$I$2:$I$72,FALSE)),FALSE))</f>
        <v>0</v>
      </c>
      <c r="P240" s="7" t="b">
        <f t="array" ref="P240">IF(E240="",FALSE,IFERROR(XLOOKUP(E240,Countries!$A$2:$A$72,Countries!$G$2:$G$72,FALSE),FALSE))</f>
        <v>0</v>
      </c>
      <c r="Q240" s="7" t="str">
        <f t="shared" si="2"/>
        <v>⚪</v>
      </c>
    </row>
    <row r="241" ht="15.75" customHeight="1">
      <c r="A241" s="7" t="str">
        <f t="array" ref="A241">IFERROR(IF(INDEX(Entries!$C$2:$C$48,30)="","",INDEX(Entries!$Q$2:$Q$48,30)),"")</f>
        <v/>
      </c>
      <c r="B241" s="7" t="str">
        <f t="array" ref="B241">IF(A241="","",IFERROR(INDEX(Entries!$E$2:$E$48,30),""))</f>
        <v/>
      </c>
      <c r="C241" s="7" t="str">
        <f>IF(A241="","","Tier6_Pick2")</f>
        <v/>
      </c>
      <c r="D241" s="7" t="str">
        <f t="shared" si="62"/>
        <v/>
      </c>
      <c r="E241" s="7" t="str">
        <f t="array" ref="E241">IF(A241="","",IFERROR(INDEX(Entries!$P$2:$P$48,30),""))</f>
        <v/>
      </c>
      <c r="F241" s="7" t="str">
        <f>IF(E241="","",IFERROR(_xludf.XLOOKUP(E241,Countries!$A$2:$A$72,Countries!$B$2:$B$72,"???"),"???"))</f>
        <v/>
      </c>
      <c r="G241" s="7">
        <f t="array" ref="G241">IF(E241="",0,IFERROR(XLOOKUP(E241,Countries!$A$2:$A$72,Countries!$E$2:$E$72,0),0))</f>
        <v>0</v>
      </c>
      <c r="H241" s="7">
        <f t="array" ref="H241">IF(E241="",0,IFERROR(XLOOKUP(E241,Medals!$B$2:$B$51,Medals!$D$2:$D$51,0),0))</f>
        <v>0</v>
      </c>
      <c r="I241" s="7">
        <f t="array" ref="I241">IF(E241="",0,IFERROR(XLOOKUP(E241,Medals!$B$2:$B$51,Medals!$E$2:$E$51,0),0))</f>
        <v>0</v>
      </c>
      <c r="J241" s="7">
        <f t="array" ref="J241">IF(E241="",0,IFERROR(XLOOKUP(E241,Medals!$B$2:$B$51,Medals!$F$2:$F$51,0),0))</f>
        <v>0</v>
      </c>
      <c r="K241" s="7">
        <f>H241*GoldPoints*G241</f>
        <v>0</v>
      </c>
      <c r="L241" s="7">
        <f>I241*SilverPoints*G241</f>
        <v>0</v>
      </c>
      <c r="M241" s="7">
        <f>J241*BronzePoints*G241</f>
        <v>0</v>
      </c>
      <c r="N241" s="7">
        <f t="shared" si="1"/>
        <v>0</v>
      </c>
      <c r="O241" s="7" t="b">
        <f t="array" ref="O241">IF(E241="",FALSE,IFERROR(AND(ISNUMBER(MATCH(E241,Countries!$A$2:$A$72,0)),XLOOKUP(E241,Countries!$A$2:$A$72,Countries!$I$2:$I$72,FALSE)),FALSE))</f>
        <v>0</v>
      </c>
      <c r="P241" s="7" t="b">
        <f t="array" ref="P241">IF(E241="",FALSE,IFERROR(XLOOKUP(E241,Countries!$A$2:$A$72,Countries!$G$2:$G$72,FALSE),FALSE))</f>
        <v>0</v>
      </c>
      <c r="Q241" s="7" t="str">
        <f t="shared" si="2"/>
        <v>⚪</v>
      </c>
    </row>
    <row r="242" ht="15.75" customHeight="1">
      <c r="A242" s="7" t="str">
        <f t="array" ref="A242">IFERROR(IF(INDEX(Entries!$C$2:$C$48,31)="","",INDEX(Entries!$Q$2:$Q$48,31)),"")</f>
        <v/>
      </c>
      <c r="B242" s="7" t="str">
        <f t="array" ref="B242">IF(A242="","",IFERROR(INDEX(Entries!$E$2:$E$48,31),""))</f>
        <v/>
      </c>
      <c r="C242" s="7" t="str">
        <f>IF(A242="","","Tier1_Pick1")</f>
        <v/>
      </c>
      <c r="D242" s="7" t="str">
        <f>IF(A242="","",1)</f>
        <v/>
      </c>
      <c r="E242" s="7" t="str">
        <f t="array" ref="E242">IF(A242="","",IFERROR(INDEX(Entries!$F$2:$F$48,31),""))</f>
        <v/>
      </c>
      <c r="F242" s="7" t="str">
        <f>IF(E242="","",IFERROR(_xludf.XLOOKUP(E242,Countries!$A$2:$A$72,Countries!$B$2:$B$72,"???"),"???"))</f>
        <v/>
      </c>
      <c r="G242" s="7">
        <f t="array" ref="G242">IF(E242="",0,IFERROR(XLOOKUP(E242,Countries!$A$2:$A$72,Countries!$E$2:$E$72,0),0))</f>
        <v>0</v>
      </c>
      <c r="H242" s="7">
        <f t="array" ref="H242">IF(E242="",0,IFERROR(XLOOKUP(E242,Medals!$B$2:$B$51,Medals!$D$2:$D$51,0),0))</f>
        <v>0</v>
      </c>
      <c r="I242" s="7">
        <f t="array" ref="I242">IF(E242="",0,IFERROR(XLOOKUP(E242,Medals!$B$2:$B$51,Medals!$E$2:$E$51,0),0))</f>
        <v>0</v>
      </c>
      <c r="J242" s="7">
        <f t="array" ref="J242">IF(E242="",0,IFERROR(XLOOKUP(E242,Medals!$B$2:$B$51,Medals!$F$2:$F$51,0),0))</f>
        <v>0</v>
      </c>
      <c r="K242" s="7">
        <f>H242*GoldPoints*G242</f>
        <v>0</v>
      </c>
      <c r="L242" s="7">
        <f>I242*SilverPoints*G242</f>
        <v>0</v>
      </c>
      <c r="M242" s="7">
        <f>J242*BronzePoints*G242</f>
        <v>0</v>
      </c>
      <c r="N242" s="7">
        <f t="shared" si="1"/>
        <v>0</v>
      </c>
      <c r="O242" s="7" t="b">
        <f t="array" ref="O242">IF(E242="",FALSE,IFERROR(AND(ISNUMBER(MATCH(E242,Countries!$A$2:$A$72,0)),XLOOKUP(E242,Countries!$A$2:$A$72,Countries!$I$2:$I$72,FALSE)),FALSE))</f>
        <v>0</v>
      </c>
      <c r="P242" s="7" t="b">
        <f t="array" ref="P242">IF(E242="",FALSE,IFERROR(XLOOKUP(E242,Countries!$A$2:$A$72,Countries!$G$2:$G$72,FALSE),FALSE))</f>
        <v>0</v>
      </c>
      <c r="Q242" s="7" t="str">
        <f t="shared" si="2"/>
        <v>⚪</v>
      </c>
    </row>
    <row r="243" ht="15.75" customHeight="1">
      <c r="A243" s="7" t="str">
        <f t="array" ref="A243">IFERROR(IF(INDEX(Entries!$C$2:$C$48,31)="","",INDEX(Entries!$Q$2:$Q$48,31)),"")</f>
        <v/>
      </c>
      <c r="B243" s="7" t="str">
        <f t="array" ref="B243">IF(A243="","",IFERROR(INDEX(Entries!$E$2:$E$48,31),""))</f>
        <v/>
      </c>
      <c r="C243" s="7" t="str">
        <f>IF(A243="","","Tier2_Pick1")</f>
        <v/>
      </c>
      <c r="D243" s="7" t="str">
        <f t="shared" ref="D243:D244" si="63">IF(A243="","",2)</f>
        <v/>
      </c>
      <c r="E243" s="7" t="str">
        <f t="array" ref="E243">IF(A243="","",IFERROR(INDEX(Entries!$M$2:$M$48,31),""))</f>
        <v/>
      </c>
      <c r="F243" s="7" t="str">
        <f>IF(E243="","",IFERROR(_xludf.XLOOKUP(E243,Countries!$A$2:$A$72,Countries!$B$2:$B$72,"???"),"???"))</f>
        <v/>
      </c>
      <c r="G243" s="7">
        <f t="array" ref="G243">IF(E243="",0,IFERROR(XLOOKUP(E243,Countries!$A$2:$A$72,Countries!$E$2:$E$72,0),0))</f>
        <v>0</v>
      </c>
      <c r="H243" s="7">
        <f t="array" ref="H243">IF(E243="",0,IFERROR(XLOOKUP(E243,Medals!$B$2:$B$51,Medals!$D$2:$D$51,0),0))</f>
        <v>0</v>
      </c>
      <c r="I243" s="7">
        <f t="array" ref="I243">IF(E243="",0,IFERROR(XLOOKUP(E243,Medals!$B$2:$B$51,Medals!$E$2:$E$51,0),0))</f>
        <v>0</v>
      </c>
      <c r="J243" s="7">
        <f t="array" ref="J243">IF(E243="",0,IFERROR(XLOOKUP(E243,Medals!$B$2:$B$51,Medals!$F$2:$F$51,0),0))</f>
        <v>0</v>
      </c>
      <c r="K243" s="7">
        <f>H243*GoldPoints*G243</f>
        <v>0</v>
      </c>
      <c r="L243" s="7">
        <f>I243*SilverPoints*G243</f>
        <v>0</v>
      </c>
      <c r="M243" s="7">
        <f>J243*BronzePoints*G243</f>
        <v>0</v>
      </c>
      <c r="N243" s="7">
        <f t="shared" si="1"/>
        <v>0</v>
      </c>
      <c r="O243" s="7" t="b">
        <f t="array" ref="O243">IF(E243="",FALSE,IFERROR(AND(ISNUMBER(MATCH(E243,Countries!$A$2:$A$72,0)),XLOOKUP(E243,Countries!$A$2:$A$72,Countries!$I$2:$I$72,FALSE)),FALSE))</f>
        <v>0</v>
      </c>
      <c r="P243" s="7" t="b">
        <f t="array" ref="P243">IF(E243="",FALSE,IFERROR(XLOOKUP(E243,Countries!$A$2:$A$72,Countries!$G$2:$G$72,FALSE),FALSE))</f>
        <v>0</v>
      </c>
      <c r="Q243" s="7" t="str">
        <f t="shared" si="2"/>
        <v>⚪</v>
      </c>
    </row>
    <row r="244" ht="15.75" customHeight="1">
      <c r="A244" s="7" t="str">
        <f t="array" ref="A244">IFERROR(IF(INDEX(Entries!$C$2:$C$48,31)="","",INDEX(Entries!$Q$2:$Q$48,31)),"")</f>
        <v/>
      </c>
      <c r="B244" s="7" t="str">
        <f t="array" ref="B244">IF(A244="","",IFERROR(INDEX(Entries!$E$2:$E$48,31),""))</f>
        <v/>
      </c>
      <c r="C244" s="7" t="str">
        <f>IF(A244="","","Tier2_Pick2")</f>
        <v/>
      </c>
      <c r="D244" s="7" t="str">
        <f t="shared" si="63"/>
        <v/>
      </c>
      <c r="E244" s="7" t="str">
        <f t="array" ref="E244">IF(A244="","",IFERROR(INDEX(Entries!$N$2:$N$48,31),""))</f>
        <v/>
      </c>
      <c r="F244" s="7" t="str">
        <f>IF(E244="","",IFERROR(_xludf.XLOOKUP(E244,Countries!$A$2:$A$72,Countries!$B$2:$B$72,"???"),"???"))</f>
        <v/>
      </c>
      <c r="G244" s="7">
        <f t="array" ref="G244">IF(E244="",0,IFERROR(XLOOKUP(E244,Countries!$A$2:$A$72,Countries!$E$2:$E$72,0),0))</f>
        <v>0</v>
      </c>
      <c r="H244" s="7">
        <f t="array" ref="H244">IF(E244="",0,IFERROR(XLOOKUP(E244,Medals!$B$2:$B$51,Medals!$D$2:$D$51,0),0))</f>
        <v>0</v>
      </c>
      <c r="I244" s="7">
        <f t="array" ref="I244">IF(E244="",0,IFERROR(XLOOKUP(E244,Medals!$B$2:$B$51,Medals!$E$2:$E$51,0),0))</f>
        <v>0</v>
      </c>
      <c r="J244" s="7">
        <f t="array" ref="J244">IF(E244="",0,IFERROR(XLOOKUP(E244,Medals!$B$2:$B$51,Medals!$F$2:$F$51,0),0))</f>
        <v>0</v>
      </c>
      <c r="K244" s="7">
        <f>H244*GoldPoints*G244</f>
        <v>0</v>
      </c>
      <c r="L244" s="7">
        <f>I244*SilverPoints*G244</f>
        <v>0</v>
      </c>
      <c r="M244" s="7">
        <f>J244*BronzePoints*G244</f>
        <v>0</v>
      </c>
      <c r="N244" s="7">
        <f t="shared" si="1"/>
        <v>0</v>
      </c>
      <c r="O244" s="7" t="b">
        <f t="array" ref="O244">IF(E244="",FALSE,IFERROR(AND(ISNUMBER(MATCH(E244,Countries!$A$2:$A$72,0)),XLOOKUP(E244,Countries!$A$2:$A$72,Countries!$I$2:$I$72,FALSE)),FALSE))</f>
        <v>0</v>
      </c>
      <c r="P244" s="7" t="b">
        <f t="array" ref="P244">IF(E244="",FALSE,IFERROR(XLOOKUP(E244,Countries!$A$2:$A$72,Countries!$G$2:$G$72,FALSE),FALSE))</f>
        <v>0</v>
      </c>
      <c r="Q244" s="7" t="str">
        <f t="shared" si="2"/>
        <v>⚪</v>
      </c>
    </row>
    <row r="245" ht="15.75" customHeight="1">
      <c r="A245" s="7" t="str">
        <f t="array" ref="A245">IFERROR(IF(INDEX(Entries!$C$2:$C$48,31)="","",INDEX(Entries!$Q$2:$Q$48,31)),"")</f>
        <v/>
      </c>
      <c r="B245" s="7" t="str">
        <f t="array" ref="B245">IF(A245="","",IFERROR(INDEX(Entries!$E$2:$E$48,31),""))</f>
        <v/>
      </c>
      <c r="C245" s="7" t="str">
        <f>IF(A245="","","Tier3_Pick1")</f>
        <v/>
      </c>
      <c r="D245" s="7" t="str">
        <f>IF(A245="","",3)</f>
        <v/>
      </c>
      <c r="E245" s="7" t="str">
        <f t="array" ref="E245">IF(A245="","",IFERROR(INDEX(Entries!$H$2:$H$48,31),""))</f>
        <v/>
      </c>
      <c r="F245" s="7" t="str">
        <f>IF(E245="","",IFERROR(_xludf.XLOOKUP(E245,Countries!$A$2:$A$72,Countries!$B$2:$B$72,"???"),"???"))</f>
        <v/>
      </c>
      <c r="G245" s="7">
        <f t="array" ref="G245">IF(E245="",0,IFERROR(XLOOKUP(E245,Countries!$A$2:$A$72,Countries!$E$2:$E$72,0),0))</f>
        <v>0</v>
      </c>
      <c r="H245" s="7">
        <f t="array" ref="H245">IF(E245="",0,IFERROR(XLOOKUP(E245,Medals!$B$2:$B$51,Medals!$D$2:$D$51,0),0))</f>
        <v>0</v>
      </c>
      <c r="I245" s="7">
        <f t="array" ref="I245">IF(E245="",0,IFERROR(XLOOKUP(E245,Medals!$B$2:$B$51,Medals!$E$2:$E$51,0),0))</f>
        <v>0</v>
      </c>
      <c r="J245" s="7">
        <f t="array" ref="J245">IF(E245="",0,IFERROR(XLOOKUP(E245,Medals!$B$2:$B$51,Medals!$F$2:$F$51,0),0))</f>
        <v>0</v>
      </c>
      <c r="K245" s="7">
        <f>H245*GoldPoints*G245</f>
        <v>0</v>
      </c>
      <c r="L245" s="7">
        <f>I245*SilverPoints*G245</f>
        <v>0</v>
      </c>
      <c r="M245" s="7">
        <f>J245*BronzePoints*G245</f>
        <v>0</v>
      </c>
      <c r="N245" s="7">
        <f t="shared" si="1"/>
        <v>0</v>
      </c>
      <c r="O245" s="7" t="b">
        <f t="array" ref="O245">IF(E245="",FALSE,IFERROR(AND(ISNUMBER(MATCH(E245,Countries!$A$2:$A$72,0)),XLOOKUP(E245,Countries!$A$2:$A$72,Countries!$I$2:$I$72,FALSE)),FALSE))</f>
        <v>0</v>
      </c>
      <c r="P245" s="7" t="b">
        <f t="array" ref="P245">IF(E245="",FALSE,IFERROR(XLOOKUP(E245,Countries!$A$2:$A$72,Countries!$G$2:$G$72,FALSE),FALSE))</f>
        <v>0</v>
      </c>
      <c r="Q245" s="7" t="str">
        <f t="shared" si="2"/>
        <v>⚪</v>
      </c>
    </row>
    <row r="246" ht="15.75" customHeight="1">
      <c r="A246" s="7" t="str">
        <f t="array" ref="A246">IFERROR(IF(INDEX(Entries!$C$2:$C$48,31)="","",INDEX(Entries!$Q$2:$Q$48,31)),"")</f>
        <v/>
      </c>
      <c r="B246" s="7" t="str">
        <f t="array" ref="B246">IF(A246="","",IFERROR(INDEX(Entries!$E$2:$E$48,31),""))</f>
        <v/>
      </c>
      <c r="C246" s="7" t="str">
        <f>IF(A246="","","Tier4_Pick1")</f>
        <v/>
      </c>
      <c r="D246" s="7" t="str">
        <f>IF(A246="","",4)</f>
        <v/>
      </c>
      <c r="E246" s="7" t="str">
        <f t="array" ref="E246">IF(A246="","",IFERROR(INDEX(Entries!$I$2:$I$48,31),""))</f>
        <v/>
      </c>
      <c r="F246" s="7" t="str">
        <f>IF(E246="","",IFERROR(_xludf.XLOOKUP(E246,Countries!$A$2:$A$72,Countries!$B$2:$B$72,"???"),"???"))</f>
        <v/>
      </c>
      <c r="G246" s="7">
        <f t="array" ref="G246">IF(E246="",0,IFERROR(XLOOKUP(E246,Countries!$A$2:$A$72,Countries!$E$2:$E$72,0),0))</f>
        <v>0</v>
      </c>
      <c r="H246" s="7">
        <f t="array" ref="H246">IF(E246="",0,IFERROR(XLOOKUP(E246,Medals!$B$2:$B$51,Medals!$D$2:$D$51,0),0))</f>
        <v>0</v>
      </c>
      <c r="I246" s="7">
        <f t="array" ref="I246">IF(E246="",0,IFERROR(XLOOKUP(E246,Medals!$B$2:$B$51,Medals!$E$2:$E$51,0),0))</f>
        <v>0</v>
      </c>
      <c r="J246" s="7">
        <f t="array" ref="J246">IF(E246="",0,IFERROR(XLOOKUP(E246,Medals!$B$2:$B$51,Medals!$F$2:$F$51,0),0))</f>
        <v>0</v>
      </c>
      <c r="K246" s="7">
        <f>H246*GoldPoints*G246</f>
        <v>0</v>
      </c>
      <c r="L246" s="7">
        <f>I246*SilverPoints*G246</f>
        <v>0</v>
      </c>
      <c r="M246" s="7">
        <f>J246*BronzePoints*G246</f>
        <v>0</v>
      </c>
      <c r="N246" s="7">
        <f t="shared" si="1"/>
        <v>0</v>
      </c>
      <c r="O246" s="7" t="b">
        <f t="array" ref="O246">IF(E246="",FALSE,IFERROR(AND(ISNUMBER(MATCH(E246,Countries!$A$2:$A$72,0)),XLOOKUP(E246,Countries!$A$2:$A$72,Countries!$I$2:$I$72,FALSE)),FALSE))</f>
        <v>0</v>
      </c>
      <c r="P246" s="7" t="b">
        <f t="array" ref="P246">IF(E246="",FALSE,IFERROR(XLOOKUP(E246,Countries!$A$2:$A$72,Countries!$G$2:$G$72,FALSE),FALSE))</f>
        <v>0</v>
      </c>
      <c r="Q246" s="7" t="str">
        <f t="shared" si="2"/>
        <v>⚪</v>
      </c>
    </row>
    <row r="247" ht="15.75" customHeight="1">
      <c r="A247" s="7" t="str">
        <f t="array" ref="A247">IFERROR(IF(INDEX(Entries!$C$2:$C$48,31)="","",INDEX(Entries!$Q$2:$Q$48,31)),"")</f>
        <v/>
      </c>
      <c r="B247" s="7" t="str">
        <f t="array" ref="B247">IF(A247="","",IFERROR(INDEX(Entries!$E$2:$E$48,31),""))</f>
        <v/>
      </c>
      <c r="C247" s="7" t="str">
        <f>IF(A247="","","Tier5_Pick1")</f>
        <v/>
      </c>
      <c r="D247" s="7" t="str">
        <f>IF(A247="","",5)</f>
        <v/>
      </c>
      <c r="E247" s="7" t="str">
        <f t="array" ref="E247">IF(A247="","",IFERROR(INDEX(Entries!$J$2:$J$48,31),""))</f>
        <v/>
      </c>
      <c r="F247" s="7" t="str">
        <f>IF(E247="","",IFERROR(_xludf.XLOOKUP(E247,Countries!$A$2:$A$72,Countries!$B$2:$B$72,"???"),"???"))</f>
        <v/>
      </c>
      <c r="G247" s="7">
        <f t="array" ref="G247">IF(E247="",0,IFERROR(XLOOKUP(E247,Countries!$A$2:$A$72,Countries!$E$2:$E$72,0),0))</f>
        <v>0</v>
      </c>
      <c r="H247" s="7">
        <f t="array" ref="H247">IF(E247="",0,IFERROR(XLOOKUP(E247,Medals!$B$2:$B$51,Medals!$D$2:$D$51,0),0))</f>
        <v>0</v>
      </c>
      <c r="I247" s="7">
        <f t="array" ref="I247">IF(E247="",0,IFERROR(XLOOKUP(E247,Medals!$B$2:$B$51,Medals!$E$2:$E$51,0),0))</f>
        <v>0</v>
      </c>
      <c r="J247" s="7">
        <f t="array" ref="J247">IF(E247="",0,IFERROR(XLOOKUP(E247,Medals!$B$2:$B$51,Medals!$F$2:$F$51,0),0))</f>
        <v>0</v>
      </c>
      <c r="K247" s="7">
        <f>H247*GoldPoints*G247</f>
        <v>0</v>
      </c>
      <c r="L247" s="7">
        <f>I247*SilverPoints*G247</f>
        <v>0</v>
      </c>
      <c r="M247" s="7">
        <f>J247*BronzePoints*G247</f>
        <v>0</v>
      </c>
      <c r="N247" s="7">
        <f t="shared" si="1"/>
        <v>0</v>
      </c>
      <c r="O247" s="7" t="b">
        <f t="array" ref="O247">IF(E247="",FALSE,IFERROR(AND(ISNUMBER(MATCH(E247,Countries!$A$2:$A$72,0)),XLOOKUP(E247,Countries!$A$2:$A$72,Countries!$I$2:$I$72,FALSE)),FALSE))</f>
        <v>0</v>
      </c>
      <c r="P247" s="7" t="b">
        <f t="array" ref="P247">IF(E247="",FALSE,IFERROR(XLOOKUP(E247,Countries!$A$2:$A$72,Countries!$G$2:$G$72,FALSE),FALSE))</f>
        <v>0</v>
      </c>
      <c r="Q247" s="7" t="str">
        <f t="shared" si="2"/>
        <v>⚪</v>
      </c>
    </row>
    <row r="248" ht="15.75" customHeight="1">
      <c r="A248" s="7" t="str">
        <f t="array" ref="A248">IFERROR(IF(INDEX(Entries!$C$2:$C$48,31)="","",INDEX(Entries!$Q$2:$Q$48,31)),"")</f>
        <v/>
      </c>
      <c r="B248" s="7" t="str">
        <f t="array" ref="B248">IF(A248="","",IFERROR(INDEX(Entries!$E$2:$E$48,31),""))</f>
        <v/>
      </c>
      <c r="C248" s="7" t="str">
        <f>IF(A248="","","Tier6_Pick1")</f>
        <v/>
      </c>
      <c r="D248" s="7" t="str">
        <f t="shared" ref="D248:D249" si="64">IF(A248="","",6)</f>
        <v/>
      </c>
      <c r="E248" s="7" t="str">
        <f t="array" ref="E248">IF(A248="","",IFERROR(INDEX(Entries!$O$2:$O$48,31),""))</f>
        <v/>
      </c>
      <c r="F248" s="7" t="str">
        <f>IF(E248="","",IFERROR(_xludf.XLOOKUP(E248,Countries!$A$2:$A$72,Countries!$B$2:$B$72,"???"),"???"))</f>
        <v/>
      </c>
      <c r="G248" s="7">
        <f t="array" ref="G248">IF(E248="",0,IFERROR(XLOOKUP(E248,Countries!$A$2:$A$72,Countries!$E$2:$E$72,0),0))</f>
        <v>0</v>
      </c>
      <c r="H248" s="7">
        <f t="array" ref="H248">IF(E248="",0,IFERROR(XLOOKUP(E248,Medals!$B$2:$B$51,Medals!$D$2:$D$51,0),0))</f>
        <v>0</v>
      </c>
      <c r="I248" s="7">
        <f t="array" ref="I248">IF(E248="",0,IFERROR(XLOOKUP(E248,Medals!$B$2:$B$51,Medals!$E$2:$E$51,0),0))</f>
        <v>0</v>
      </c>
      <c r="J248" s="7">
        <f t="array" ref="J248">IF(E248="",0,IFERROR(XLOOKUP(E248,Medals!$B$2:$B$51,Medals!$F$2:$F$51,0),0))</f>
        <v>0</v>
      </c>
      <c r="K248" s="7">
        <f>H248*GoldPoints*G248</f>
        <v>0</v>
      </c>
      <c r="L248" s="7">
        <f>I248*SilverPoints*G248</f>
        <v>0</v>
      </c>
      <c r="M248" s="7">
        <f>J248*BronzePoints*G248</f>
        <v>0</v>
      </c>
      <c r="N248" s="7">
        <f t="shared" si="1"/>
        <v>0</v>
      </c>
      <c r="O248" s="7" t="b">
        <f t="array" ref="O248">IF(E248="",FALSE,IFERROR(AND(ISNUMBER(MATCH(E248,Countries!$A$2:$A$72,0)),XLOOKUP(E248,Countries!$A$2:$A$72,Countries!$I$2:$I$72,FALSE)),FALSE))</f>
        <v>0</v>
      </c>
      <c r="P248" s="7" t="b">
        <f t="array" ref="P248">IF(E248="",FALSE,IFERROR(XLOOKUP(E248,Countries!$A$2:$A$72,Countries!$G$2:$G$72,FALSE),FALSE))</f>
        <v>0</v>
      </c>
      <c r="Q248" s="7" t="str">
        <f t="shared" si="2"/>
        <v>⚪</v>
      </c>
    </row>
    <row r="249" ht="15.75" customHeight="1">
      <c r="A249" s="7" t="str">
        <f t="array" ref="A249">IFERROR(IF(INDEX(Entries!$C$2:$C$48,31)="","",INDEX(Entries!$Q$2:$Q$48,31)),"")</f>
        <v/>
      </c>
      <c r="B249" s="7" t="str">
        <f t="array" ref="B249">IF(A249="","",IFERROR(INDEX(Entries!$E$2:$E$48,31),""))</f>
        <v/>
      </c>
      <c r="C249" s="7" t="str">
        <f>IF(A249="","","Tier6_Pick2")</f>
        <v/>
      </c>
      <c r="D249" s="7" t="str">
        <f t="shared" si="64"/>
        <v/>
      </c>
      <c r="E249" s="7" t="str">
        <f t="array" ref="E249">IF(A249="","",IFERROR(INDEX(Entries!$P$2:$P$48,31),""))</f>
        <v/>
      </c>
      <c r="F249" s="7" t="str">
        <f>IF(E249="","",IFERROR(_xludf.XLOOKUP(E249,Countries!$A$2:$A$72,Countries!$B$2:$B$72,"???"),"???"))</f>
        <v/>
      </c>
      <c r="G249" s="7">
        <f t="array" ref="G249">IF(E249="",0,IFERROR(XLOOKUP(E249,Countries!$A$2:$A$72,Countries!$E$2:$E$72,0),0))</f>
        <v>0</v>
      </c>
      <c r="H249" s="7">
        <f t="array" ref="H249">IF(E249="",0,IFERROR(XLOOKUP(E249,Medals!$B$2:$B$51,Medals!$D$2:$D$51,0),0))</f>
        <v>0</v>
      </c>
      <c r="I249" s="7">
        <f t="array" ref="I249">IF(E249="",0,IFERROR(XLOOKUP(E249,Medals!$B$2:$B$51,Medals!$E$2:$E$51,0),0))</f>
        <v>0</v>
      </c>
      <c r="J249" s="7">
        <f t="array" ref="J249">IF(E249="",0,IFERROR(XLOOKUP(E249,Medals!$B$2:$B$51,Medals!$F$2:$F$51,0),0))</f>
        <v>0</v>
      </c>
      <c r="K249" s="7">
        <f>H249*GoldPoints*G249</f>
        <v>0</v>
      </c>
      <c r="L249" s="7">
        <f>I249*SilverPoints*G249</f>
        <v>0</v>
      </c>
      <c r="M249" s="7">
        <f>J249*BronzePoints*G249</f>
        <v>0</v>
      </c>
      <c r="N249" s="7">
        <f t="shared" si="1"/>
        <v>0</v>
      </c>
      <c r="O249" s="7" t="b">
        <f t="array" ref="O249">IF(E249="",FALSE,IFERROR(AND(ISNUMBER(MATCH(E249,Countries!$A$2:$A$72,0)),XLOOKUP(E249,Countries!$A$2:$A$72,Countries!$I$2:$I$72,FALSE)),FALSE))</f>
        <v>0</v>
      </c>
      <c r="P249" s="7" t="b">
        <f t="array" ref="P249">IF(E249="",FALSE,IFERROR(XLOOKUP(E249,Countries!$A$2:$A$72,Countries!$G$2:$G$72,FALSE),FALSE))</f>
        <v>0</v>
      </c>
      <c r="Q249" s="7" t="str">
        <f t="shared" si="2"/>
        <v>⚪</v>
      </c>
    </row>
    <row r="250" ht="15.75" customHeight="1">
      <c r="A250" s="7" t="str">
        <f t="array" ref="A250">IFERROR(IF(INDEX(Entries!$C$2:$C$48,32)="","",INDEX(Entries!$Q$2:$Q$48,32)),"")</f>
        <v/>
      </c>
      <c r="B250" s="7" t="str">
        <f t="array" ref="B250">IF(A250="","",IFERROR(INDEX(Entries!$E$2:$E$48,32),""))</f>
        <v/>
      </c>
      <c r="C250" s="7" t="str">
        <f>IF(A250="","","Tier1_Pick1")</f>
        <v/>
      </c>
      <c r="D250" s="7" t="str">
        <f>IF(A250="","",1)</f>
        <v/>
      </c>
      <c r="E250" s="7" t="str">
        <f t="array" ref="E250">IF(A250="","",IFERROR(INDEX(Entries!$F$2:$F$48,32),""))</f>
        <v/>
      </c>
      <c r="F250" s="7" t="str">
        <f>IF(E250="","",IFERROR(_xludf.XLOOKUP(E250,Countries!$A$2:$A$72,Countries!$B$2:$B$72,"???"),"???"))</f>
        <v/>
      </c>
      <c r="G250" s="7">
        <f t="array" ref="G250">IF(E250="",0,IFERROR(XLOOKUP(E250,Countries!$A$2:$A$72,Countries!$E$2:$E$72,0),0))</f>
        <v>0</v>
      </c>
      <c r="H250" s="7">
        <f t="array" ref="H250">IF(E250="",0,IFERROR(XLOOKUP(E250,Medals!$B$2:$B$51,Medals!$D$2:$D$51,0),0))</f>
        <v>0</v>
      </c>
      <c r="I250" s="7">
        <f t="array" ref="I250">IF(E250="",0,IFERROR(XLOOKUP(E250,Medals!$B$2:$B$51,Medals!$E$2:$E$51,0),0))</f>
        <v>0</v>
      </c>
      <c r="J250" s="7">
        <f t="array" ref="J250">IF(E250="",0,IFERROR(XLOOKUP(E250,Medals!$B$2:$B$51,Medals!$F$2:$F$51,0),0))</f>
        <v>0</v>
      </c>
      <c r="K250" s="7">
        <f>H250*GoldPoints*G250</f>
        <v>0</v>
      </c>
      <c r="L250" s="7">
        <f>I250*SilverPoints*G250</f>
        <v>0</v>
      </c>
      <c r="M250" s="7">
        <f>J250*BronzePoints*G250</f>
        <v>0</v>
      </c>
      <c r="N250" s="7">
        <f t="shared" si="1"/>
        <v>0</v>
      </c>
      <c r="O250" s="7" t="b">
        <f t="array" ref="O250">IF(E250="",FALSE,IFERROR(AND(ISNUMBER(MATCH(E250,Countries!$A$2:$A$72,0)),XLOOKUP(E250,Countries!$A$2:$A$72,Countries!$I$2:$I$72,FALSE)),FALSE))</f>
        <v>0</v>
      </c>
      <c r="P250" s="7" t="b">
        <f t="array" ref="P250">IF(E250="",FALSE,IFERROR(XLOOKUP(E250,Countries!$A$2:$A$72,Countries!$G$2:$G$72,FALSE),FALSE))</f>
        <v>0</v>
      </c>
      <c r="Q250" s="7" t="str">
        <f t="shared" si="2"/>
        <v>⚪</v>
      </c>
    </row>
    <row r="251" ht="15.75" customHeight="1">
      <c r="A251" s="7" t="str">
        <f t="array" ref="A251">IFERROR(IF(INDEX(Entries!$C$2:$C$48,32)="","",INDEX(Entries!$Q$2:$Q$48,32)),"")</f>
        <v/>
      </c>
      <c r="B251" s="7" t="str">
        <f t="array" ref="B251">IF(A251="","",IFERROR(INDEX(Entries!$E$2:$E$48,32),""))</f>
        <v/>
      </c>
      <c r="C251" s="7" t="str">
        <f>IF(A251="","","Tier2_Pick1")</f>
        <v/>
      </c>
      <c r="D251" s="7" t="str">
        <f t="shared" ref="D251:D252" si="65">IF(A251="","",2)</f>
        <v/>
      </c>
      <c r="E251" s="7" t="str">
        <f t="array" ref="E251">IF(A251="","",IFERROR(INDEX(Entries!$M$2:$M$48,32),""))</f>
        <v/>
      </c>
      <c r="F251" s="7" t="str">
        <f>IF(E251="","",IFERROR(_xludf.XLOOKUP(E251,Countries!$A$2:$A$72,Countries!$B$2:$B$72,"???"),"???"))</f>
        <v/>
      </c>
      <c r="G251" s="7">
        <f t="array" ref="G251">IF(E251="",0,IFERROR(XLOOKUP(E251,Countries!$A$2:$A$72,Countries!$E$2:$E$72,0),0))</f>
        <v>0</v>
      </c>
      <c r="H251" s="7">
        <f t="array" ref="H251">IF(E251="",0,IFERROR(XLOOKUP(E251,Medals!$B$2:$B$51,Medals!$D$2:$D$51,0),0))</f>
        <v>0</v>
      </c>
      <c r="I251" s="7">
        <f t="array" ref="I251">IF(E251="",0,IFERROR(XLOOKUP(E251,Medals!$B$2:$B$51,Medals!$E$2:$E$51,0),0))</f>
        <v>0</v>
      </c>
      <c r="J251" s="7">
        <f t="array" ref="J251">IF(E251="",0,IFERROR(XLOOKUP(E251,Medals!$B$2:$B$51,Medals!$F$2:$F$51,0),0))</f>
        <v>0</v>
      </c>
      <c r="K251" s="7">
        <f>H251*GoldPoints*G251</f>
        <v>0</v>
      </c>
      <c r="L251" s="7">
        <f>I251*SilverPoints*G251</f>
        <v>0</v>
      </c>
      <c r="M251" s="7">
        <f>J251*BronzePoints*G251</f>
        <v>0</v>
      </c>
      <c r="N251" s="7">
        <f t="shared" si="1"/>
        <v>0</v>
      </c>
      <c r="O251" s="7" t="b">
        <f t="array" ref="O251">IF(E251="",FALSE,IFERROR(AND(ISNUMBER(MATCH(E251,Countries!$A$2:$A$72,0)),XLOOKUP(E251,Countries!$A$2:$A$72,Countries!$I$2:$I$72,FALSE)),FALSE))</f>
        <v>0</v>
      </c>
      <c r="P251" s="7" t="b">
        <f t="array" ref="P251">IF(E251="",FALSE,IFERROR(XLOOKUP(E251,Countries!$A$2:$A$72,Countries!$G$2:$G$72,FALSE),FALSE))</f>
        <v>0</v>
      </c>
      <c r="Q251" s="7" t="str">
        <f t="shared" si="2"/>
        <v>⚪</v>
      </c>
    </row>
    <row r="252" ht="15.75" customHeight="1">
      <c r="A252" s="7" t="str">
        <f t="array" ref="A252">IFERROR(IF(INDEX(Entries!$C$2:$C$48,32)="","",INDEX(Entries!$Q$2:$Q$48,32)),"")</f>
        <v/>
      </c>
      <c r="B252" s="7" t="str">
        <f t="array" ref="B252">IF(A252="","",IFERROR(INDEX(Entries!$E$2:$E$48,32),""))</f>
        <v/>
      </c>
      <c r="C252" s="7" t="str">
        <f>IF(A252="","","Tier2_Pick2")</f>
        <v/>
      </c>
      <c r="D252" s="7" t="str">
        <f t="shared" si="65"/>
        <v/>
      </c>
      <c r="E252" s="7" t="str">
        <f t="array" ref="E252">IF(A252="","",IFERROR(INDEX(Entries!$N$2:$N$48,32),""))</f>
        <v/>
      </c>
      <c r="F252" s="7" t="str">
        <f>IF(E252="","",IFERROR(_xludf.XLOOKUP(E252,Countries!$A$2:$A$72,Countries!$B$2:$B$72,"???"),"???"))</f>
        <v/>
      </c>
      <c r="G252" s="7">
        <f t="array" ref="G252">IF(E252="",0,IFERROR(XLOOKUP(E252,Countries!$A$2:$A$72,Countries!$E$2:$E$72,0),0))</f>
        <v>0</v>
      </c>
      <c r="H252" s="7">
        <f t="array" ref="H252">IF(E252="",0,IFERROR(XLOOKUP(E252,Medals!$B$2:$B$51,Medals!$D$2:$D$51,0),0))</f>
        <v>0</v>
      </c>
      <c r="I252" s="7">
        <f t="array" ref="I252">IF(E252="",0,IFERROR(XLOOKUP(E252,Medals!$B$2:$B$51,Medals!$E$2:$E$51,0),0))</f>
        <v>0</v>
      </c>
      <c r="J252" s="7">
        <f t="array" ref="J252">IF(E252="",0,IFERROR(XLOOKUP(E252,Medals!$B$2:$B$51,Medals!$F$2:$F$51,0),0))</f>
        <v>0</v>
      </c>
      <c r="K252" s="7">
        <f>H252*GoldPoints*G252</f>
        <v>0</v>
      </c>
      <c r="L252" s="7">
        <f>I252*SilverPoints*G252</f>
        <v>0</v>
      </c>
      <c r="M252" s="7">
        <f>J252*BronzePoints*G252</f>
        <v>0</v>
      </c>
      <c r="N252" s="7">
        <f t="shared" si="1"/>
        <v>0</v>
      </c>
      <c r="O252" s="7" t="b">
        <f t="array" ref="O252">IF(E252="",FALSE,IFERROR(AND(ISNUMBER(MATCH(E252,Countries!$A$2:$A$72,0)),XLOOKUP(E252,Countries!$A$2:$A$72,Countries!$I$2:$I$72,FALSE)),FALSE))</f>
        <v>0</v>
      </c>
      <c r="P252" s="7" t="b">
        <f t="array" ref="P252">IF(E252="",FALSE,IFERROR(XLOOKUP(E252,Countries!$A$2:$A$72,Countries!$G$2:$G$72,FALSE),FALSE))</f>
        <v>0</v>
      </c>
      <c r="Q252" s="7" t="str">
        <f t="shared" si="2"/>
        <v>⚪</v>
      </c>
    </row>
    <row r="253" ht="15.75" customHeight="1">
      <c r="A253" s="7" t="str">
        <f t="array" ref="A253">IFERROR(IF(INDEX(Entries!$C$2:$C$48,32)="","",INDEX(Entries!$Q$2:$Q$48,32)),"")</f>
        <v/>
      </c>
      <c r="B253" s="7" t="str">
        <f t="array" ref="B253">IF(A253="","",IFERROR(INDEX(Entries!$E$2:$E$48,32),""))</f>
        <v/>
      </c>
      <c r="C253" s="7" t="str">
        <f>IF(A253="","","Tier3_Pick1")</f>
        <v/>
      </c>
      <c r="D253" s="7" t="str">
        <f>IF(A253="","",3)</f>
        <v/>
      </c>
      <c r="E253" s="7" t="str">
        <f t="array" ref="E253">IF(A253="","",IFERROR(INDEX(Entries!$H$2:$H$48,32),""))</f>
        <v/>
      </c>
      <c r="F253" s="7" t="str">
        <f>IF(E253="","",IFERROR(_xludf.XLOOKUP(E253,Countries!$A$2:$A$72,Countries!$B$2:$B$72,"???"),"???"))</f>
        <v/>
      </c>
      <c r="G253" s="7">
        <f t="array" ref="G253">IF(E253="",0,IFERROR(XLOOKUP(E253,Countries!$A$2:$A$72,Countries!$E$2:$E$72,0),0))</f>
        <v>0</v>
      </c>
      <c r="H253" s="7">
        <f t="array" ref="H253">IF(E253="",0,IFERROR(XLOOKUP(E253,Medals!$B$2:$B$51,Medals!$D$2:$D$51,0),0))</f>
        <v>0</v>
      </c>
      <c r="I253" s="7">
        <f t="array" ref="I253">IF(E253="",0,IFERROR(XLOOKUP(E253,Medals!$B$2:$B$51,Medals!$E$2:$E$51,0),0))</f>
        <v>0</v>
      </c>
      <c r="J253" s="7">
        <f t="array" ref="J253">IF(E253="",0,IFERROR(XLOOKUP(E253,Medals!$B$2:$B$51,Medals!$F$2:$F$51,0),0))</f>
        <v>0</v>
      </c>
      <c r="K253" s="7">
        <f>H253*GoldPoints*G253</f>
        <v>0</v>
      </c>
      <c r="L253" s="7">
        <f>I253*SilverPoints*G253</f>
        <v>0</v>
      </c>
      <c r="M253" s="7">
        <f>J253*BronzePoints*G253</f>
        <v>0</v>
      </c>
      <c r="N253" s="7">
        <f t="shared" si="1"/>
        <v>0</v>
      </c>
      <c r="O253" s="7" t="b">
        <f t="array" ref="O253">IF(E253="",FALSE,IFERROR(AND(ISNUMBER(MATCH(E253,Countries!$A$2:$A$72,0)),XLOOKUP(E253,Countries!$A$2:$A$72,Countries!$I$2:$I$72,FALSE)),FALSE))</f>
        <v>0</v>
      </c>
      <c r="P253" s="7" t="b">
        <f t="array" ref="P253">IF(E253="",FALSE,IFERROR(XLOOKUP(E253,Countries!$A$2:$A$72,Countries!$G$2:$G$72,FALSE),FALSE))</f>
        <v>0</v>
      </c>
      <c r="Q253" s="7" t="str">
        <f t="shared" si="2"/>
        <v>⚪</v>
      </c>
    </row>
    <row r="254" ht="15.75" customHeight="1">
      <c r="A254" s="7" t="str">
        <f t="array" ref="A254">IFERROR(IF(INDEX(Entries!$C$2:$C$48,32)="","",INDEX(Entries!$Q$2:$Q$48,32)),"")</f>
        <v/>
      </c>
      <c r="B254" s="7" t="str">
        <f t="array" ref="B254">IF(A254="","",IFERROR(INDEX(Entries!$E$2:$E$48,32),""))</f>
        <v/>
      </c>
      <c r="C254" s="7" t="str">
        <f>IF(A254="","","Tier4_Pick1")</f>
        <v/>
      </c>
      <c r="D254" s="7" t="str">
        <f>IF(A254="","",4)</f>
        <v/>
      </c>
      <c r="E254" s="7" t="str">
        <f t="array" ref="E254">IF(A254="","",IFERROR(INDEX(Entries!$I$2:$I$48,32),""))</f>
        <v/>
      </c>
      <c r="F254" s="7" t="str">
        <f>IF(E254="","",IFERROR(_xludf.XLOOKUP(E254,Countries!$A$2:$A$72,Countries!$B$2:$B$72,"???"),"???"))</f>
        <v/>
      </c>
      <c r="G254" s="7">
        <f t="array" ref="G254">IF(E254="",0,IFERROR(XLOOKUP(E254,Countries!$A$2:$A$72,Countries!$E$2:$E$72,0),0))</f>
        <v>0</v>
      </c>
      <c r="H254" s="7">
        <f t="array" ref="H254">IF(E254="",0,IFERROR(XLOOKUP(E254,Medals!$B$2:$B$51,Medals!$D$2:$D$51,0),0))</f>
        <v>0</v>
      </c>
      <c r="I254" s="7">
        <f t="array" ref="I254">IF(E254="",0,IFERROR(XLOOKUP(E254,Medals!$B$2:$B$51,Medals!$E$2:$E$51,0),0))</f>
        <v>0</v>
      </c>
      <c r="J254" s="7">
        <f t="array" ref="J254">IF(E254="",0,IFERROR(XLOOKUP(E254,Medals!$B$2:$B$51,Medals!$F$2:$F$51,0),0))</f>
        <v>0</v>
      </c>
      <c r="K254" s="7">
        <f>H254*GoldPoints*G254</f>
        <v>0</v>
      </c>
      <c r="L254" s="7">
        <f>I254*SilverPoints*G254</f>
        <v>0</v>
      </c>
      <c r="M254" s="7">
        <f>J254*BronzePoints*G254</f>
        <v>0</v>
      </c>
      <c r="N254" s="7">
        <f t="shared" si="1"/>
        <v>0</v>
      </c>
      <c r="O254" s="7" t="b">
        <f t="array" ref="O254">IF(E254="",FALSE,IFERROR(AND(ISNUMBER(MATCH(E254,Countries!$A$2:$A$72,0)),XLOOKUP(E254,Countries!$A$2:$A$72,Countries!$I$2:$I$72,FALSE)),FALSE))</f>
        <v>0</v>
      </c>
      <c r="P254" s="7" t="b">
        <f t="array" ref="P254">IF(E254="",FALSE,IFERROR(XLOOKUP(E254,Countries!$A$2:$A$72,Countries!$G$2:$G$72,FALSE),FALSE))</f>
        <v>0</v>
      </c>
      <c r="Q254" s="7" t="str">
        <f t="shared" si="2"/>
        <v>⚪</v>
      </c>
    </row>
    <row r="255" ht="15.75" customHeight="1">
      <c r="A255" s="7" t="str">
        <f t="array" ref="A255">IFERROR(IF(INDEX(Entries!$C$2:$C$48,32)="","",INDEX(Entries!$Q$2:$Q$48,32)),"")</f>
        <v/>
      </c>
      <c r="B255" s="7" t="str">
        <f t="array" ref="B255">IF(A255="","",IFERROR(INDEX(Entries!$E$2:$E$48,32),""))</f>
        <v/>
      </c>
      <c r="C255" s="7" t="str">
        <f>IF(A255="","","Tier5_Pick1")</f>
        <v/>
      </c>
      <c r="D255" s="7" t="str">
        <f>IF(A255="","",5)</f>
        <v/>
      </c>
      <c r="E255" s="7" t="str">
        <f t="array" ref="E255">IF(A255="","",IFERROR(INDEX(Entries!$J$2:$J$48,32),""))</f>
        <v/>
      </c>
      <c r="F255" s="7" t="str">
        <f>IF(E255="","",IFERROR(_xludf.XLOOKUP(E255,Countries!$A$2:$A$72,Countries!$B$2:$B$72,"???"),"???"))</f>
        <v/>
      </c>
      <c r="G255" s="7">
        <f t="array" ref="G255">IF(E255="",0,IFERROR(XLOOKUP(E255,Countries!$A$2:$A$72,Countries!$E$2:$E$72,0),0))</f>
        <v>0</v>
      </c>
      <c r="H255" s="7">
        <f t="array" ref="H255">IF(E255="",0,IFERROR(XLOOKUP(E255,Medals!$B$2:$B$51,Medals!$D$2:$D$51,0),0))</f>
        <v>0</v>
      </c>
      <c r="I255" s="7">
        <f t="array" ref="I255">IF(E255="",0,IFERROR(XLOOKUP(E255,Medals!$B$2:$B$51,Medals!$E$2:$E$51,0),0))</f>
        <v>0</v>
      </c>
      <c r="J255" s="7">
        <f t="array" ref="J255">IF(E255="",0,IFERROR(XLOOKUP(E255,Medals!$B$2:$B$51,Medals!$F$2:$F$51,0),0))</f>
        <v>0</v>
      </c>
      <c r="K255" s="7">
        <f>H255*GoldPoints*G255</f>
        <v>0</v>
      </c>
      <c r="L255" s="7">
        <f>I255*SilverPoints*G255</f>
        <v>0</v>
      </c>
      <c r="M255" s="7">
        <f>J255*BronzePoints*G255</f>
        <v>0</v>
      </c>
      <c r="N255" s="7">
        <f t="shared" si="1"/>
        <v>0</v>
      </c>
      <c r="O255" s="7" t="b">
        <f t="array" ref="O255">IF(E255="",FALSE,IFERROR(AND(ISNUMBER(MATCH(E255,Countries!$A$2:$A$72,0)),XLOOKUP(E255,Countries!$A$2:$A$72,Countries!$I$2:$I$72,FALSE)),FALSE))</f>
        <v>0</v>
      </c>
      <c r="P255" s="7" t="b">
        <f t="array" ref="P255">IF(E255="",FALSE,IFERROR(XLOOKUP(E255,Countries!$A$2:$A$72,Countries!$G$2:$G$72,FALSE),FALSE))</f>
        <v>0</v>
      </c>
      <c r="Q255" s="7" t="str">
        <f t="shared" si="2"/>
        <v>⚪</v>
      </c>
    </row>
    <row r="256" ht="15.75" customHeight="1">
      <c r="A256" s="7" t="str">
        <f t="array" ref="A256">IFERROR(IF(INDEX(Entries!$C$2:$C$48,32)="","",INDEX(Entries!$Q$2:$Q$48,32)),"")</f>
        <v/>
      </c>
      <c r="B256" s="7" t="str">
        <f t="array" ref="B256">IF(A256="","",IFERROR(INDEX(Entries!$E$2:$E$48,32),""))</f>
        <v/>
      </c>
      <c r="C256" s="7" t="str">
        <f>IF(A256="","","Tier6_Pick1")</f>
        <v/>
      </c>
      <c r="D256" s="7" t="str">
        <f t="shared" ref="D256:D257" si="66">IF(A256="","",6)</f>
        <v/>
      </c>
      <c r="E256" s="7" t="str">
        <f t="array" ref="E256">IF(A256="","",IFERROR(INDEX(Entries!$O$2:$O$48,32),""))</f>
        <v/>
      </c>
      <c r="F256" s="7" t="str">
        <f>IF(E256="","",IFERROR(_xludf.XLOOKUP(E256,Countries!$A$2:$A$72,Countries!$B$2:$B$72,"???"),"???"))</f>
        <v/>
      </c>
      <c r="G256" s="7">
        <f t="array" ref="G256">IF(E256="",0,IFERROR(XLOOKUP(E256,Countries!$A$2:$A$72,Countries!$E$2:$E$72,0),0))</f>
        <v>0</v>
      </c>
      <c r="H256" s="7">
        <f t="array" ref="H256">IF(E256="",0,IFERROR(XLOOKUP(E256,Medals!$B$2:$B$51,Medals!$D$2:$D$51,0),0))</f>
        <v>0</v>
      </c>
      <c r="I256" s="7">
        <f t="array" ref="I256">IF(E256="",0,IFERROR(XLOOKUP(E256,Medals!$B$2:$B$51,Medals!$E$2:$E$51,0),0))</f>
        <v>0</v>
      </c>
      <c r="J256" s="7">
        <f t="array" ref="J256">IF(E256="",0,IFERROR(XLOOKUP(E256,Medals!$B$2:$B$51,Medals!$F$2:$F$51,0),0))</f>
        <v>0</v>
      </c>
      <c r="K256" s="7">
        <f>H256*GoldPoints*G256</f>
        <v>0</v>
      </c>
      <c r="L256" s="7">
        <f>I256*SilverPoints*G256</f>
        <v>0</v>
      </c>
      <c r="M256" s="7">
        <f>J256*BronzePoints*G256</f>
        <v>0</v>
      </c>
      <c r="N256" s="7">
        <f t="shared" si="1"/>
        <v>0</v>
      </c>
      <c r="O256" s="7" t="b">
        <f t="array" ref="O256">IF(E256="",FALSE,IFERROR(AND(ISNUMBER(MATCH(E256,Countries!$A$2:$A$72,0)),XLOOKUP(E256,Countries!$A$2:$A$72,Countries!$I$2:$I$72,FALSE)),FALSE))</f>
        <v>0</v>
      </c>
      <c r="P256" s="7" t="b">
        <f t="array" ref="P256">IF(E256="",FALSE,IFERROR(XLOOKUP(E256,Countries!$A$2:$A$72,Countries!$G$2:$G$72,FALSE),FALSE))</f>
        <v>0</v>
      </c>
      <c r="Q256" s="7" t="str">
        <f t="shared" si="2"/>
        <v>⚪</v>
      </c>
    </row>
    <row r="257" ht="15.75" customHeight="1">
      <c r="A257" s="7" t="str">
        <f t="array" ref="A257">IFERROR(IF(INDEX(Entries!$C$2:$C$48,32)="","",INDEX(Entries!$Q$2:$Q$48,32)),"")</f>
        <v/>
      </c>
      <c r="B257" s="7" t="str">
        <f t="array" ref="B257">IF(A257="","",IFERROR(INDEX(Entries!$E$2:$E$48,32),""))</f>
        <v/>
      </c>
      <c r="C257" s="7" t="str">
        <f>IF(A257="","","Tier6_Pick2")</f>
        <v/>
      </c>
      <c r="D257" s="7" t="str">
        <f t="shared" si="66"/>
        <v/>
      </c>
      <c r="E257" s="7" t="str">
        <f t="array" ref="E257">IF(A257="","",IFERROR(INDEX(Entries!$P$2:$P$48,32),""))</f>
        <v/>
      </c>
      <c r="F257" s="7" t="str">
        <f>IF(E257="","",IFERROR(_xludf.XLOOKUP(E257,Countries!$A$2:$A$72,Countries!$B$2:$B$72,"???"),"???"))</f>
        <v/>
      </c>
      <c r="G257" s="7">
        <f t="array" ref="G257">IF(E257="",0,IFERROR(XLOOKUP(E257,Countries!$A$2:$A$72,Countries!$E$2:$E$72,0),0))</f>
        <v>0</v>
      </c>
      <c r="H257" s="7">
        <f t="array" ref="H257">IF(E257="",0,IFERROR(XLOOKUP(E257,Medals!$B$2:$B$51,Medals!$D$2:$D$51,0),0))</f>
        <v>0</v>
      </c>
      <c r="I257" s="7">
        <f t="array" ref="I257">IF(E257="",0,IFERROR(XLOOKUP(E257,Medals!$B$2:$B$51,Medals!$E$2:$E$51,0),0))</f>
        <v>0</v>
      </c>
      <c r="J257" s="7">
        <f t="array" ref="J257">IF(E257="",0,IFERROR(XLOOKUP(E257,Medals!$B$2:$B$51,Medals!$F$2:$F$51,0),0))</f>
        <v>0</v>
      </c>
      <c r="K257" s="7">
        <f>H257*GoldPoints*G257</f>
        <v>0</v>
      </c>
      <c r="L257" s="7">
        <f>I257*SilverPoints*G257</f>
        <v>0</v>
      </c>
      <c r="M257" s="7">
        <f>J257*BronzePoints*G257</f>
        <v>0</v>
      </c>
      <c r="N257" s="7">
        <f t="shared" si="1"/>
        <v>0</v>
      </c>
      <c r="O257" s="7" t="b">
        <f t="array" ref="O257">IF(E257="",FALSE,IFERROR(AND(ISNUMBER(MATCH(E257,Countries!$A$2:$A$72,0)),XLOOKUP(E257,Countries!$A$2:$A$72,Countries!$I$2:$I$72,FALSE)),FALSE))</f>
        <v>0</v>
      </c>
      <c r="P257" s="7" t="b">
        <f t="array" ref="P257">IF(E257="",FALSE,IFERROR(XLOOKUP(E257,Countries!$A$2:$A$72,Countries!$G$2:$G$72,FALSE),FALSE))</f>
        <v>0</v>
      </c>
      <c r="Q257" s="7" t="str">
        <f t="shared" si="2"/>
        <v>⚪</v>
      </c>
    </row>
    <row r="258" ht="15.75" customHeight="1">
      <c r="A258" s="7" t="str">
        <f t="array" ref="A258">IFERROR(IF(INDEX(Entries!$C$2:$C$48,33)="","",INDEX(Entries!$Q$2:$Q$48,33)),"")</f>
        <v/>
      </c>
      <c r="B258" s="7" t="str">
        <f t="array" ref="B258">IF(A258="","",IFERROR(INDEX(Entries!$E$2:$E$48,33),""))</f>
        <v/>
      </c>
      <c r="C258" s="7" t="str">
        <f>IF(A258="","","Tier1_Pick1")</f>
        <v/>
      </c>
      <c r="D258" s="7" t="str">
        <f>IF(A258="","",1)</f>
        <v/>
      </c>
      <c r="E258" s="7" t="str">
        <f t="array" ref="E258">IF(A258="","",IFERROR(INDEX(Entries!$F$2:$F$48,33),""))</f>
        <v/>
      </c>
      <c r="F258" s="7" t="str">
        <f>IF(E258="","",IFERROR(_xludf.XLOOKUP(E258,Countries!$A$2:$A$72,Countries!$B$2:$B$72,"???"),"???"))</f>
        <v/>
      </c>
      <c r="G258" s="7">
        <f t="array" ref="G258">IF(E258="",0,IFERROR(XLOOKUP(E258,Countries!$A$2:$A$72,Countries!$E$2:$E$72,0),0))</f>
        <v>0</v>
      </c>
      <c r="H258" s="7">
        <f t="array" ref="H258">IF(E258="",0,IFERROR(XLOOKUP(E258,Medals!$B$2:$B$51,Medals!$D$2:$D$51,0),0))</f>
        <v>0</v>
      </c>
      <c r="I258" s="7">
        <f t="array" ref="I258">IF(E258="",0,IFERROR(XLOOKUP(E258,Medals!$B$2:$B$51,Medals!$E$2:$E$51,0),0))</f>
        <v>0</v>
      </c>
      <c r="J258" s="7">
        <f t="array" ref="J258">IF(E258="",0,IFERROR(XLOOKUP(E258,Medals!$B$2:$B$51,Medals!$F$2:$F$51,0),0))</f>
        <v>0</v>
      </c>
      <c r="K258" s="7">
        <f>H258*GoldPoints*G258</f>
        <v>0</v>
      </c>
      <c r="L258" s="7">
        <f>I258*SilverPoints*G258</f>
        <v>0</v>
      </c>
      <c r="M258" s="7">
        <f>J258*BronzePoints*G258</f>
        <v>0</v>
      </c>
      <c r="N258" s="7">
        <f t="shared" si="1"/>
        <v>0</v>
      </c>
      <c r="O258" s="7" t="b">
        <f t="array" ref="O258">IF(E258="",FALSE,IFERROR(AND(ISNUMBER(MATCH(E258,Countries!$A$2:$A$72,0)),XLOOKUP(E258,Countries!$A$2:$A$72,Countries!$I$2:$I$72,FALSE)),FALSE))</f>
        <v>0</v>
      </c>
      <c r="P258" s="7" t="b">
        <f t="array" ref="P258">IF(E258="",FALSE,IFERROR(XLOOKUP(E258,Countries!$A$2:$A$72,Countries!$G$2:$G$72,FALSE),FALSE))</f>
        <v>0</v>
      </c>
      <c r="Q258" s="7" t="str">
        <f t="shared" si="2"/>
        <v>⚪</v>
      </c>
    </row>
    <row r="259" ht="15.75" customHeight="1">
      <c r="A259" s="7" t="str">
        <f t="array" ref="A259">IFERROR(IF(INDEX(Entries!$C$2:$C$48,33)="","",INDEX(Entries!$Q$2:$Q$48,33)),"")</f>
        <v/>
      </c>
      <c r="B259" s="7" t="str">
        <f t="array" ref="B259">IF(A259="","",IFERROR(INDEX(Entries!$E$2:$E$48,33),""))</f>
        <v/>
      </c>
      <c r="C259" s="7" t="str">
        <f>IF(A259="","","Tier2_Pick1")</f>
        <v/>
      </c>
      <c r="D259" s="7" t="str">
        <f t="shared" ref="D259:D260" si="67">IF(A259="","",2)</f>
        <v/>
      </c>
      <c r="E259" s="7" t="str">
        <f t="array" ref="E259">IF(A259="","",IFERROR(INDEX(Entries!$M$2:$M$48,33),""))</f>
        <v/>
      </c>
      <c r="F259" s="7" t="str">
        <f>IF(E259="","",IFERROR(_xludf.XLOOKUP(E259,Countries!$A$2:$A$72,Countries!$B$2:$B$72,"???"),"???"))</f>
        <v/>
      </c>
      <c r="G259" s="7">
        <f t="array" ref="G259">IF(E259="",0,IFERROR(XLOOKUP(E259,Countries!$A$2:$A$72,Countries!$E$2:$E$72,0),0))</f>
        <v>0</v>
      </c>
      <c r="H259" s="7">
        <f t="array" ref="H259">IF(E259="",0,IFERROR(XLOOKUP(E259,Medals!$B$2:$B$51,Medals!$D$2:$D$51,0),0))</f>
        <v>0</v>
      </c>
      <c r="I259" s="7">
        <f t="array" ref="I259">IF(E259="",0,IFERROR(XLOOKUP(E259,Medals!$B$2:$B$51,Medals!$E$2:$E$51,0),0))</f>
        <v>0</v>
      </c>
      <c r="J259" s="7">
        <f t="array" ref="J259">IF(E259="",0,IFERROR(XLOOKUP(E259,Medals!$B$2:$B$51,Medals!$F$2:$F$51,0),0))</f>
        <v>0</v>
      </c>
      <c r="K259" s="7">
        <f>H259*GoldPoints*G259</f>
        <v>0</v>
      </c>
      <c r="L259" s="7">
        <f>I259*SilverPoints*G259</f>
        <v>0</v>
      </c>
      <c r="M259" s="7">
        <f>J259*BronzePoints*G259</f>
        <v>0</v>
      </c>
      <c r="N259" s="7">
        <f t="shared" si="1"/>
        <v>0</v>
      </c>
      <c r="O259" s="7" t="b">
        <f t="array" ref="O259">IF(E259="",FALSE,IFERROR(AND(ISNUMBER(MATCH(E259,Countries!$A$2:$A$72,0)),XLOOKUP(E259,Countries!$A$2:$A$72,Countries!$I$2:$I$72,FALSE)),FALSE))</f>
        <v>0</v>
      </c>
      <c r="P259" s="7" t="b">
        <f t="array" ref="P259">IF(E259="",FALSE,IFERROR(XLOOKUP(E259,Countries!$A$2:$A$72,Countries!$G$2:$G$72,FALSE),FALSE))</f>
        <v>0</v>
      </c>
      <c r="Q259" s="7" t="str">
        <f t="shared" si="2"/>
        <v>⚪</v>
      </c>
    </row>
    <row r="260" ht="15.75" customHeight="1">
      <c r="A260" s="7" t="str">
        <f t="array" ref="A260">IFERROR(IF(INDEX(Entries!$C$2:$C$48,33)="","",INDEX(Entries!$Q$2:$Q$48,33)),"")</f>
        <v/>
      </c>
      <c r="B260" s="7" t="str">
        <f t="array" ref="B260">IF(A260="","",IFERROR(INDEX(Entries!$E$2:$E$48,33),""))</f>
        <v/>
      </c>
      <c r="C260" s="7" t="str">
        <f>IF(A260="","","Tier2_Pick2")</f>
        <v/>
      </c>
      <c r="D260" s="7" t="str">
        <f t="shared" si="67"/>
        <v/>
      </c>
      <c r="E260" s="7" t="str">
        <f t="array" ref="E260">IF(A260="","",IFERROR(INDEX(Entries!$N$2:$N$48,33),""))</f>
        <v/>
      </c>
      <c r="F260" s="7" t="str">
        <f>IF(E260="","",IFERROR(_xludf.XLOOKUP(E260,Countries!$A$2:$A$72,Countries!$B$2:$B$72,"???"),"???"))</f>
        <v/>
      </c>
      <c r="G260" s="7">
        <f t="array" ref="G260">IF(E260="",0,IFERROR(XLOOKUP(E260,Countries!$A$2:$A$72,Countries!$E$2:$E$72,0),0))</f>
        <v>0</v>
      </c>
      <c r="H260" s="7">
        <f t="array" ref="H260">IF(E260="",0,IFERROR(XLOOKUP(E260,Medals!$B$2:$B$51,Medals!$D$2:$D$51,0),0))</f>
        <v>0</v>
      </c>
      <c r="I260" s="7">
        <f t="array" ref="I260">IF(E260="",0,IFERROR(XLOOKUP(E260,Medals!$B$2:$B$51,Medals!$E$2:$E$51,0),0))</f>
        <v>0</v>
      </c>
      <c r="J260" s="7">
        <f t="array" ref="J260">IF(E260="",0,IFERROR(XLOOKUP(E260,Medals!$B$2:$B$51,Medals!$F$2:$F$51,0),0))</f>
        <v>0</v>
      </c>
      <c r="K260" s="7">
        <f>H260*GoldPoints*G260</f>
        <v>0</v>
      </c>
      <c r="L260" s="7">
        <f>I260*SilverPoints*G260</f>
        <v>0</v>
      </c>
      <c r="M260" s="7">
        <f>J260*BronzePoints*G260</f>
        <v>0</v>
      </c>
      <c r="N260" s="7">
        <f t="shared" si="1"/>
        <v>0</v>
      </c>
      <c r="O260" s="7" t="b">
        <f t="array" ref="O260">IF(E260="",FALSE,IFERROR(AND(ISNUMBER(MATCH(E260,Countries!$A$2:$A$72,0)),XLOOKUP(E260,Countries!$A$2:$A$72,Countries!$I$2:$I$72,FALSE)),FALSE))</f>
        <v>0</v>
      </c>
      <c r="P260" s="7" t="b">
        <f t="array" ref="P260">IF(E260="",FALSE,IFERROR(XLOOKUP(E260,Countries!$A$2:$A$72,Countries!$G$2:$G$72,FALSE),FALSE))</f>
        <v>0</v>
      </c>
      <c r="Q260" s="7" t="str">
        <f t="shared" si="2"/>
        <v>⚪</v>
      </c>
    </row>
    <row r="261" ht="15.75" customHeight="1">
      <c r="A261" s="7" t="str">
        <f t="array" ref="A261">IFERROR(IF(INDEX(Entries!$C$2:$C$48,33)="","",INDEX(Entries!$Q$2:$Q$48,33)),"")</f>
        <v/>
      </c>
      <c r="B261" s="7" t="str">
        <f t="array" ref="B261">IF(A261="","",IFERROR(INDEX(Entries!$E$2:$E$48,33),""))</f>
        <v/>
      </c>
      <c r="C261" s="7" t="str">
        <f>IF(A261="","","Tier3_Pick1")</f>
        <v/>
      </c>
      <c r="D261" s="7" t="str">
        <f>IF(A261="","",3)</f>
        <v/>
      </c>
      <c r="E261" s="7" t="str">
        <f t="array" ref="E261">IF(A261="","",IFERROR(INDEX(Entries!$H$2:$H$48,33),""))</f>
        <v/>
      </c>
      <c r="F261" s="7" t="str">
        <f>IF(E261="","",IFERROR(_xludf.XLOOKUP(E261,Countries!$A$2:$A$72,Countries!$B$2:$B$72,"???"),"???"))</f>
        <v/>
      </c>
      <c r="G261" s="7">
        <f t="array" ref="G261">IF(E261="",0,IFERROR(XLOOKUP(E261,Countries!$A$2:$A$72,Countries!$E$2:$E$72,0),0))</f>
        <v>0</v>
      </c>
      <c r="H261" s="7">
        <f t="array" ref="H261">IF(E261="",0,IFERROR(XLOOKUP(E261,Medals!$B$2:$B$51,Medals!$D$2:$D$51,0),0))</f>
        <v>0</v>
      </c>
      <c r="I261" s="7">
        <f t="array" ref="I261">IF(E261="",0,IFERROR(XLOOKUP(E261,Medals!$B$2:$B$51,Medals!$E$2:$E$51,0),0))</f>
        <v>0</v>
      </c>
      <c r="J261" s="7">
        <f t="array" ref="J261">IF(E261="",0,IFERROR(XLOOKUP(E261,Medals!$B$2:$B$51,Medals!$F$2:$F$51,0),0))</f>
        <v>0</v>
      </c>
      <c r="K261" s="7">
        <f>H261*GoldPoints*G261</f>
        <v>0</v>
      </c>
      <c r="L261" s="7">
        <f>I261*SilverPoints*G261</f>
        <v>0</v>
      </c>
      <c r="M261" s="7">
        <f>J261*BronzePoints*G261</f>
        <v>0</v>
      </c>
      <c r="N261" s="7">
        <f t="shared" si="1"/>
        <v>0</v>
      </c>
      <c r="O261" s="7" t="b">
        <f t="array" ref="O261">IF(E261="",FALSE,IFERROR(AND(ISNUMBER(MATCH(E261,Countries!$A$2:$A$72,0)),XLOOKUP(E261,Countries!$A$2:$A$72,Countries!$I$2:$I$72,FALSE)),FALSE))</f>
        <v>0</v>
      </c>
      <c r="P261" s="7" t="b">
        <f t="array" ref="P261">IF(E261="",FALSE,IFERROR(XLOOKUP(E261,Countries!$A$2:$A$72,Countries!$G$2:$G$72,FALSE),FALSE))</f>
        <v>0</v>
      </c>
      <c r="Q261" s="7" t="str">
        <f t="shared" si="2"/>
        <v>⚪</v>
      </c>
    </row>
    <row r="262" ht="15.75" customHeight="1">
      <c r="A262" s="7" t="str">
        <f t="array" ref="A262">IFERROR(IF(INDEX(Entries!$C$2:$C$48,33)="","",INDEX(Entries!$Q$2:$Q$48,33)),"")</f>
        <v/>
      </c>
      <c r="B262" s="7" t="str">
        <f t="array" ref="B262">IF(A262="","",IFERROR(INDEX(Entries!$E$2:$E$48,33),""))</f>
        <v/>
      </c>
      <c r="C262" s="7" t="str">
        <f>IF(A262="","","Tier4_Pick1")</f>
        <v/>
      </c>
      <c r="D262" s="7" t="str">
        <f>IF(A262="","",4)</f>
        <v/>
      </c>
      <c r="E262" s="7" t="str">
        <f t="array" ref="E262">IF(A262="","",IFERROR(INDEX(Entries!$I$2:$I$48,33),""))</f>
        <v/>
      </c>
      <c r="F262" s="7" t="str">
        <f>IF(E262="","",IFERROR(_xludf.XLOOKUP(E262,Countries!$A$2:$A$72,Countries!$B$2:$B$72,"???"),"???"))</f>
        <v/>
      </c>
      <c r="G262" s="7">
        <f t="array" ref="G262">IF(E262="",0,IFERROR(XLOOKUP(E262,Countries!$A$2:$A$72,Countries!$E$2:$E$72,0),0))</f>
        <v>0</v>
      </c>
      <c r="H262" s="7">
        <f t="array" ref="H262">IF(E262="",0,IFERROR(XLOOKUP(E262,Medals!$B$2:$B$51,Medals!$D$2:$D$51,0),0))</f>
        <v>0</v>
      </c>
      <c r="I262" s="7">
        <f t="array" ref="I262">IF(E262="",0,IFERROR(XLOOKUP(E262,Medals!$B$2:$B$51,Medals!$E$2:$E$51,0),0))</f>
        <v>0</v>
      </c>
      <c r="J262" s="7">
        <f t="array" ref="J262">IF(E262="",0,IFERROR(XLOOKUP(E262,Medals!$B$2:$B$51,Medals!$F$2:$F$51,0),0))</f>
        <v>0</v>
      </c>
      <c r="K262" s="7">
        <f>H262*GoldPoints*G262</f>
        <v>0</v>
      </c>
      <c r="L262" s="7">
        <f>I262*SilverPoints*G262</f>
        <v>0</v>
      </c>
      <c r="M262" s="7">
        <f>J262*BronzePoints*G262</f>
        <v>0</v>
      </c>
      <c r="N262" s="7">
        <f t="shared" si="1"/>
        <v>0</v>
      </c>
      <c r="O262" s="7" t="b">
        <f t="array" ref="O262">IF(E262="",FALSE,IFERROR(AND(ISNUMBER(MATCH(E262,Countries!$A$2:$A$72,0)),XLOOKUP(E262,Countries!$A$2:$A$72,Countries!$I$2:$I$72,FALSE)),FALSE))</f>
        <v>0</v>
      </c>
      <c r="P262" s="7" t="b">
        <f t="array" ref="P262">IF(E262="",FALSE,IFERROR(XLOOKUP(E262,Countries!$A$2:$A$72,Countries!$G$2:$G$72,FALSE),FALSE))</f>
        <v>0</v>
      </c>
      <c r="Q262" s="7" t="str">
        <f t="shared" si="2"/>
        <v>⚪</v>
      </c>
    </row>
    <row r="263" ht="15.75" customHeight="1">
      <c r="A263" s="7" t="str">
        <f t="array" ref="A263">IFERROR(IF(INDEX(Entries!$C$2:$C$48,33)="","",INDEX(Entries!$Q$2:$Q$48,33)),"")</f>
        <v/>
      </c>
      <c r="B263" s="7" t="str">
        <f t="array" ref="B263">IF(A263="","",IFERROR(INDEX(Entries!$E$2:$E$48,33),""))</f>
        <v/>
      </c>
      <c r="C263" s="7" t="str">
        <f>IF(A263="","","Tier5_Pick1")</f>
        <v/>
      </c>
      <c r="D263" s="7" t="str">
        <f>IF(A263="","",5)</f>
        <v/>
      </c>
      <c r="E263" s="7" t="str">
        <f t="array" ref="E263">IF(A263="","",IFERROR(INDEX(Entries!$J$2:$J$48,33),""))</f>
        <v/>
      </c>
      <c r="F263" s="7" t="str">
        <f>IF(E263="","",IFERROR(_xludf.XLOOKUP(E263,Countries!$A$2:$A$72,Countries!$B$2:$B$72,"???"),"???"))</f>
        <v/>
      </c>
      <c r="G263" s="7">
        <f t="array" ref="G263">IF(E263="",0,IFERROR(XLOOKUP(E263,Countries!$A$2:$A$72,Countries!$E$2:$E$72,0),0))</f>
        <v>0</v>
      </c>
      <c r="H263" s="7">
        <f t="array" ref="H263">IF(E263="",0,IFERROR(XLOOKUP(E263,Medals!$B$2:$B$51,Medals!$D$2:$D$51,0),0))</f>
        <v>0</v>
      </c>
      <c r="I263" s="7">
        <f t="array" ref="I263">IF(E263="",0,IFERROR(XLOOKUP(E263,Medals!$B$2:$B$51,Medals!$E$2:$E$51,0),0))</f>
        <v>0</v>
      </c>
      <c r="J263" s="7">
        <f t="array" ref="J263">IF(E263="",0,IFERROR(XLOOKUP(E263,Medals!$B$2:$B$51,Medals!$F$2:$F$51,0),0))</f>
        <v>0</v>
      </c>
      <c r="K263" s="7">
        <f>H263*GoldPoints*G263</f>
        <v>0</v>
      </c>
      <c r="L263" s="7">
        <f>I263*SilverPoints*G263</f>
        <v>0</v>
      </c>
      <c r="M263" s="7">
        <f>J263*BronzePoints*G263</f>
        <v>0</v>
      </c>
      <c r="N263" s="7">
        <f t="shared" si="1"/>
        <v>0</v>
      </c>
      <c r="O263" s="7" t="b">
        <f t="array" ref="O263">IF(E263="",FALSE,IFERROR(AND(ISNUMBER(MATCH(E263,Countries!$A$2:$A$72,0)),XLOOKUP(E263,Countries!$A$2:$A$72,Countries!$I$2:$I$72,FALSE)),FALSE))</f>
        <v>0</v>
      </c>
      <c r="P263" s="7" t="b">
        <f t="array" ref="P263">IF(E263="",FALSE,IFERROR(XLOOKUP(E263,Countries!$A$2:$A$72,Countries!$G$2:$G$72,FALSE),FALSE))</f>
        <v>0</v>
      </c>
      <c r="Q263" s="7" t="str">
        <f t="shared" si="2"/>
        <v>⚪</v>
      </c>
    </row>
    <row r="264" ht="15.75" customHeight="1">
      <c r="A264" s="7" t="str">
        <f t="array" ref="A264">IFERROR(IF(INDEX(Entries!$C$2:$C$48,33)="","",INDEX(Entries!$Q$2:$Q$48,33)),"")</f>
        <v/>
      </c>
      <c r="B264" s="7" t="str">
        <f t="array" ref="B264">IF(A264="","",IFERROR(INDEX(Entries!$E$2:$E$48,33),""))</f>
        <v/>
      </c>
      <c r="C264" s="7" t="str">
        <f>IF(A264="","","Tier6_Pick1")</f>
        <v/>
      </c>
      <c r="D264" s="7" t="str">
        <f t="shared" ref="D264:D265" si="68">IF(A264="","",6)</f>
        <v/>
      </c>
      <c r="E264" s="7" t="str">
        <f t="array" ref="E264">IF(A264="","",IFERROR(INDEX(Entries!$O$2:$O$48,33),""))</f>
        <v/>
      </c>
      <c r="F264" s="7" t="str">
        <f>IF(E264="","",IFERROR(_xludf.XLOOKUP(E264,Countries!$A$2:$A$72,Countries!$B$2:$B$72,"???"),"???"))</f>
        <v/>
      </c>
      <c r="G264" s="7">
        <f t="array" ref="G264">IF(E264="",0,IFERROR(XLOOKUP(E264,Countries!$A$2:$A$72,Countries!$E$2:$E$72,0),0))</f>
        <v>0</v>
      </c>
      <c r="H264" s="7">
        <f t="array" ref="H264">IF(E264="",0,IFERROR(XLOOKUP(E264,Medals!$B$2:$B$51,Medals!$D$2:$D$51,0),0))</f>
        <v>0</v>
      </c>
      <c r="I264" s="7">
        <f t="array" ref="I264">IF(E264="",0,IFERROR(XLOOKUP(E264,Medals!$B$2:$B$51,Medals!$E$2:$E$51,0),0))</f>
        <v>0</v>
      </c>
      <c r="J264" s="7">
        <f t="array" ref="J264">IF(E264="",0,IFERROR(XLOOKUP(E264,Medals!$B$2:$B$51,Medals!$F$2:$F$51,0),0))</f>
        <v>0</v>
      </c>
      <c r="K264" s="7">
        <f>H264*GoldPoints*G264</f>
        <v>0</v>
      </c>
      <c r="L264" s="7">
        <f>I264*SilverPoints*G264</f>
        <v>0</v>
      </c>
      <c r="M264" s="7">
        <f>J264*BronzePoints*G264</f>
        <v>0</v>
      </c>
      <c r="N264" s="7">
        <f t="shared" si="1"/>
        <v>0</v>
      </c>
      <c r="O264" s="7" t="b">
        <f t="array" ref="O264">IF(E264="",FALSE,IFERROR(AND(ISNUMBER(MATCH(E264,Countries!$A$2:$A$72,0)),XLOOKUP(E264,Countries!$A$2:$A$72,Countries!$I$2:$I$72,FALSE)),FALSE))</f>
        <v>0</v>
      </c>
      <c r="P264" s="7" t="b">
        <f t="array" ref="P264">IF(E264="",FALSE,IFERROR(XLOOKUP(E264,Countries!$A$2:$A$72,Countries!$G$2:$G$72,FALSE),FALSE))</f>
        <v>0</v>
      </c>
      <c r="Q264" s="7" t="str">
        <f t="shared" si="2"/>
        <v>⚪</v>
      </c>
    </row>
    <row r="265" ht="15.75" customHeight="1">
      <c r="A265" s="7" t="str">
        <f t="array" ref="A265">IFERROR(IF(INDEX(Entries!$C$2:$C$48,33)="","",INDEX(Entries!$Q$2:$Q$48,33)),"")</f>
        <v/>
      </c>
      <c r="B265" s="7" t="str">
        <f t="array" ref="B265">IF(A265="","",IFERROR(INDEX(Entries!$E$2:$E$48,33),""))</f>
        <v/>
      </c>
      <c r="C265" s="7" t="str">
        <f>IF(A265="","","Tier6_Pick2")</f>
        <v/>
      </c>
      <c r="D265" s="7" t="str">
        <f t="shared" si="68"/>
        <v/>
      </c>
      <c r="E265" s="7" t="str">
        <f t="array" ref="E265">IF(A265="","",IFERROR(INDEX(Entries!$P$2:$P$48,33),""))</f>
        <v/>
      </c>
      <c r="F265" s="7" t="str">
        <f>IF(E265="","",IFERROR(_xludf.XLOOKUP(E265,Countries!$A$2:$A$72,Countries!$B$2:$B$72,"???"),"???"))</f>
        <v/>
      </c>
      <c r="G265" s="7">
        <f t="array" ref="G265">IF(E265="",0,IFERROR(XLOOKUP(E265,Countries!$A$2:$A$72,Countries!$E$2:$E$72,0),0))</f>
        <v>0</v>
      </c>
      <c r="H265" s="7">
        <f t="array" ref="H265">IF(E265="",0,IFERROR(XLOOKUP(E265,Medals!$B$2:$B$51,Medals!$D$2:$D$51,0),0))</f>
        <v>0</v>
      </c>
      <c r="I265" s="7">
        <f t="array" ref="I265">IF(E265="",0,IFERROR(XLOOKUP(E265,Medals!$B$2:$B$51,Medals!$E$2:$E$51,0),0))</f>
        <v>0</v>
      </c>
      <c r="J265" s="7">
        <f t="array" ref="J265">IF(E265="",0,IFERROR(XLOOKUP(E265,Medals!$B$2:$B$51,Medals!$F$2:$F$51,0),0))</f>
        <v>0</v>
      </c>
      <c r="K265" s="7">
        <f>H265*GoldPoints*G265</f>
        <v>0</v>
      </c>
      <c r="L265" s="7">
        <f>I265*SilverPoints*G265</f>
        <v>0</v>
      </c>
      <c r="M265" s="7">
        <f>J265*BronzePoints*G265</f>
        <v>0</v>
      </c>
      <c r="N265" s="7">
        <f t="shared" si="1"/>
        <v>0</v>
      </c>
      <c r="O265" s="7" t="b">
        <f t="array" ref="O265">IF(E265="",FALSE,IFERROR(AND(ISNUMBER(MATCH(E265,Countries!$A$2:$A$72,0)),XLOOKUP(E265,Countries!$A$2:$A$72,Countries!$I$2:$I$72,FALSE)),FALSE))</f>
        <v>0</v>
      </c>
      <c r="P265" s="7" t="b">
        <f t="array" ref="P265">IF(E265="",FALSE,IFERROR(XLOOKUP(E265,Countries!$A$2:$A$72,Countries!$G$2:$G$72,FALSE),FALSE))</f>
        <v>0</v>
      </c>
      <c r="Q265" s="7" t="str">
        <f t="shared" si="2"/>
        <v>⚪</v>
      </c>
    </row>
    <row r="266" ht="15.75" customHeight="1">
      <c r="A266" s="7" t="str">
        <f t="array" ref="A266">IFERROR(IF(INDEX(Entries!$C$2:$C$48,34)="","",INDEX(Entries!$Q$2:$Q$48,34)),"")</f>
        <v/>
      </c>
      <c r="B266" s="7" t="str">
        <f t="array" ref="B266">IF(A266="","",IFERROR(INDEX(Entries!$E$2:$E$48,34),""))</f>
        <v/>
      </c>
      <c r="C266" s="7" t="str">
        <f>IF(A266="","","Tier1_Pick1")</f>
        <v/>
      </c>
      <c r="D266" s="7" t="str">
        <f>IF(A266="","",1)</f>
        <v/>
      </c>
      <c r="E266" s="7" t="str">
        <f t="array" ref="E266">IF(A266="","",IFERROR(INDEX(Entries!$F$2:$F$48,34),""))</f>
        <v/>
      </c>
      <c r="F266" s="7" t="str">
        <f>IF(E266="","",IFERROR(_xludf.XLOOKUP(E266,Countries!$A$2:$A$72,Countries!$B$2:$B$72,"???"),"???"))</f>
        <v/>
      </c>
      <c r="G266" s="7">
        <f t="array" ref="G266">IF(E266="",0,IFERROR(XLOOKUP(E266,Countries!$A$2:$A$72,Countries!$E$2:$E$72,0),0))</f>
        <v>0</v>
      </c>
      <c r="H266" s="7">
        <f t="array" ref="H266">IF(E266="",0,IFERROR(XLOOKUP(E266,Medals!$B$2:$B$51,Medals!$D$2:$D$51,0),0))</f>
        <v>0</v>
      </c>
      <c r="I266" s="7">
        <f t="array" ref="I266">IF(E266="",0,IFERROR(XLOOKUP(E266,Medals!$B$2:$B$51,Medals!$E$2:$E$51,0),0))</f>
        <v>0</v>
      </c>
      <c r="J266" s="7">
        <f t="array" ref="J266">IF(E266="",0,IFERROR(XLOOKUP(E266,Medals!$B$2:$B$51,Medals!$F$2:$F$51,0),0))</f>
        <v>0</v>
      </c>
      <c r="K266" s="7">
        <f>H266*GoldPoints*G266</f>
        <v>0</v>
      </c>
      <c r="L266" s="7">
        <f>I266*SilverPoints*G266</f>
        <v>0</v>
      </c>
      <c r="M266" s="7">
        <f>J266*BronzePoints*G266</f>
        <v>0</v>
      </c>
      <c r="N266" s="7">
        <f t="shared" si="1"/>
        <v>0</v>
      </c>
      <c r="O266" s="7" t="b">
        <f t="array" ref="O266">IF(E266="",FALSE,IFERROR(AND(ISNUMBER(MATCH(E266,Countries!$A$2:$A$72,0)),XLOOKUP(E266,Countries!$A$2:$A$72,Countries!$I$2:$I$72,FALSE)),FALSE))</f>
        <v>0</v>
      </c>
      <c r="P266" s="7" t="b">
        <f t="array" ref="P266">IF(E266="",FALSE,IFERROR(XLOOKUP(E266,Countries!$A$2:$A$72,Countries!$G$2:$G$72,FALSE),FALSE))</f>
        <v>0</v>
      </c>
      <c r="Q266" s="7" t="str">
        <f t="shared" si="2"/>
        <v>⚪</v>
      </c>
    </row>
    <row r="267" ht="15.75" customHeight="1">
      <c r="A267" s="7" t="str">
        <f t="array" ref="A267">IFERROR(IF(INDEX(Entries!$C$2:$C$48,34)="","",INDEX(Entries!$Q$2:$Q$48,34)),"")</f>
        <v/>
      </c>
      <c r="B267" s="7" t="str">
        <f t="array" ref="B267">IF(A267="","",IFERROR(INDEX(Entries!$E$2:$E$48,34),""))</f>
        <v/>
      </c>
      <c r="C267" s="7" t="str">
        <f>IF(A267="","","Tier2_Pick1")</f>
        <v/>
      </c>
      <c r="D267" s="7" t="str">
        <f t="shared" ref="D267:D268" si="69">IF(A267="","",2)</f>
        <v/>
      </c>
      <c r="E267" s="7" t="str">
        <f t="array" ref="E267">IF(A267="","",IFERROR(INDEX(Entries!$M$2:$M$48,34),""))</f>
        <v/>
      </c>
      <c r="F267" s="7" t="str">
        <f>IF(E267="","",IFERROR(_xludf.XLOOKUP(E267,Countries!$A$2:$A$72,Countries!$B$2:$B$72,"???"),"???"))</f>
        <v/>
      </c>
      <c r="G267" s="7">
        <f t="array" ref="G267">IF(E267="",0,IFERROR(XLOOKUP(E267,Countries!$A$2:$A$72,Countries!$E$2:$E$72,0),0))</f>
        <v>0</v>
      </c>
      <c r="H267" s="7">
        <f t="array" ref="H267">IF(E267="",0,IFERROR(XLOOKUP(E267,Medals!$B$2:$B$51,Medals!$D$2:$D$51,0),0))</f>
        <v>0</v>
      </c>
      <c r="I267" s="7">
        <f t="array" ref="I267">IF(E267="",0,IFERROR(XLOOKUP(E267,Medals!$B$2:$B$51,Medals!$E$2:$E$51,0),0))</f>
        <v>0</v>
      </c>
      <c r="J267" s="7">
        <f t="array" ref="J267">IF(E267="",0,IFERROR(XLOOKUP(E267,Medals!$B$2:$B$51,Medals!$F$2:$F$51,0),0))</f>
        <v>0</v>
      </c>
      <c r="K267" s="7">
        <f>H267*GoldPoints*G267</f>
        <v>0</v>
      </c>
      <c r="L267" s="7">
        <f>I267*SilverPoints*G267</f>
        <v>0</v>
      </c>
      <c r="M267" s="7">
        <f>J267*BronzePoints*G267</f>
        <v>0</v>
      </c>
      <c r="N267" s="7">
        <f t="shared" si="1"/>
        <v>0</v>
      </c>
      <c r="O267" s="7" t="b">
        <f t="array" ref="O267">IF(E267="",FALSE,IFERROR(AND(ISNUMBER(MATCH(E267,Countries!$A$2:$A$72,0)),XLOOKUP(E267,Countries!$A$2:$A$72,Countries!$I$2:$I$72,FALSE)),FALSE))</f>
        <v>0</v>
      </c>
      <c r="P267" s="7" t="b">
        <f t="array" ref="P267">IF(E267="",FALSE,IFERROR(XLOOKUP(E267,Countries!$A$2:$A$72,Countries!$G$2:$G$72,FALSE),FALSE))</f>
        <v>0</v>
      </c>
      <c r="Q267" s="7" t="str">
        <f t="shared" si="2"/>
        <v>⚪</v>
      </c>
    </row>
    <row r="268" ht="15.75" customHeight="1">
      <c r="A268" s="7" t="str">
        <f t="array" ref="A268">IFERROR(IF(INDEX(Entries!$C$2:$C$48,34)="","",INDEX(Entries!$Q$2:$Q$48,34)),"")</f>
        <v/>
      </c>
      <c r="B268" s="7" t="str">
        <f t="array" ref="B268">IF(A268="","",IFERROR(INDEX(Entries!$E$2:$E$48,34),""))</f>
        <v/>
      </c>
      <c r="C268" s="7" t="str">
        <f>IF(A268="","","Tier2_Pick2")</f>
        <v/>
      </c>
      <c r="D268" s="7" t="str">
        <f t="shared" si="69"/>
        <v/>
      </c>
      <c r="E268" s="7" t="str">
        <f t="array" ref="E268">IF(A268="","",IFERROR(INDEX(Entries!$N$2:$N$48,34),""))</f>
        <v/>
      </c>
      <c r="F268" s="7" t="str">
        <f>IF(E268="","",IFERROR(_xludf.XLOOKUP(E268,Countries!$A$2:$A$72,Countries!$B$2:$B$72,"???"),"???"))</f>
        <v/>
      </c>
      <c r="G268" s="7">
        <f t="array" ref="G268">IF(E268="",0,IFERROR(XLOOKUP(E268,Countries!$A$2:$A$72,Countries!$E$2:$E$72,0),0))</f>
        <v>0</v>
      </c>
      <c r="H268" s="7">
        <f t="array" ref="H268">IF(E268="",0,IFERROR(XLOOKUP(E268,Medals!$B$2:$B$51,Medals!$D$2:$D$51,0),0))</f>
        <v>0</v>
      </c>
      <c r="I268" s="7">
        <f t="array" ref="I268">IF(E268="",0,IFERROR(XLOOKUP(E268,Medals!$B$2:$B$51,Medals!$E$2:$E$51,0),0))</f>
        <v>0</v>
      </c>
      <c r="J268" s="7">
        <f t="array" ref="J268">IF(E268="",0,IFERROR(XLOOKUP(E268,Medals!$B$2:$B$51,Medals!$F$2:$F$51,0),0))</f>
        <v>0</v>
      </c>
      <c r="K268" s="7">
        <f>H268*GoldPoints*G268</f>
        <v>0</v>
      </c>
      <c r="L268" s="7">
        <f>I268*SilverPoints*G268</f>
        <v>0</v>
      </c>
      <c r="M268" s="7">
        <f>J268*BronzePoints*G268</f>
        <v>0</v>
      </c>
      <c r="N268" s="7">
        <f t="shared" si="1"/>
        <v>0</v>
      </c>
      <c r="O268" s="7" t="b">
        <f t="array" ref="O268">IF(E268="",FALSE,IFERROR(AND(ISNUMBER(MATCH(E268,Countries!$A$2:$A$72,0)),XLOOKUP(E268,Countries!$A$2:$A$72,Countries!$I$2:$I$72,FALSE)),FALSE))</f>
        <v>0</v>
      </c>
      <c r="P268" s="7" t="b">
        <f t="array" ref="P268">IF(E268="",FALSE,IFERROR(XLOOKUP(E268,Countries!$A$2:$A$72,Countries!$G$2:$G$72,FALSE),FALSE))</f>
        <v>0</v>
      </c>
      <c r="Q268" s="7" t="str">
        <f t="shared" si="2"/>
        <v>⚪</v>
      </c>
    </row>
    <row r="269" ht="15.75" customHeight="1">
      <c r="A269" s="7" t="str">
        <f t="array" ref="A269">IFERROR(IF(INDEX(Entries!$C$2:$C$48,34)="","",INDEX(Entries!$Q$2:$Q$48,34)),"")</f>
        <v/>
      </c>
      <c r="B269" s="7" t="str">
        <f t="array" ref="B269">IF(A269="","",IFERROR(INDEX(Entries!$E$2:$E$48,34),""))</f>
        <v/>
      </c>
      <c r="C269" s="7" t="str">
        <f>IF(A269="","","Tier3_Pick1")</f>
        <v/>
      </c>
      <c r="D269" s="7" t="str">
        <f>IF(A269="","",3)</f>
        <v/>
      </c>
      <c r="E269" s="7" t="str">
        <f t="array" ref="E269">IF(A269="","",IFERROR(INDEX(Entries!$H$2:$H$48,34),""))</f>
        <v/>
      </c>
      <c r="F269" s="7" t="str">
        <f>IF(E269="","",IFERROR(_xludf.XLOOKUP(E269,Countries!$A$2:$A$72,Countries!$B$2:$B$72,"???"),"???"))</f>
        <v/>
      </c>
      <c r="G269" s="7">
        <f t="array" ref="G269">IF(E269="",0,IFERROR(XLOOKUP(E269,Countries!$A$2:$A$72,Countries!$E$2:$E$72,0),0))</f>
        <v>0</v>
      </c>
      <c r="H269" s="7">
        <f t="array" ref="H269">IF(E269="",0,IFERROR(XLOOKUP(E269,Medals!$B$2:$B$51,Medals!$D$2:$D$51,0),0))</f>
        <v>0</v>
      </c>
      <c r="I269" s="7">
        <f t="array" ref="I269">IF(E269="",0,IFERROR(XLOOKUP(E269,Medals!$B$2:$B$51,Medals!$E$2:$E$51,0),0))</f>
        <v>0</v>
      </c>
      <c r="J269" s="7">
        <f t="array" ref="J269">IF(E269="",0,IFERROR(XLOOKUP(E269,Medals!$B$2:$B$51,Medals!$F$2:$F$51,0),0))</f>
        <v>0</v>
      </c>
      <c r="K269" s="7">
        <f>H269*GoldPoints*G269</f>
        <v>0</v>
      </c>
      <c r="L269" s="7">
        <f>I269*SilverPoints*G269</f>
        <v>0</v>
      </c>
      <c r="M269" s="7">
        <f>J269*BronzePoints*G269</f>
        <v>0</v>
      </c>
      <c r="N269" s="7">
        <f t="shared" si="1"/>
        <v>0</v>
      </c>
      <c r="O269" s="7" t="b">
        <f t="array" ref="O269">IF(E269="",FALSE,IFERROR(AND(ISNUMBER(MATCH(E269,Countries!$A$2:$A$72,0)),XLOOKUP(E269,Countries!$A$2:$A$72,Countries!$I$2:$I$72,FALSE)),FALSE))</f>
        <v>0</v>
      </c>
      <c r="P269" s="7" t="b">
        <f t="array" ref="P269">IF(E269="",FALSE,IFERROR(XLOOKUP(E269,Countries!$A$2:$A$72,Countries!$G$2:$G$72,FALSE),FALSE))</f>
        <v>0</v>
      </c>
      <c r="Q269" s="7" t="str">
        <f t="shared" si="2"/>
        <v>⚪</v>
      </c>
    </row>
    <row r="270" ht="15.75" customHeight="1">
      <c r="A270" s="7" t="str">
        <f t="array" ref="A270">IFERROR(IF(INDEX(Entries!$C$2:$C$48,34)="","",INDEX(Entries!$Q$2:$Q$48,34)),"")</f>
        <v/>
      </c>
      <c r="B270" s="7" t="str">
        <f t="array" ref="B270">IF(A270="","",IFERROR(INDEX(Entries!$E$2:$E$48,34),""))</f>
        <v/>
      </c>
      <c r="C270" s="7" t="str">
        <f>IF(A270="","","Tier4_Pick1")</f>
        <v/>
      </c>
      <c r="D270" s="7" t="str">
        <f>IF(A270="","",4)</f>
        <v/>
      </c>
      <c r="E270" s="7" t="str">
        <f t="array" ref="E270">IF(A270="","",IFERROR(INDEX(Entries!$I$2:$I$48,34),""))</f>
        <v/>
      </c>
      <c r="F270" s="7" t="str">
        <f>IF(E270="","",IFERROR(_xludf.XLOOKUP(E270,Countries!$A$2:$A$72,Countries!$B$2:$B$72,"???"),"???"))</f>
        <v/>
      </c>
      <c r="G270" s="7">
        <f t="array" ref="G270">IF(E270="",0,IFERROR(XLOOKUP(E270,Countries!$A$2:$A$72,Countries!$E$2:$E$72,0),0))</f>
        <v>0</v>
      </c>
      <c r="H270" s="7">
        <f t="array" ref="H270">IF(E270="",0,IFERROR(XLOOKUP(E270,Medals!$B$2:$B$51,Medals!$D$2:$D$51,0),0))</f>
        <v>0</v>
      </c>
      <c r="I270" s="7">
        <f t="array" ref="I270">IF(E270="",0,IFERROR(XLOOKUP(E270,Medals!$B$2:$B$51,Medals!$E$2:$E$51,0),0))</f>
        <v>0</v>
      </c>
      <c r="J270" s="7">
        <f t="array" ref="J270">IF(E270="",0,IFERROR(XLOOKUP(E270,Medals!$B$2:$B$51,Medals!$F$2:$F$51,0),0))</f>
        <v>0</v>
      </c>
      <c r="K270" s="7">
        <f>H270*GoldPoints*G270</f>
        <v>0</v>
      </c>
      <c r="L270" s="7">
        <f>I270*SilverPoints*G270</f>
        <v>0</v>
      </c>
      <c r="M270" s="7">
        <f>J270*BronzePoints*G270</f>
        <v>0</v>
      </c>
      <c r="N270" s="7">
        <f t="shared" si="1"/>
        <v>0</v>
      </c>
      <c r="O270" s="7" t="b">
        <f t="array" ref="O270">IF(E270="",FALSE,IFERROR(AND(ISNUMBER(MATCH(E270,Countries!$A$2:$A$72,0)),XLOOKUP(E270,Countries!$A$2:$A$72,Countries!$I$2:$I$72,FALSE)),FALSE))</f>
        <v>0</v>
      </c>
      <c r="P270" s="7" t="b">
        <f t="array" ref="P270">IF(E270="",FALSE,IFERROR(XLOOKUP(E270,Countries!$A$2:$A$72,Countries!$G$2:$G$72,FALSE),FALSE))</f>
        <v>0</v>
      </c>
      <c r="Q270" s="7" t="str">
        <f t="shared" si="2"/>
        <v>⚪</v>
      </c>
    </row>
    <row r="271" ht="15.75" customHeight="1">
      <c r="A271" s="7" t="str">
        <f t="array" ref="A271">IFERROR(IF(INDEX(Entries!$C$2:$C$48,34)="","",INDEX(Entries!$Q$2:$Q$48,34)),"")</f>
        <v/>
      </c>
      <c r="B271" s="7" t="str">
        <f t="array" ref="B271">IF(A271="","",IFERROR(INDEX(Entries!$E$2:$E$48,34),""))</f>
        <v/>
      </c>
      <c r="C271" s="7" t="str">
        <f>IF(A271="","","Tier5_Pick1")</f>
        <v/>
      </c>
      <c r="D271" s="7" t="str">
        <f>IF(A271="","",5)</f>
        <v/>
      </c>
      <c r="E271" s="7" t="str">
        <f t="array" ref="E271">IF(A271="","",IFERROR(INDEX(Entries!$J$2:$J$48,34),""))</f>
        <v/>
      </c>
      <c r="F271" s="7" t="str">
        <f>IF(E271="","",IFERROR(_xludf.XLOOKUP(E271,Countries!$A$2:$A$72,Countries!$B$2:$B$72,"???"),"???"))</f>
        <v/>
      </c>
      <c r="G271" s="7">
        <f t="array" ref="G271">IF(E271="",0,IFERROR(XLOOKUP(E271,Countries!$A$2:$A$72,Countries!$E$2:$E$72,0),0))</f>
        <v>0</v>
      </c>
      <c r="H271" s="7">
        <f t="array" ref="H271">IF(E271="",0,IFERROR(XLOOKUP(E271,Medals!$B$2:$B$51,Medals!$D$2:$D$51,0),0))</f>
        <v>0</v>
      </c>
      <c r="I271" s="7">
        <f t="array" ref="I271">IF(E271="",0,IFERROR(XLOOKUP(E271,Medals!$B$2:$B$51,Medals!$E$2:$E$51,0),0))</f>
        <v>0</v>
      </c>
      <c r="J271" s="7">
        <f t="array" ref="J271">IF(E271="",0,IFERROR(XLOOKUP(E271,Medals!$B$2:$B$51,Medals!$F$2:$F$51,0),0))</f>
        <v>0</v>
      </c>
      <c r="K271" s="7">
        <f>H271*GoldPoints*G271</f>
        <v>0</v>
      </c>
      <c r="L271" s="7">
        <f>I271*SilverPoints*G271</f>
        <v>0</v>
      </c>
      <c r="M271" s="7">
        <f>J271*BronzePoints*G271</f>
        <v>0</v>
      </c>
      <c r="N271" s="7">
        <f t="shared" si="1"/>
        <v>0</v>
      </c>
      <c r="O271" s="7" t="b">
        <f t="array" ref="O271">IF(E271="",FALSE,IFERROR(AND(ISNUMBER(MATCH(E271,Countries!$A$2:$A$72,0)),XLOOKUP(E271,Countries!$A$2:$A$72,Countries!$I$2:$I$72,FALSE)),FALSE))</f>
        <v>0</v>
      </c>
      <c r="P271" s="7" t="b">
        <f t="array" ref="P271">IF(E271="",FALSE,IFERROR(XLOOKUP(E271,Countries!$A$2:$A$72,Countries!$G$2:$G$72,FALSE),FALSE))</f>
        <v>0</v>
      </c>
      <c r="Q271" s="7" t="str">
        <f t="shared" si="2"/>
        <v>⚪</v>
      </c>
    </row>
    <row r="272" ht="15.75" customHeight="1">
      <c r="A272" s="7" t="str">
        <f t="array" ref="A272">IFERROR(IF(INDEX(Entries!$C$2:$C$48,34)="","",INDEX(Entries!$Q$2:$Q$48,34)),"")</f>
        <v/>
      </c>
      <c r="B272" s="7" t="str">
        <f t="array" ref="B272">IF(A272="","",IFERROR(INDEX(Entries!$E$2:$E$48,34),""))</f>
        <v/>
      </c>
      <c r="C272" s="7" t="str">
        <f>IF(A272="","","Tier6_Pick1")</f>
        <v/>
      </c>
      <c r="D272" s="7" t="str">
        <f t="shared" ref="D272:D273" si="70">IF(A272="","",6)</f>
        <v/>
      </c>
      <c r="E272" s="7" t="str">
        <f t="array" ref="E272">IF(A272="","",IFERROR(INDEX(Entries!$O$2:$O$48,34),""))</f>
        <v/>
      </c>
      <c r="F272" s="7" t="str">
        <f>IF(E272="","",IFERROR(_xludf.XLOOKUP(E272,Countries!$A$2:$A$72,Countries!$B$2:$B$72,"???"),"???"))</f>
        <v/>
      </c>
      <c r="G272" s="7">
        <f t="array" ref="G272">IF(E272="",0,IFERROR(XLOOKUP(E272,Countries!$A$2:$A$72,Countries!$E$2:$E$72,0),0))</f>
        <v>0</v>
      </c>
      <c r="H272" s="7">
        <f t="array" ref="H272">IF(E272="",0,IFERROR(XLOOKUP(E272,Medals!$B$2:$B$51,Medals!$D$2:$D$51,0),0))</f>
        <v>0</v>
      </c>
      <c r="I272" s="7">
        <f t="array" ref="I272">IF(E272="",0,IFERROR(XLOOKUP(E272,Medals!$B$2:$B$51,Medals!$E$2:$E$51,0),0))</f>
        <v>0</v>
      </c>
      <c r="J272" s="7">
        <f t="array" ref="J272">IF(E272="",0,IFERROR(XLOOKUP(E272,Medals!$B$2:$B$51,Medals!$F$2:$F$51,0),0))</f>
        <v>0</v>
      </c>
      <c r="K272" s="7">
        <f>H272*GoldPoints*G272</f>
        <v>0</v>
      </c>
      <c r="L272" s="7">
        <f>I272*SilverPoints*G272</f>
        <v>0</v>
      </c>
      <c r="M272" s="7">
        <f>J272*BronzePoints*G272</f>
        <v>0</v>
      </c>
      <c r="N272" s="7">
        <f t="shared" si="1"/>
        <v>0</v>
      </c>
      <c r="O272" s="7" t="b">
        <f t="array" ref="O272">IF(E272="",FALSE,IFERROR(AND(ISNUMBER(MATCH(E272,Countries!$A$2:$A$72,0)),XLOOKUP(E272,Countries!$A$2:$A$72,Countries!$I$2:$I$72,FALSE)),FALSE))</f>
        <v>0</v>
      </c>
      <c r="P272" s="7" t="b">
        <f t="array" ref="P272">IF(E272="",FALSE,IFERROR(XLOOKUP(E272,Countries!$A$2:$A$72,Countries!$G$2:$G$72,FALSE),FALSE))</f>
        <v>0</v>
      </c>
      <c r="Q272" s="7" t="str">
        <f t="shared" si="2"/>
        <v>⚪</v>
      </c>
    </row>
    <row r="273" ht="15.75" customHeight="1">
      <c r="A273" s="7" t="str">
        <f t="array" ref="A273">IFERROR(IF(INDEX(Entries!$C$2:$C$48,34)="","",INDEX(Entries!$Q$2:$Q$48,34)),"")</f>
        <v/>
      </c>
      <c r="B273" s="7" t="str">
        <f t="array" ref="B273">IF(A273="","",IFERROR(INDEX(Entries!$E$2:$E$48,34),""))</f>
        <v/>
      </c>
      <c r="C273" s="7" t="str">
        <f>IF(A273="","","Tier6_Pick2")</f>
        <v/>
      </c>
      <c r="D273" s="7" t="str">
        <f t="shared" si="70"/>
        <v/>
      </c>
      <c r="E273" s="7" t="str">
        <f t="array" ref="E273">IF(A273="","",IFERROR(INDEX(Entries!$P$2:$P$48,34),""))</f>
        <v/>
      </c>
      <c r="F273" s="7" t="str">
        <f>IF(E273="","",IFERROR(_xludf.XLOOKUP(E273,Countries!$A$2:$A$72,Countries!$B$2:$B$72,"???"),"???"))</f>
        <v/>
      </c>
      <c r="G273" s="7">
        <f t="array" ref="G273">IF(E273="",0,IFERROR(XLOOKUP(E273,Countries!$A$2:$A$72,Countries!$E$2:$E$72,0),0))</f>
        <v>0</v>
      </c>
      <c r="H273" s="7">
        <f t="array" ref="H273">IF(E273="",0,IFERROR(XLOOKUP(E273,Medals!$B$2:$B$51,Medals!$D$2:$D$51,0),0))</f>
        <v>0</v>
      </c>
      <c r="I273" s="7">
        <f t="array" ref="I273">IF(E273="",0,IFERROR(XLOOKUP(E273,Medals!$B$2:$B$51,Medals!$E$2:$E$51,0),0))</f>
        <v>0</v>
      </c>
      <c r="J273" s="7">
        <f t="array" ref="J273">IF(E273="",0,IFERROR(XLOOKUP(E273,Medals!$B$2:$B$51,Medals!$F$2:$F$51,0),0))</f>
        <v>0</v>
      </c>
      <c r="K273" s="7">
        <f>H273*GoldPoints*G273</f>
        <v>0</v>
      </c>
      <c r="L273" s="7">
        <f>I273*SilverPoints*G273</f>
        <v>0</v>
      </c>
      <c r="M273" s="7">
        <f>J273*BronzePoints*G273</f>
        <v>0</v>
      </c>
      <c r="N273" s="7">
        <f t="shared" si="1"/>
        <v>0</v>
      </c>
      <c r="O273" s="7" t="b">
        <f t="array" ref="O273">IF(E273="",FALSE,IFERROR(AND(ISNUMBER(MATCH(E273,Countries!$A$2:$A$72,0)),XLOOKUP(E273,Countries!$A$2:$A$72,Countries!$I$2:$I$72,FALSE)),FALSE))</f>
        <v>0</v>
      </c>
      <c r="P273" s="7" t="b">
        <f t="array" ref="P273">IF(E273="",FALSE,IFERROR(XLOOKUP(E273,Countries!$A$2:$A$72,Countries!$G$2:$G$72,FALSE),FALSE))</f>
        <v>0</v>
      </c>
      <c r="Q273" s="7" t="str">
        <f t="shared" si="2"/>
        <v>⚪</v>
      </c>
    </row>
    <row r="274" ht="15.75" customHeight="1">
      <c r="A274" s="7" t="str">
        <f t="array" ref="A274">IFERROR(IF(INDEX(Entries!$C$2:$C$48,35)="","",INDEX(Entries!$Q$2:$Q$48,35)),"")</f>
        <v/>
      </c>
      <c r="B274" s="7" t="str">
        <f t="array" ref="B274">IF(A274="","",IFERROR(INDEX(Entries!$E$2:$E$48,35),""))</f>
        <v/>
      </c>
      <c r="C274" s="7" t="str">
        <f>IF(A274="","","Tier1_Pick1")</f>
        <v/>
      </c>
      <c r="D274" s="7" t="str">
        <f>IF(A274="","",1)</f>
        <v/>
      </c>
      <c r="E274" s="7" t="str">
        <f t="array" ref="E274">IF(A274="","",IFERROR(INDEX(Entries!$F$2:$F$48,35),""))</f>
        <v/>
      </c>
      <c r="F274" s="7" t="str">
        <f>IF(E274="","",IFERROR(_xludf.XLOOKUP(E274,Countries!$A$2:$A$72,Countries!$B$2:$B$72,"???"),"???"))</f>
        <v/>
      </c>
      <c r="G274" s="7">
        <f t="array" ref="G274">IF(E274="",0,IFERROR(XLOOKUP(E274,Countries!$A$2:$A$72,Countries!$E$2:$E$72,0),0))</f>
        <v>0</v>
      </c>
      <c r="H274" s="7">
        <f t="array" ref="H274">IF(E274="",0,IFERROR(XLOOKUP(E274,Medals!$B$2:$B$51,Medals!$D$2:$D$51,0),0))</f>
        <v>0</v>
      </c>
      <c r="I274" s="7">
        <f t="array" ref="I274">IF(E274="",0,IFERROR(XLOOKUP(E274,Medals!$B$2:$B$51,Medals!$E$2:$E$51,0),0))</f>
        <v>0</v>
      </c>
      <c r="J274" s="7">
        <f t="array" ref="J274">IF(E274="",0,IFERROR(XLOOKUP(E274,Medals!$B$2:$B$51,Medals!$F$2:$F$51,0),0))</f>
        <v>0</v>
      </c>
      <c r="K274" s="7">
        <f>H274*GoldPoints*G274</f>
        <v>0</v>
      </c>
      <c r="L274" s="7">
        <f>I274*SilverPoints*G274</f>
        <v>0</v>
      </c>
      <c r="M274" s="7">
        <f>J274*BronzePoints*G274</f>
        <v>0</v>
      </c>
      <c r="N274" s="7">
        <f t="shared" si="1"/>
        <v>0</v>
      </c>
      <c r="O274" s="7" t="b">
        <f t="array" ref="O274">IF(E274="",FALSE,IFERROR(AND(ISNUMBER(MATCH(E274,Countries!$A$2:$A$72,0)),XLOOKUP(E274,Countries!$A$2:$A$72,Countries!$I$2:$I$72,FALSE)),FALSE))</f>
        <v>0</v>
      </c>
      <c r="P274" s="7" t="b">
        <f t="array" ref="P274">IF(E274="",FALSE,IFERROR(XLOOKUP(E274,Countries!$A$2:$A$72,Countries!$G$2:$G$72,FALSE),FALSE))</f>
        <v>0</v>
      </c>
      <c r="Q274" s="7" t="str">
        <f t="shared" si="2"/>
        <v>⚪</v>
      </c>
    </row>
    <row r="275" ht="15.75" customHeight="1">
      <c r="A275" s="7" t="str">
        <f t="array" ref="A275">IFERROR(IF(INDEX(Entries!$C$2:$C$48,35)="","",INDEX(Entries!$Q$2:$Q$48,35)),"")</f>
        <v/>
      </c>
      <c r="B275" s="7" t="str">
        <f t="array" ref="B275">IF(A275="","",IFERROR(INDEX(Entries!$E$2:$E$48,35),""))</f>
        <v/>
      </c>
      <c r="C275" s="7" t="str">
        <f>IF(A275="","","Tier2_Pick1")</f>
        <v/>
      </c>
      <c r="D275" s="7" t="str">
        <f t="shared" ref="D275:D276" si="71">IF(A275="","",2)</f>
        <v/>
      </c>
      <c r="E275" s="7" t="str">
        <f t="array" ref="E275">IF(A275="","",IFERROR(INDEX(Entries!$M$2:$M$48,35),""))</f>
        <v/>
      </c>
      <c r="F275" s="7" t="str">
        <f>IF(E275="","",IFERROR(_xludf.XLOOKUP(E275,Countries!$A$2:$A$72,Countries!$B$2:$B$72,"???"),"???"))</f>
        <v/>
      </c>
      <c r="G275" s="7">
        <f t="array" ref="G275">IF(E275="",0,IFERROR(XLOOKUP(E275,Countries!$A$2:$A$72,Countries!$E$2:$E$72,0),0))</f>
        <v>0</v>
      </c>
      <c r="H275" s="7">
        <f t="array" ref="H275">IF(E275="",0,IFERROR(XLOOKUP(E275,Medals!$B$2:$B$51,Medals!$D$2:$D$51,0),0))</f>
        <v>0</v>
      </c>
      <c r="I275" s="7">
        <f t="array" ref="I275">IF(E275="",0,IFERROR(XLOOKUP(E275,Medals!$B$2:$B$51,Medals!$E$2:$E$51,0),0))</f>
        <v>0</v>
      </c>
      <c r="J275" s="7">
        <f t="array" ref="J275">IF(E275="",0,IFERROR(XLOOKUP(E275,Medals!$B$2:$B$51,Medals!$F$2:$F$51,0),0))</f>
        <v>0</v>
      </c>
      <c r="K275" s="7">
        <f>H275*GoldPoints*G275</f>
        <v>0</v>
      </c>
      <c r="L275" s="7">
        <f>I275*SilverPoints*G275</f>
        <v>0</v>
      </c>
      <c r="M275" s="7">
        <f>J275*BronzePoints*G275</f>
        <v>0</v>
      </c>
      <c r="N275" s="7">
        <f t="shared" si="1"/>
        <v>0</v>
      </c>
      <c r="O275" s="7" t="b">
        <f t="array" ref="O275">IF(E275="",FALSE,IFERROR(AND(ISNUMBER(MATCH(E275,Countries!$A$2:$A$72,0)),XLOOKUP(E275,Countries!$A$2:$A$72,Countries!$I$2:$I$72,FALSE)),FALSE))</f>
        <v>0</v>
      </c>
      <c r="P275" s="7" t="b">
        <f t="array" ref="P275">IF(E275="",FALSE,IFERROR(XLOOKUP(E275,Countries!$A$2:$A$72,Countries!$G$2:$G$72,FALSE),FALSE))</f>
        <v>0</v>
      </c>
      <c r="Q275" s="7" t="str">
        <f t="shared" si="2"/>
        <v>⚪</v>
      </c>
    </row>
    <row r="276" ht="15.75" customHeight="1">
      <c r="A276" s="7" t="str">
        <f t="array" ref="A276">IFERROR(IF(INDEX(Entries!$C$2:$C$48,35)="","",INDEX(Entries!$Q$2:$Q$48,35)),"")</f>
        <v/>
      </c>
      <c r="B276" s="7" t="str">
        <f t="array" ref="B276">IF(A276="","",IFERROR(INDEX(Entries!$E$2:$E$48,35),""))</f>
        <v/>
      </c>
      <c r="C276" s="7" t="str">
        <f>IF(A276="","","Tier2_Pick2")</f>
        <v/>
      </c>
      <c r="D276" s="7" t="str">
        <f t="shared" si="71"/>
        <v/>
      </c>
      <c r="E276" s="7" t="str">
        <f t="array" ref="E276">IF(A276="","",IFERROR(INDEX(Entries!$N$2:$N$48,35),""))</f>
        <v/>
      </c>
      <c r="F276" s="7" t="str">
        <f>IF(E276="","",IFERROR(_xludf.XLOOKUP(E276,Countries!$A$2:$A$72,Countries!$B$2:$B$72,"???"),"???"))</f>
        <v/>
      </c>
      <c r="G276" s="7">
        <f t="array" ref="G276">IF(E276="",0,IFERROR(XLOOKUP(E276,Countries!$A$2:$A$72,Countries!$E$2:$E$72,0),0))</f>
        <v>0</v>
      </c>
      <c r="H276" s="7">
        <f t="array" ref="H276">IF(E276="",0,IFERROR(XLOOKUP(E276,Medals!$B$2:$B$51,Medals!$D$2:$D$51,0),0))</f>
        <v>0</v>
      </c>
      <c r="I276" s="7">
        <f t="array" ref="I276">IF(E276="",0,IFERROR(XLOOKUP(E276,Medals!$B$2:$B$51,Medals!$E$2:$E$51,0),0))</f>
        <v>0</v>
      </c>
      <c r="J276" s="7">
        <f t="array" ref="J276">IF(E276="",0,IFERROR(XLOOKUP(E276,Medals!$B$2:$B$51,Medals!$F$2:$F$51,0),0))</f>
        <v>0</v>
      </c>
      <c r="K276" s="7">
        <f>H276*GoldPoints*G276</f>
        <v>0</v>
      </c>
      <c r="L276" s="7">
        <f>I276*SilverPoints*G276</f>
        <v>0</v>
      </c>
      <c r="M276" s="7">
        <f>J276*BronzePoints*G276</f>
        <v>0</v>
      </c>
      <c r="N276" s="7">
        <f t="shared" si="1"/>
        <v>0</v>
      </c>
      <c r="O276" s="7" t="b">
        <f t="array" ref="O276">IF(E276="",FALSE,IFERROR(AND(ISNUMBER(MATCH(E276,Countries!$A$2:$A$72,0)),XLOOKUP(E276,Countries!$A$2:$A$72,Countries!$I$2:$I$72,FALSE)),FALSE))</f>
        <v>0</v>
      </c>
      <c r="P276" s="7" t="b">
        <f t="array" ref="P276">IF(E276="",FALSE,IFERROR(XLOOKUP(E276,Countries!$A$2:$A$72,Countries!$G$2:$G$72,FALSE),FALSE))</f>
        <v>0</v>
      </c>
      <c r="Q276" s="7" t="str">
        <f t="shared" si="2"/>
        <v>⚪</v>
      </c>
    </row>
    <row r="277" ht="15.75" customHeight="1">
      <c r="A277" s="7" t="str">
        <f t="array" ref="A277">IFERROR(IF(INDEX(Entries!$C$2:$C$48,35)="","",INDEX(Entries!$Q$2:$Q$48,35)),"")</f>
        <v/>
      </c>
      <c r="B277" s="7" t="str">
        <f t="array" ref="B277">IF(A277="","",IFERROR(INDEX(Entries!$E$2:$E$48,35),""))</f>
        <v/>
      </c>
      <c r="C277" s="7" t="str">
        <f>IF(A277="","","Tier3_Pick1")</f>
        <v/>
      </c>
      <c r="D277" s="7" t="str">
        <f>IF(A277="","",3)</f>
        <v/>
      </c>
      <c r="E277" s="7" t="str">
        <f t="array" ref="E277">IF(A277="","",IFERROR(INDEX(Entries!$H$2:$H$48,35),""))</f>
        <v/>
      </c>
      <c r="F277" s="7" t="str">
        <f>IF(E277="","",IFERROR(_xludf.XLOOKUP(E277,Countries!$A$2:$A$72,Countries!$B$2:$B$72,"???"),"???"))</f>
        <v/>
      </c>
      <c r="G277" s="7">
        <f t="array" ref="G277">IF(E277="",0,IFERROR(XLOOKUP(E277,Countries!$A$2:$A$72,Countries!$E$2:$E$72,0),0))</f>
        <v>0</v>
      </c>
      <c r="H277" s="7">
        <f t="array" ref="H277">IF(E277="",0,IFERROR(XLOOKUP(E277,Medals!$B$2:$B$51,Medals!$D$2:$D$51,0),0))</f>
        <v>0</v>
      </c>
      <c r="I277" s="7">
        <f t="array" ref="I277">IF(E277="",0,IFERROR(XLOOKUP(E277,Medals!$B$2:$B$51,Medals!$E$2:$E$51,0),0))</f>
        <v>0</v>
      </c>
      <c r="J277" s="7">
        <f t="array" ref="J277">IF(E277="",0,IFERROR(XLOOKUP(E277,Medals!$B$2:$B$51,Medals!$F$2:$F$51,0),0))</f>
        <v>0</v>
      </c>
      <c r="K277" s="7">
        <f>H277*GoldPoints*G277</f>
        <v>0</v>
      </c>
      <c r="L277" s="7">
        <f>I277*SilverPoints*G277</f>
        <v>0</v>
      </c>
      <c r="M277" s="7">
        <f>J277*BronzePoints*G277</f>
        <v>0</v>
      </c>
      <c r="N277" s="7">
        <f t="shared" si="1"/>
        <v>0</v>
      </c>
      <c r="O277" s="7" t="b">
        <f t="array" ref="O277">IF(E277="",FALSE,IFERROR(AND(ISNUMBER(MATCH(E277,Countries!$A$2:$A$72,0)),XLOOKUP(E277,Countries!$A$2:$A$72,Countries!$I$2:$I$72,FALSE)),FALSE))</f>
        <v>0</v>
      </c>
      <c r="P277" s="7" t="b">
        <f t="array" ref="P277">IF(E277="",FALSE,IFERROR(XLOOKUP(E277,Countries!$A$2:$A$72,Countries!$G$2:$G$72,FALSE),FALSE))</f>
        <v>0</v>
      </c>
      <c r="Q277" s="7" t="str">
        <f t="shared" si="2"/>
        <v>⚪</v>
      </c>
    </row>
    <row r="278" ht="15.75" customHeight="1">
      <c r="A278" s="7" t="str">
        <f t="array" ref="A278">IFERROR(IF(INDEX(Entries!$C$2:$C$48,35)="","",INDEX(Entries!$Q$2:$Q$48,35)),"")</f>
        <v/>
      </c>
      <c r="B278" s="7" t="str">
        <f t="array" ref="B278">IF(A278="","",IFERROR(INDEX(Entries!$E$2:$E$48,35),""))</f>
        <v/>
      </c>
      <c r="C278" s="7" t="str">
        <f>IF(A278="","","Tier4_Pick1")</f>
        <v/>
      </c>
      <c r="D278" s="7" t="str">
        <f>IF(A278="","",4)</f>
        <v/>
      </c>
      <c r="E278" s="7" t="str">
        <f t="array" ref="E278">IF(A278="","",IFERROR(INDEX(Entries!$I$2:$I$48,35),""))</f>
        <v/>
      </c>
      <c r="F278" s="7" t="str">
        <f>IF(E278="","",IFERROR(_xludf.XLOOKUP(E278,Countries!$A$2:$A$72,Countries!$B$2:$B$72,"???"),"???"))</f>
        <v/>
      </c>
      <c r="G278" s="7">
        <f t="array" ref="G278">IF(E278="",0,IFERROR(XLOOKUP(E278,Countries!$A$2:$A$72,Countries!$E$2:$E$72,0),0))</f>
        <v>0</v>
      </c>
      <c r="H278" s="7">
        <f t="array" ref="H278">IF(E278="",0,IFERROR(XLOOKUP(E278,Medals!$B$2:$B$51,Medals!$D$2:$D$51,0),0))</f>
        <v>0</v>
      </c>
      <c r="I278" s="7">
        <f t="array" ref="I278">IF(E278="",0,IFERROR(XLOOKUP(E278,Medals!$B$2:$B$51,Medals!$E$2:$E$51,0),0))</f>
        <v>0</v>
      </c>
      <c r="J278" s="7">
        <f t="array" ref="J278">IF(E278="",0,IFERROR(XLOOKUP(E278,Medals!$B$2:$B$51,Medals!$F$2:$F$51,0),0))</f>
        <v>0</v>
      </c>
      <c r="K278" s="7">
        <f>H278*GoldPoints*G278</f>
        <v>0</v>
      </c>
      <c r="L278" s="7">
        <f>I278*SilverPoints*G278</f>
        <v>0</v>
      </c>
      <c r="M278" s="7">
        <f>J278*BronzePoints*G278</f>
        <v>0</v>
      </c>
      <c r="N278" s="7">
        <f t="shared" si="1"/>
        <v>0</v>
      </c>
      <c r="O278" s="7" t="b">
        <f t="array" ref="O278">IF(E278="",FALSE,IFERROR(AND(ISNUMBER(MATCH(E278,Countries!$A$2:$A$72,0)),XLOOKUP(E278,Countries!$A$2:$A$72,Countries!$I$2:$I$72,FALSE)),FALSE))</f>
        <v>0</v>
      </c>
      <c r="P278" s="7" t="b">
        <f t="array" ref="P278">IF(E278="",FALSE,IFERROR(XLOOKUP(E278,Countries!$A$2:$A$72,Countries!$G$2:$G$72,FALSE),FALSE))</f>
        <v>0</v>
      </c>
      <c r="Q278" s="7" t="str">
        <f t="shared" si="2"/>
        <v>⚪</v>
      </c>
    </row>
    <row r="279" ht="15.75" customHeight="1">
      <c r="A279" s="7" t="str">
        <f t="array" ref="A279">IFERROR(IF(INDEX(Entries!$C$2:$C$48,35)="","",INDEX(Entries!$Q$2:$Q$48,35)),"")</f>
        <v/>
      </c>
      <c r="B279" s="7" t="str">
        <f t="array" ref="B279">IF(A279="","",IFERROR(INDEX(Entries!$E$2:$E$48,35),""))</f>
        <v/>
      </c>
      <c r="C279" s="7" t="str">
        <f>IF(A279="","","Tier5_Pick1")</f>
        <v/>
      </c>
      <c r="D279" s="7" t="str">
        <f>IF(A279="","",5)</f>
        <v/>
      </c>
      <c r="E279" s="7" t="str">
        <f t="array" ref="E279">IF(A279="","",IFERROR(INDEX(Entries!$J$2:$J$48,35),""))</f>
        <v/>
      </c>
      <c r="F279" s="7" t="str">
        <f>IF(E279="","",IFERROR(_xludf.XLOOKUP(E279,Countries!$A$2:$A$72,Countries!$B$2:$B$72,"???"),"???"))</f>
        <v/>
      </c>
      <c r="G279" s="7">
        <f t="array" ref="G279">IF(E279="",0,IFERROR(XLOOKUP(E279,Countries!$A$2:$A$72,Countries!$E$2:$E$72,0),0))</f>
        <v>0</v>
      </c>
      <c r="H279" s="7">
        <f t="array" ref="H279">IF(E279="",0,IFERROR(XLOOKUP(E279,Medals!$B$2:$B$51,Medals!$D$2:$D$51,0),0))</f>
        <v>0</v>
      </c>
      <c r="I279" s="7">
        <f t="array" ref="I279">IF(E279="",0,IFERROR(XLOOKUP(E279,Medals!$B$2:$B$51,Medals!$E$2:$E$51,0),0))</f>
        <v>0</v>
      </c>
      <c r="J279" s="7">
        <f t="array" ref="J279">IF(E279="",0,IFERROR(XLOOKUP(E279,Medals!$B$2:$B$51,Medals!$F$2:$F$51,0),0))</f>
        <v>0</v>
      </c>
      <c r="K279" s="7">
        <f>H279*GoldPoints*G279</f>
        <v>0</v>
      </c>
      <c r="L279" s="7">
        <f>I279*SilverPoints*G279</f>
        <v>0</v>
      </c>
      <c r="M279" s="7">
        <f>J279*BronzePoints*G279</f>
        <v>0</v>
      </c>
      <c r="N279" s="7">
        <f t="shared" si="1"/>
        <v>0</v>
      </c>
      <c r="O279" s="7" t="b">
        <f t="array" ref="O279">IF(E279="",FALSE,IFERROR(AND(ISNUMBER(MATCH(E279,Countries!$A$2:$A$72,0)),XLOOKUP(E279,Countries!$A$2:$A$72,Countries!$I$2:$I$72,FALSE)),FALSE))</f>
        <v>0</v>
      </c>
      <c r="P279" s="7" t="b">
        <f t="array" ref="P279">IF(E279="",FALSE,IFERROR(XLOOKUP(E279,Countries!$A$2:$A$72,Countries!$G$2:$G$72,FALSE),FALSE))</f>
        <v>0</v>
      </c>
      <c r="Q279" s="7" t="str">
        <f t="shared" si="2"/>
        <v>⚪</v>
      </c>
    </row>
    <row r="280" ht="15.75" customHeight="1">
      <c r="A280" s="7" t="str">
        <f t="array" ref="A280">IFERROR(IF(INDEX(Entries!$C$2:$C$48,35)="","",INDEX(Entries!$Q$2:$Q$48,35)),"")</f>
        <v/>
      </c>
      <c r="B280" s="7" t="str">
        <f t="array" ref="B280">IF(A280="","",IFERROR(INDEX(Entries!$E$2:$E$48,35),""))</f>
        <v/>
      </c>
      <c r="C280" s="7" t="str">
        <f>IF(A280="","","Tier6_Pick1")</f>
        <v/>
      </c>
      <c r="D280" s="7" t="str">
        <f t="shared" ref="D280:D281" si="72">IF(A280="","",6)</f>
        <v/>
      </c>
      <c r="E280" s="7" t="str">
        <f t="array" ref="E280">IF(A280="","",IFERROR(INDEX(Entries!$O$2:$O$48,35),""))</f>
        <v/>
      </c>
      <c r="F280" s="7" t="str">
        <f>IF(E280="","",IFERROR(_xludf.XLOOKUP(E280,Countries!$A$2:$A$72,Countries!$B$2:$B$72,"???"),"???"))</f>
        <v/>
      </c>
      <c r="G280" s="7">
        <f t="array" ref="G280">IF(E280="",0,IFERROR(XLOOKUP(E280,Countries!$A$2:$A$72,Countries!$E$2:$E$72,0),0))</f>
        <v>0</v>
      </c>
      <c r="H280" s="7">
        <f t="array" ref="H280">IF(E280="",0,IFERROR(XLOOKUP(E280,Medals!$B$2:$B$51,Medals!$D$2:$D$51,0),0))</f>
        <v>0</v>
      </c>
      <c r="I280" s="7">
        <f t="array" ref="I280">IF(E280="",0,IFERROR(XLOOKUP(E280,Medals!$B$2:$B$51,Medals!$E$2:$E$51,0),0))</f>
        <v>0</v>
      </c>
      <c r="J280" s="7">
        <f t="array" ref="J280">IF(E280="",0,IFERROR(XLOOKUP(E280,Medals!$B$2:$B$51,Medals!$F$2:$F$51,0),0))</f>
        <v>0</v>
      </c>
      <c r="K280" s="7">
        <f>H280*GoldPoints*G280</f>
        <v>0</v>
      </c>
      <c r="L280" s="7">
        <f>I280*SilverPoints*G280</f>
        <v>0</v>
      </c>
      <c r="M280" s="7">
        <f>J280*BronzePoints*G280</f>
        <v>0</v>
      </c>
      <c r="N280" s="7">
        <f t="shared" si="1"/>
        <v>0</v>
      </c>
      <c r="O280" s="7" t="b">
        <f t="array" ref="O280">IF(E280="",FALSE,IFERROR(AND(ISNUMBER(MATCH(E280,Countries!$A$2:$A$72,0)),XLOOKUP(E280,Countries!$A$2:$A$72,Countries!$I$2:$I$72,FALSE)),FALSE))</f>
        <v>0</v>
      </c>
      <c r="P280" s="7" t="b">
        <f t="array" ref="P280">IF(E280="",FALSE,IFERROR(XLOOKUP(E280,Countries!$A$2:$A$72,Countries!$G$2:$G$72,FALSE),FALSE))</f>
        <v>0</v>
      </c>
      <c r="Q280" s="7" t="str">
        <f t="shared" si="2"/>
        <v>⚪</v>
      </c>
    </row>
    <row r="281" ht="15.75" customHeight="1">
      <c r="A281" s="7" t="str">
        <f t="array" ref="A281">IFERROR(IF(INDEX(Entries!$C$2:$C$48,35)="","",INDEX(Entries!$Q$2:$Q$48,35)),"")</f>
        <v/>
      </c>
      <c r="B281" s="7" t="str">
        <f t="array" ref="B281">IF(A281="","",IFERROR(INDEX(Entries!$E$2:$E$48,35),""))</f>
        <v/>
      </c>
      <c r="C281" s="7" t="str">
        <f>IF(A281="","","Tier6_Pick2")</f>
        <v/>
      </c>
      <c r="D281" s="7" t="str">
        <f t="shared" si="72"/>
        <v/>
      </c>
      <c r="E281" s="7" t="str">
        <f t="array" ref="E281">IF(A281="","",IFERROR(INDEX(Entries!$P$2:$P$48,35),""))</f>
        <v/>
      </c>
      <c r="F281" s="7" t="str">
        <f>IF(E281="","",IFERROR(_xludf.XLOOKUP(E281,Countries!$A$2:$A$72,Countries!$B$2:$B$72,"???"),"???"))</f>
        <v/>
      </c>
      <c r="G281" s="7">
        <f t="array" ref="G281">IF(E281="",0,IFERROR(XLOOKUP(E281,Countries!$A$2:$A$72,Countries!$E$2:$E$72,0),0))</f>
        <v>0</v>
      </c>
      <c r="H281" s="7">
        <f t="array" ref="H281">IF(E281="",0,IFERROR(XLOOKUP(E281,Medals!$B$2:$B$51,Medals!$D$2:$D$51,0),0))</f>
        <v>0</v>
      </c>
      <c r="I281" s="7">
        <f t="array" ref="I281">IF(E281="",0,IFERROR(XLOOKUP(E281,Medals!$B$2:$B$51,Medals!$E$2:$E$51,0),0))</f>
        <v>0</v>
      </c>
      <c r="J281" s="7">
        <f t="array" ref="J281">IF(E281="",0,IFERROR(XLOOKUP(E281,Medals!$B$2:$B$51,Medals!$F$2:$F$51,0),0))</f>
        <v>0</v>
      </c>
      <c r="K281" s="7">
        <f>H281*GoldPoints*G281</f>
        <v>0</v>
      </c>
      <c r="L281" s="7">
        <f>I281*SilverPoints*G281</f>
        <v>0</v>
      </c>
      <c r="M281" s="7">
        <f>J281*BronzePoints*G281</f>
        <v>0</v>
      </c>
      <c r="N281" s="7">
        <f t="shared" si="1"/>
        <v>0</v>
      </c>
      <c r="O281" s="7" t="b">
        <f t="array" ref="O281">IF(E281="",FALSE,IFERROR(AND(ISNUMBER(MATCH(E281,Countries!$A$2:$A$72,0)),XLOOKUP(E281,Countries!$A$2:$A$72,Countries!$I$2:$I$72,FALSE)),FALSE))</f>
        <v>0</v>
      </c>
      <c r="P281" s="7" t="b">
        <f t="array" ref="P281">IF(E281="",FALSE,IFERROR(XLOOKUP(E281,Countries!$A$2:$A$72,Countries!$G$2:$G$72,FALSE),FALSE))</f>
        <v>0</v>
      </c>
      <c r="Q281" s="7" t="str">
        <f t="shared" si="2"/>
        <v>⚪</v>
      </c>
    </row>
    <row r="282" ht="15.75" customHeight="1">
      <c r="A282" s="7" t="str">
        <f t="array" ref="A282">IFERROR(IF(INDEX(Entries!$C$2:$C$48,36)="","",INDEX(Entries!$Q$2:$Q$48,36)),"")</f>
        <v/>
      </c>
      <c r="B282" s="7" t="str">
        <f t="array" ref="B282">IF(A282="","",IFERROR(INDEX(Entries!$E$2:$E$48,36),""))</f>
        <v/>
      </c>
      <c r="C282" s="7" t="str">
        <f>IF(A282="","","Tier1_Pick1")</f>
        <v/>
      </c>
      <c r="D282" s="7" t="str">
        <f>IF(A282="","",1)</f>
        <v/>
      </c>
      <c r="E282" s="7" t="str">
        <f t="array" ref="E282">IF(A282="","",IFERROR(INDEX(Entries!$F$2:$F$48,36),""))</f>
        <v/>
      </c>
      <c r="F282" s="7" t="str">
        <f>IF(E282="","",IFERROR(_xludf.XLOOKUP(E282,Countries!$A$2:$A$72,Countries!$B$2:$B$72,"???"),"???"))</f>
        <v/>
      </c>
      <c r="G282" s="7">
        <f t="array" ref="G282">IF(E282="",0,IFERROR(XLOOKUP(E282,Countries!$A$2:$A$72,Countries!$E$2:$E$72,0),0))</f>
        <v>0</v>
      </c>
      <c r="H282" s="7">
        <f t="array" ref="H282">IF(E282="",0,IFERROR(XLOOKUP(E282,Medals!$B$2:$B$51,Medals!$D$2:$D$51,0),0))</f>
        <v>0</v>
      </c>
      <c r="I282" s="7">
        <f t="array" ref="I282">IF(E282="",0,IFERROR(XLOOKUP(E282,Medals!$B$2:$B$51,Medals!$E$2:$E$51,0),0))</f>
        <v>0</v>
      </c>
      <c r="J282" s="7">
        <f t="array" ref="J282">IF(E282="",0,IFERROR(XLOOKUP(E282,Medals!$B$2:$B$51,Medals!$F$2:$F$51,0),0))</f>
        <v>0</v>
      </c>
      <c r="K282" s="7">
        <f>H282*GoldPoints*G282</f>
        <v>0</v>
      </c>
      <c r="L282" s="7">
        <f>I282*SilverPoints*G282</f>
        <v>0</v>
      </c>
      <c r="M282" s="7">
        <f>J282*BronzePoints*G282</f>
        <v>0</v>
      </c>
      <c r="N282" s="7">
        <f t="shared" si="1"/>
        <v>0</v>
      </c>
      <c r="O282" s="7" t="b">
        <f t="array" ref="O282">IF(E282="",FALSE,IFERROR(AND(ISNUMBER(MATCH(E282,Countries!$A$2:$A$72,0)),XLOOKUP(E282,Countries!$A$2:$A$72,Countries!$I$2:$I$72,FALSE)),FALSE))</f>
        <v>0</v>
      </c>
      <c r="P282" s="7" t="b">
        <f t="array" ref="P282">IF(E282="",FALSE,IFERROR(XLOOKUP(E282,Countries!$A$2:$A$72,Countries!$G$2:$G$72,FALSE),FALSE))</f>
        <v>0</v>
      </c>
      <c r="Q282" s="7" t="str">
        <f t="shared" si="2"/>
        <v>⚪</v>
      </c>
    </row>
    <row r="283" ht="15.75" customHeight="1">
      <c r="A283" s="7" t="str">
        <f t="array" ref="A283">IFERROR(IF(INDEX(Entries!$C$2:$C$48,36)="","",INDEX(Entries!$Q$2:$Q$48,36)),"")</f>
        <v/>
      </c>
      <c r="B283" s="7" t="str">
        <f t="array" ref="B283">IF(A283="","",IFERROR(INDEX(Entries!$E$2:$E$48,36),""))</f>
        <v/>
      </c>
      <c r="C283" s="7" t="str">
        <f>IF(A283="","","Tier2_Pick1")</f>
        <v/>
      </c>
      <c r="D283" s="7" t="str">
        <f t="shared" ref="D283:D284" si="73">IF(A283="","",2)</f>
        <v/>
      </c>
      <c r="E283" s="7" t="str">
        <f t="array" ref="E283">IF(A283="","",IFERROR(INDEX(Entries!$M$2:$M$48,36),""))</f>
        <v/>
      </c>
      <c r="F283" s="7" t="str">
        <f>IF(E283="","",IFERROR(_xludf.XLOOKUP(E283,Countries!$A$2:$A$72,Countries!$B$2:$B$72,"???"),"???"))</f>
        <v/>
      </c>
      <c r="G283" s="7">
        <f t="array" ref="G283">IF(E283="",0,IFERROR(XLOOKUP(E283,Countries!$A$2:$A$72,Countries!$E$2:$E$72,0),0))</f>
        <v>0</v>
      </c>
      <c r="H283" s="7">
        <f t="array" ref="H283">IF(E283="",0,IFERROR(XLOOKUP(E283,Medals!$B$2:$B$51,Medals!$D$2:$D$51,0),0))</f>
        <v>0</v>
      </c>
      <c r="I283" s="7">
        <f t="array" ref="I283">IF(E283="",0,IFERROR(XLOOKUP(E283,Medals!$B$2:$B$51,Medals!$E$2:$E$51,0),0))</f>
        <v>0</v>
      </c>
      <c r="J283" s="7">
        <f t="array" ref="J283">IF(E283="",0,IFERROR(XLOOKUP(E283,Medals!$B$2:$B$51,Medals!$F$2:$F$51,0),0))</f>
        <v>0</v>
      </c>
      <c r="K283" s="7">
        <f>H283*GoldPoints*G283</f>
        <v>0</v>
      </c>
      <c r="L283" s="7">
        <f>I283*SilverPoints*G283</f>
        <v>0</v>
      </c>
      <c r="M283" s="7">
        <f>J283*BronzePoints*G283</f>
        <v>0</v>
      </c>
      <c r="N283" s="7">
        <f t="shared" si="1"/>
        <v>0</v>
      </c>
      <c r="O283" s="7" t="b">
        <f t="array" ref="O283">IF(E283="",FALSE,IFERROR(AND(ISNUMBER(MATCH(E283,Countries!$A$2:$A$72,0)),XLOOKUP(E283,Countries!$A$2:$A$72,Countries!$I$2:$I$72,FALSE)),FALSE))</f>
        <v>0</v>
      </c>
      <c r="P283" s="7" t="b">
        <f t="array" ref="P283">IF(E283="",FALSE,IFERROR(XLOOKUP(E283,Countries!$A$2:$A$72,Countries!$G$2:$G$72,FALSE),FALSE))</f>
        <v>0</v>
      </c>
      <c r="Q283" s="7" t="str">
        <f t="shared" si="2"/>
        <v>⚪</v>
      </c>
    </row>
    <row r="284" ht="15.75" customHeight="1">
      <c r="A284" s="7" t="str">
        <f t="array" ref="A284">IFERROR(IF(INDEX(Entries!$C$2:$C$48,36)="","",INDEX(Entries!$Q$2:$Q$48,36)),"")</f>
        <v/>
      </c>
      <c r="B284" s="7" t="str">
        <f t="array" ref="B284">IF(A284="","",IFERROR(INDEX(Entries!$E$2:$E$48,36),""))</f>
        <v/>
      </c>
      <c r="C284" s="7" t="str">
        <f>IF(A284="","","Tier2_Pick2")</f>
        <v/>
      </c>
      <c r="D284" s="7" t="str">
        <f t="shared" si="73"/>
        <v/>
      </c>
      <c r="E284" s="7" t="str">
        <f t="array" ref="E284">IF(A284="","",IFERROR(INDEX(Entries!$N$2:$N$48,36),""))</f>
        <v/>
      </c>
      <c r="F284" s="7" t="str">
        <f>IF(E284="","",IFERROR(_xludf.XLOOKUP(E284,Countries!$A$2:$A$72,Countries!$B$2:$B$72,"???"),"???"))</f>
        <v/>
      </c>
      <c r="G284" s="7">
        <f t="array" ref="G284">IF(E284="",0,IFERROR(XLOOKUP(E284,Countries!$A$2:$A$72,Countries!$E$2:$E$72,0),0))</f>
        <v>0</v>
      </c>
      <c r="H284" s="7">
        <f t="array" ref="H284">IF(E284="",0,IFERROR(XLOOKUP(E284,Medals!$B$2:$B$51,Medals!$D$2:$D$51,0),0))</f>
        <v>0</v>
      </c>
      <c r="I284" s="7">
        <f t="array" ref="I284">IF(E284="",0,IFERROR(XLOOKUP(E284,Medals!$B$2:$B$51,Medals!$E$2:$E$51,0),0))</f>
        <v>0</v>
      </c>
      <c r="J284" s="7">
        <f t="array" ref="J284">IF(E284="",0,IFERROR(XLOOKUP(E284,Medals!$B$2:$B$51,Medals!$F$2:$F$51,0),0))</f>
        <v>0</v>
      </c>
      <c r="K284" s="7">
        <f>H284*GoldPoints*G284</f>
        <v>0</v>
      </c>
      <c r="L284" s="7">
        <f>I284*SilverPoints*G284</f>
        <v>0</v>
      </c>
      <c r="M284" s="7">
        <f>J284*BronzePoints*G284</f>
        <v>0</v>
      </c>
      <c r="N284" s="7">
        <f t="shared" si="1"/>
        <v>0</v>
      </c>
      <c r="O284" s="7" t="b">
        <f t="array" ref="O284">IF(E284="",FALSE,IFERROR(AND(ISNUMBER(MATCH(E284,Countries!$A$2:$A$72,0)),XLOOKUP(E284,Countries!$A$2:$A$72,Countries!$I$2:$I$72,FALSE)),FALSE))</f>
        <v>0</v>
      </c>
      <c r="P284" s="7" t="b">
        <f t="array" ref="P284">IF(E284="",FALSE,IFERROR(XLOOKUP(E284,Countries!$A$2:$A$72,Countries!$G$2:$G$72,FALSE),FALSE))</f>
        <v>0</v>
      </c>
      <c r="Q284" s="7" t="str">
        <f t="shared" si="2"/>
        <v>⚪</v>
      </c>
    </row>
    <row r="285" ht="15.75" customHeight="1">
      <c r="A285" s="7" t="str">
        <f t="array" ref="A285">IFERROR(IF(INDEX(Entries!$C$2:$C$48,36)="","",INDEX(Entries!$Q$2:$Q$48,36)),"")</f>
        <v/>
      </c>
      <c r="B285" s="7" t="str">
        <f t="array" ref="B285">IF(A285="","",IFERROR(INDEX(Entries!$E$2:$E$48,36),""))</f>
        <v/>
      </c>
      <c r="C285" s="7" t="str">
        <f>IF(A285="","","Tier3_Pick1")</f>
        <v/>
      </c>
      <c r="D285" s="7" t="str">
        <f>IF(A285="","",3)</f>
        <v/>
      </c>
      <c r="E285" s="7" t="str">
        <f t="array" ref="E285">IF(A285="","",IFERROR(INDEX(Entries!$H$2:$H$48,36),""))</f>
        <v/>
      </c>
      <c r="F285" s="7" t="str">
        <f>IF(E285="","",IFERROR(_xludf.XLOOKUP(E285,Countries!$A$2:$A$72,Countries!$B$2:$B$72,"???"),"???"))</f>
        <v/>
      </c>
      <c r="G285" s="7">
        <f t="array" ref="G285">IF(E285="",0,IFERROR(XLOOKUP(E285,Countries!$A$2:$A$72,Countries!$E$2:$E$72,0),0))</f>
        <v>0</v>
      </c>
      <c r="H285" s="7">
        <f t="array" ref="H285">IF(E285="",0,IFERROR(XLOOKUP(E285,Medals!$B$2:$B$51,Medals!$D$2:$D$51,0),0))</f>
        <v>0</v>
      </c>
      <c r="I285" s="7">
        <f t="array" ref="I285">IF(E285="",0,IFERROR(XLOOKUP(E285,Medals!$B$2:$B$51,Medals!$E$2:$E$51,0),0))</f>
        <v>0</v>
      </c>
      <c r="J285" s="7">
        <f t="array" ref="J285">IF(E285="",0,IFERROR(XLOOKUP(E285,Medals!$B$2:$B$51,Medals!$F$2:$F$51,0),0))</f>
        <v>0</v>
      </c>
      <c r="K285" s="7">
        <f>H285*GoldPoints*G285</f>
        <v>0</v>
      </c>
      <c r="L285" s="7">
        <f>I285*SilverPoints*G285</f>
        <v>0</v>
      </c>
      <c r="M285" s="7">
        <f>J285*BronzePoints*G285</f>
        <v>0</v>
      </c>
      <c r="N285" s="7">
        <f t="shared" si="1"/>
        <v>0</v>
      </c>
      <c r="O285" s="7" t="b">
        <f t="array" ref="O285">IF(E285="",FALSE,IFERROR(AND(ISNUMBER(MATCH(E285,Countries!$A$2:$A$72,0)),XLOOKUP(E285,Countries!$A$2:$A$72,Countries!$I$2:$I$72,FALSE)),FALSE))</f>
        <v>0</v>
      </c>
      <c r="P285" s="7" t="b">
        <f t="array" ref="P285">IF(E285="",FALSE,IFERROR(XLOOKUP(E285,Countries!$A$2:$A$72,Countries!$G$2:$G$72,FALSE),FALSE))</f>
        <v>0</v>
      </c>
      <c r="Q285" s="7" t="str">
        <f t="shared" si="2"/>
        <v>⚪</v>
      </c>
    </row>
    <row r="286" ht="15.75" customHeight="1">
      <c r="A286" s="7" t="str">
        <f t="array" ref="A286">IFERROR(IF(INDEX(Entries!$C$2:$C$48,36)="","",INDEX(Entries!$Q$2:$Q$48,36)),"")</f>
        <v/>
      </c>
      <c r="B286" s="7" t="str">
        <f t="array" ref="B286">IF(A286="","",IFERROR(INDEX(Entries!$E$2:$E$48,36),""))</f>
        <v/>
      </c>
      <c r="C286" s="7" t="str">
        <f>IF(A286="","","Tier4_Pick1")</f>
        <v/>
      </c>
      <c r="D286" s="7" t="str">
        <f>IF(A286="","",4)</f>
        <v/>
      </c>
      <c r="E286" s="7" t="str">
        <f t="array" ref="E286">IF(A286="","",IFERROR(INDEX(Entries!$I$2:$I$48,36),""))</f>
        <v/>
      </c>
      <c r="F286" s="7" t="str">
        <f>IF(E286="","",IFERROR(_xludf.XLOOKUP(E286,Countries!$A$2:$A$72,Countries!$B$2:$B$72,"???"),"???"))</f>
        <v/>
      </c>
      <c r="G286" s="7">
        <f t="array" ref="G286">IF(E286="",0,IFERROR(XLOOKUP(E286,Countries!$A$2:$A$72,Countries!$E$2:$E$72,0),0))</f>
        <v>0</v>
      </c>
      <c r="H286" s="7">
        <f t="array" ref="H286">IF(E286="",0,IFERROR(XLOOKUP(E286,Medals!$B$2:$B$51,Medals!$D$2:$D$51,0),0))</f>
        <v>0</v>
      </c>
      <c r="I286" s="7">
        <f t="array" ref="I286">IF(E286="",0,IFERROR(XLOOKUP(E286,Medals!$B$2:$B$51,Medals!$E$2:$E$51,0),0))</f>
        <v>0</v>
      </c>
      <c r="J286" s="7">
        <f t="array" ref="J286">IF(E286="",0,IFERROR(XLOOKUP(E286,Medals!$B$2:$B$51,Medals!$F$2:$F$51,0),0))</f>
        <v>0</v>
      </c>
      <c r="K286" s="7">
        <f>H286*GoldPoints*G286</f>
        <v>0</v>
      </c>
      <c r="L286" s="7">
        <f>I286*SilverPoints*G286</f>
        <v>0</v>
      </c>
      <c r="M286" s="7">
        <f>J286*BronzePoints*G286</f>
        <v>0</v>
      </c>
      <c r="N286" s="7">
        <f t="shared" si="1"/>
        <v>0</v>
      </c>
      <c r="O286" s="7" t="b">
        <f t="array" ref="O286">IF(E286="",FALSE,IFERROR(AND(ISNUMBER(MATCH(E286,Countries!$A$2:$A$72,0)),XLOOKUP(E286,Countries!$A$2:$A$72,Countries!$I$2:$I$72,FALSE)),FALSE))</f>
        <v>0</v>
      </c>
      <c r="P286" s="7" t="b">
        <f t="array" ref="P286">IF(E286="",FALSE,IFERROR(XLOOKUP(E286,Countries!$A$2:$A$72,Countries!$G$2:$G$72,FALSE),FALSE))</f>
        <v>0</v>
      </c>
      <c r="Q286" s="7" t="str">
        <f t="shared" si="2"/>
        <v>⚪</v>
      </c>
    </row>
    <row r="287" ht="15.75" customHeight="1">
      <c r="A287" s="7" t="str">
        <f t="array" ref="A287">IFERROR(IF(INDEX(Entries!$C$2:$C$48,36)="","",INDEX(Entries!$Q$2:$Q$48,36)),"")</f>
        <v/>
      </c>
      <c r="B287" s="7" t="str">
        <f t="array" ref="B287">IF(A287="","",IFERROR(INDEX(Entries!$E$2:$E$48,36),""))</f>
        <v/>
      </c>
      <c r="C287" s="7" t="str">
        <f>IF(A287="","","Tier5_Pick1")</f>
        <v/>
      </c>
      <c r="D287" s="7" t="str">
        <f>IF(A287="","",5)</f>
        <v/>
      </c>
      <c r="E287" s="7" t="str">
        <f t="array" ref="E287">IF(A287="","",IFERROR(INDEX(Entries!$J$2:$J$48,36),""))</f>
        <v/>
      </c>
      <c r="F287" s="7" t="str">
        <f>IF(E287="","",IFERROR(_xludf.XLOOKUP(E287,Countries!$A$2:$A$72,Countries!$B$2:$B$72,"???"),"???"))</f>
        <v/>
      </c>
      <c r="G287" s="7">
        <f t="array" ref="G287">IF(E287="",0,IFERROR(XLOOKUP(E287,Countries!$A$2:$A$72,Countries!$E$2:$E$72,0),0))</f>
        <v>0</v>
      </c>
      <c r="H287" s="7">
        <f t="array" ref="H287">IF(E287="",0,IFERROR(XLOOKUP(E287,Medals!$B$2:$B$51,Medals!$D$2:$D$51,0),0))</f>
        <v>0</v>
      </c>
      <c r="I287" s="7">
        <f t="array" ref="I287">IF(E287="",0,IFERROR(XLOOKUP(E287,Medals!$B$2:$B$51,Medals!$E$2:$E$51,0),0))</f>
        <v>0</v>
      </c>
      <c r="J287" s="7">
        <f t="array" ref="J287">IF(E287="",0,IFERROR(XLOOKUP(E287,Medals!$B$2:$B$51,Medals!$F$2:$F$51,0),0))</f>
        <v>0</v>
      </c>
      <c r="K287" s="7">
        <f>H287*GoldPoints*G287</f>
        <v>0</v>
      </c>
      <c r="L287" s="7">
        <f>I287*SilverPoints*G287</f>
        <v>0</v>
      </c>
      <c r="M287" s="7">
        <f>J287*BronzePoints*G287</f>
        <v>0</v>
      </c>
      <c r="N287" s="7">
        <f t="shared" si="1"/>
        <v>0</v>
      </c>
      <c r="O287" s="7" t="b">
        <f t="array" ref="O287">IF(E287="",FALSE,IFERROR(AND(ISNUMBER(MATCH(E287,Countries!$A$2:$A$72,0)),XLOOKUP(E287,Countries!$A$2:$A$72,Countries!$I$2:$I$72,FALSE)),FALSE))</f>
        <v>0</v>
      </c>
      <c r="P287" s="7" t="b">
        <f t="array" ref="P287">IF(E287="",FALSE,IFERROR(XLOOKUP(E287,Countries!$A$2:$A$72,Countries!$G$2:$G$72,FALSE),FALSE))</f>
        <v>0</v>
      </c>
      <c r="Q287" s="7" t="str">
        <f t="shared" si="2"/>
        <v>⚪</v>
      </c>
    </row>
    <row r="288" ht="15.75" customHeight="1">
      <c r="A288" s="7" t="str">
        <f t="array" ref="A288">IFERROR(IF(INDEX(Entries!$C$2:$C$48,36)="","",INDEX(Entries!$Q$2:$Q$48,36)),"")</f>
        <v/>
      </c>
      <c r="B288" s="7" t="str">
        <f t="array" ref="B288">IF(A288="","",IFERROR(INDEX(Entries!$E$2:$E$48,36),""))</f>
        <v/>
      </c>
      <c r="C288" s="7" t="str">
        <f>IF(A288="","","Tier6_Pick1")</f>
        <v/>
      </c>
      <c r="D288" s="7" t="str">
        <f t="shared" ref="D288:D289" si="74">IF(A288="","",6)</f>
        <v/>
      </c>
      <c r="E288" s="7" t="str">
        <f t="array" ref="E288">IF(A288="","",IFERROR(INDEX(Entries!$O$2:$O$48,36),""))</f>
        <v/>
      </c>
      <c r="F288" s="7" t="str">
        <f>IF(E288="","",IFERROR(_xludf.XLOOKUP(E288,Countries!$A$2:$A$72,Countries!$B$2:$B$72,"???"),"???"))</f>
        <v/>
      </c>
      <c r="G288" s="7">
        <f t="array" ref="G288">IF(E288="",0,IFERROR(XLOOKUP(E288,Countries!$A$2:$A$72,Countries!$E$2:$E$72,0),0))</f>
        <v>0</v>
      </c>
      <c r="H288" s="7">
        <f t="array" ref="H288">IF(E288="",0,IFERROR(XLOOKUP(E288,Medals!$B$2:$B$51,Medals!$D$2:$D$51,0),0))</f>
        <v>0</v>
      </c>
      <c r="I288" s="7">
        <f t="array" ref="I288">IF(E288="",0,IFERROR(XLOOKUP(E288,Medals!$B$2:$B$51,Medals!$E$2:$E$51,0),0))</f>
        <v>0</v>
      </c>
      <c r="J288" s="7">
        <f t="array" ref="J288">IF(E288="",0,IFERROR(XLOOKUP(E288,Medals!$B$2:$B$51,Medals!$F$2:$F$51,0),0))</f>
        <v>0</v>
      </c>
      <c r="K288" s="7">
        <f>H288*GoldPoints*G288</f>
        <v>0</v>
      </c>
      <c r="L288" s="7">
        <f>I288*SilverPoints*G288</f>
        <v>0</v>
      </c>
      <c r="M288" s="7">
        <f>J288*BronzePoints*G288</f>
        <v>0</v>
      </c>
      <c r="N288" s="7">
        <f t="shared" si="1"/>
        <v>0</v>
      </c>
      <c r="O288" s="7" t="b">
        <f t="array" ref="O288">IF(E288="",FALSE,IFERROR(AND(ISNUMBER(MATCH(E288,Countries!$A$2:$A$72,0)),XLOOKUP(E288,Countries!$A$2:$A$72,Countries!$I$2:$I$72,FALSE)),FALSE))</f>
        <v>0</v>
      </c>
      <c r="P288" s="7" t="b">
        <f t="array" ref="P288">IF(E288="",FALSE,IFERROR(XLOOKUP(E288,Countries!$A$2:$A$72,Countries!$G$2:$G$72,FALSE),FALSE))</f>
        <v>0</v>
      </c>
      <c r="Q288" s="7" t="str">
        <f t="shared" si="2"/>
        <v>⚪</v>
      </c>
    </row>
    <row r="289" ht="15.75" customHeight="1">
      <c r="A289" s="7" t="str">
        <f t="array" ref="A289">IFERROR(IF(INDEX(Entries!$C$2:$C$48,36)="","",INDEX(Entries!$Q$2:$Q$48,36)),"")</f>
        <v/>
      </c>
      <c r="B289" s="7" t="str">
        <f t="array" ref="B289">IF(A289="","",IFERROR(INDEX(Entries!$E$2:$E$48,36),""))</f>
        <v/>
      </c>
      <c r="C289" s="7" t="str">
        <f>IF(A289="","","Tier6_Pick2")</f>
        <v/>
      </c>
      <c r="D289" s="7" t="str">
        <f t="shared" si="74"/>
        <v/>
      </c>
      <c r="E289" s="7" t="str">
        <f t="array" ref="E289">IF(A289="","",IFERROR(INDEX(Entries!$P$2:$P$48,36),""))</f>
        <v/>
      </c>
      <c r="F289" s="7" t="str">
        <f>IF(E289="","",IFERROR(_xludf.XLOOKUP(E289,Countries!$A$2:$A$72,Countries!$B$2:$B$72,"???"),"???"))</f>
        <v/>
      </c>
      <c r="G289" s="7">
        <f t="array" ref="G289">IF(E289="",0,IFERROR(XLOOKUP(E289,Countries!$A$2:$A$72,Countries!$E$2:$E$72,0),0))</f>
        <v>0</v>
      </c>
      <c r="H289" s="7">
        <f t="array" ref="H289">IF(E289="",0,IFERROR(XLOOKUP(E289,Medals!$B$2:$B$51,Medals!$D$2:$D$51,0),0))</f>
        <v>0</v>
      </c>
      <c r="I289" s="7">
        <f t="array" ref="I289">IF(E289="",0,IFERROR(XLOOKUP(E289,Medals!$B$2:$B$51,Medals!$E$2:$E$51,0),0))</f>
        <v>0</v>
      </c>
      <c r="J289" s="7">
        <f t="array" ref="J289">IF(E289="",0,IFERROR(XLOOKUP(E289,Medals!$B$2:$B$51,Medals!$F$2:$F$51,0),0))</f>
        <v>0</v>
      </c>
      <c r="K289" s="7">
        <f>H289*GoldPoints*G289</f>
        <v>0</v>
      </c>
      <c r="L289" s="7">
        <f>I289*SilverPoints*G289</f>
        <v>0</v>
      </c>
      <c r="M289" s="7">
        <f>J289*BronzePoints*G289</f>
        <v>0</v>
      </c>
      <c r="N289" s="7">
        <f t="shared" si="1"/>
        <v>0</v>
      </c>
      <c r="O289" s="7" t="b">
        <f t="array" ref="O289">IF(E289="",FALSE,IFERROR(AND(ISNUMBER(MATCH(E289,Countries!$A$2:$A$72,0)),XLOOKUP(E289,Countries!$A$2:$A$72,Countries!$I$2:$I$72,FALSE)),FALSE))</f>
        <v>0</v>
      </c>
      <c r="P289" s="7" t="b">
        <f t="array" ref="P289">IF(E289="",FALSE,IFERROR(XLOOKUP(E289,Countries!$A$2:$A$72,Countries!$G$2:$G$72,FALSE),FALSE))</f>
        <v>0</v>
      </c>
      <c r="Q289" s="7" t="str">
        <f t="shared" si="2"/>
        <v>⚪</v>
      </c>
    </row>
    <row r="290" ht="15.75" customHeight="1">
      <c r="A290" s="7" t="str">
        <f t="array" ref="A290">IFERROR(IF(INDEX(Entries!$C$2:$C$48,37)="","",INDEX(Entries!$Q$2:$Q$48,37)),"")</f>
        <v/>
      </c>
      <c r="B290" s="7" t="str">
        <f t="array" ref="B290">IF(A290="","",IFERROR(INDEX(Entries!$E$2:$E$48,37),""))</f>
        <v/>
      </c>
      <c r="C290" s="7" t="str">
        <f>IF(A290="","","Tier1_Pick1")</f>
        <v/>
      </c>
      <c r="D290" s="7" t="str">
        <f>IF(A290="","",1)</f>
        <v/>
      </c>
      <c r="E290" s="7" t="str">
        <f t="array" ref="E290">IF(A290="","",IFERROR(INDEX(Entries!$F$2:$F$48,37),""))</f>
        <v/>
      </c>
      <c r="F290" s="7" t="str">
        <f>IF(E290="","",IFERROR(_xludf.XLOOKUP(E290,Countries!$A$2:$A$72,Countries!$B$2:$B$72,"???"),"???"))</f>
        <v/>
      </c>
      <c r="G290" s="7">
        <f t="array" ref="G290">IF(E290="",0,IFERROR(XLOOKUP(E290,Countries!$A$2:$A$72,Countries!$E$2:$E$72,0),0))</f>
        <v>0</v>
      </c>
      <c r="H290" s="7">
        <f t="array" ref="H290">IF(E290="",0,IFERROR(XLOOKUP(E290,Medals!$B$2:$B$51,Medals!$D$2:$D$51,0),0))</f>
        <v>0</v>
      </c>
      <c r="I290" s="7">
        <f t="array" ref="I290">IF(E290="",0,IFERROR(XLOOKUP(E290,Medals!$B$2:$B$51,Medals!$E$2:$E$51,0),0))</f>
        <v>0</v>
      </c>
      <c r="J290" s="7">
        <f t="array" ref="J290">IF(E290="",0,IFERROR(XLOOKUP(E290,Medals!$B$2:$B$51,Medals!$F$2:$F$51,0),0))</f>
        <v>0</v>
      </c>
      <c r="K290" s="7">
        <f>H290*GoldPoints*G290</f>
        <v>0</v>
      </c>
      <c r="L290" s="7">
        <f>I290*SilverPoints*G290</f>
        <v>0</v>
      </c>
      <c r="M290" s="7">
        <f>J290*BronzePoints*G290</f>
        <v>0</v>
      </c>
      <c r="N290" s="7">
        <f t="shared" si="1"/>
        <v>0</v>
      </c>
      <c r="O290" s="7" t="b">
        <f t="array" ref="O290">IF(E290="",FALSE,IFERROR(AND(ISNUMBER(MATCH(E290,Countries!$A$2:$A$72,0)),XLOOKUP(E290,Countries!$A$2:$A$72,Countries!$I$2:$I$72,FALSE)),FALSE))</f>
        <v>0</v>
      </c>
      <c r="P290" s="7" t="b">
        <f t="array" ref="P290">IF(E290="",FALSE,IFERROR(XLOOKUP(E290,Countries!$A$2:$A$72,Countries!$G$2:$G$72,FALSE),FALSE))</f>
        <v>0</v>
      </c>
      <c r="Q290" s="7" t="str">
        <f t="shared" si="2"/>
        <v>⚪</v>
      </c>
    </row>
    <row r="291" ht="15.75" customHeight="1">
      <c r="A291" s="7" t="str">
        <f t="array" ref="A291">IFERROR(IF(INDEX(Entries!$C$2:$C$48,37)="","",INDEX(Entries!$Q$2:$Q$48,37)),"")</f>
        <v/>
      </c>
      <c r="B291" s="7" t="str">
        <f t="array" ref="B291">IF(A291="","",IFERROR(INDEX(Entries!$E$2:$E$48,37),""))</f>
        <v/>
      </c>
      <c r="C291" s="7" t="str">
        <f>IF(A291="","","Tier2_Pick1")</f>
        <v/>
      </c>
      <c r="D291" s="7" t="str">
        <f t="shared" ref="D291:D292" si="75">IF(A291="","",2)</f>
        <v/>
      </c>
      <c r="E291" s="7" t="str">
        <f t="array" ref="E291">IF(A291="","",IFERROR(INDEX(Entries!$M$2:$M$48,37),""))</f>
        <v/>
      </c>
      <c r="F291" s="7" t="str">
        <f>IF(E291="","",IFERROR(_xludf.XLOOKUP(E291,Countries!$A$2:$A$72,Countries!$B$2:$B$72,"???"),"???"))</f>
        <v/>
      </c>
      <c r="G291" s="7">
        <f t="array" ref="G291">IF(E291="",0,IFERROR(XLOOKUP(E291,Countries!$A$2:$A$72,Countries!$E$2:$E$72,0),0))</f>
        <v>0</v>
      </c>
      <c r="H291" s="7">
        <f t="array" ref="H291">IF(E291="",0,IFERROR(XLOOKUP(E291,Medals!$B$2:$B$51,Medals!$D$2:$D$51,0),0))</f>
        <v>0</v>
      </c>
      <c r="I291" s="7">
        <f t="array" ref="I291">IF(E291="",0,IFERROR(XLOOKUP(E291,Medals!$B$2:$B$51,Medals!$E$2:$E$51,0),0))</f>
        <v>0</v>
      </c>
      <c r="J291" s="7">
        <f t="array" ref="J291">IF(E291="",0,IFERROR(XLOOKUP(E291,Medals!$B$2:$B$51,Medals!$F$2:$F$51,0),0))</f>
        <v>0</v>
      </c>
      <c r="K291" s="7">
        <f>H291*GoldPoints*G291</f>
        <v>0</v>
      </c>
      <c r="L291" s="7">
        <f>I291*SilverPoints*G291</f>
        <v>0</v>
      </c>
      <c r="M291" s="7">
        <f>J291*BronzePoints*G291</f>
        <v>0</v>
      </c>
      <c r="N291" s="7">
        <f t="shared" si="1"/>
        <v>0</v>
      </c>
      <c r="O291" s="7" t="b">
        <f t="array" ref="O291">IF(E291="",FALSE,IFERROR(AND(ISNUMBER(MATCH(E291,Countries!$A$2:$A$72,0)),XLOOKUP(E291,Countries!$A$2:$A$72,Countries!$I$2:$I$72,FALSE)),FALSE))</f>
        <v>0</v>
      </c>
      <c r="P291" s="7" t="b">
        <f t="array" ref="P291">IF(E291="",FALSE,IFERROR(XLOOKUP(E291,Countries!$A$2:$A$72,Countries!$G$2:$G$72,FALSE),FALSE))</f>
        <v>0</v>
      </c>
      <c r="Q291" s="7" t="str">
        <f t="shared" si="2"/>
        <v>⚪</v>
      </c>
    </row>
    <row r="292" ht="15.75" customHeight="1">
      <c r="A292" s="7" t="str">
        <f t="array" ref="A292">IFERROR(IF(INDEX(Entries!$C$2:$C$48,37)="","",INDEX(Entries!$Q$2:$Q$48,37)),"")</f>
        <v/>
      </c>
      <c r="B292" s="7" t="str">
        <f t="array" ref="B292">IF(A292="","",IFERROR(INDEX(Entries!$E$2:$E$48,37),""))</f>
        <v/>
      </c>
      <c r="C292" s="7" t="str">
        <f>IF(A292="","","Tier2_Pick2")</f>
        <v/>
      </c>
      <c r="D292" s="7" t="str">
        <f t="shared" si="75"/>
        <v/>
      </c>
      <c r="E292" s="7" t="str">
        <f t="array" ref="E292">IF(A292="","",IFERROR(INDEX(Entries!$N$2:$N$48,37),""))</f>
        <v/>
      </c>
      <c r="F292" s="7" t="str">
        <f>IF(E292="","",IFERROR(_xludf.XLOOKUP(E292,Countries!$A$2:$A$72,Countries!$B$2:$B$72,"???"),"???"))</f>
        <v/>
      </c>
      <c r="G292" s="7">
        <f t="array" ref="G292">IF(E292="",0,IFERROR(XLOOKUP(E292,Countries!$A$2:$A$72,Countries!$E$2:$E$72,0),0))</f>
        <v>0</v>
      </c>
      <c r="H292" s="7">
        <f t="array" ref="H292">IF(E292="",0,IFERROR(XLOOKUP(E292,Medals!$B$2:$B$51,Medals!$D$2:$D$51,0),0))</f>
        <v>0</v>
      </c>
      <c r="I292" s="7">
        <f t="array" ref="I292">IF(E292="",0,IFERROR(XLOOKUP(E292,Medals!$B$2:$B$51,Medals!$E$2:$E$51,0),0))</f>
        <v>0</v>
      </c>
      <c r="J292" s="7">
        <f t="array" ref="J292">IF(E292="",0,IFERROR(XLOOKUP(E292,Medals!$B$2:$B$51,Medals!$F$2:$F$51,0),0))</f>
        <v>0</v>
      </c>
      <c r="K292" s="7">
        <f>H292*GoldPoints*G292</f>
        <v>0</v>
      </c>
      <c r="L292" s="7">
        <f>I292*SilverPoints*G292</f>
        <v>0</v>
      </c>
      <c r="M292" s="7">
        <f>J292*BronzePoints*G292</f>
        <v>0</v>
      </c>
      <c r="N292" s="7">
        <f t="shared" si="1"/>
        <v>0</v>
      </c>
      <c r="O292" s="7" t="b">
        <f t="array" ref="O292">IF(E292="",FALSE,IFERROR(AND(ISNUMBER(MATCH(E292,Countries!$A$2:$A$72,0)),XLOOKUP(E292,Countries!$A$2:$A$72,Countries!$I$2:$I$72,FALSE)),FALSE))</f>
        <v>0</v>
      </c>
      <c r="P292" s="7" t="b">
        <f t="array" ref="P292">IF(E292="",FALSE,IFERROR(XLOOKUP(E292,Countries!$A$2:$A$72,Countries!$G$2:$G$72,FALSE),FALSE))</f>
        <v>0</v>
      </c>
      <c r="Q292" s="7" t="str">
        <f t="shared" si="2"/>
        <v>⚪</v>
      </c>
    </row>
    <row r="293" ht="15.75" customHeight="1">
      <c r="A293" s="7" t="str">
        <f t="array" ref="A293">IFERROR(IF(INDEX(Entries!$C$2:$C$48,37)="","",INDEX(Entries!$Q$2:$Q$48,37)),"")</f>
        <v/>
      </c>
      <c r="B293" s="7" t="str">
        <f t="array" ref="B293">IF(A293="","",IFERROR(INDEX(Entries!$E$2:$E$48,37),""))</f>
        <v/>
      </c>
      <c r="C293" s="7" t="str">
        <f>IF(A293="","","Tier3_Pick1")</f>
        <v/>
      </c>
      <c r="D293" s="7" t="str">
        <f>IF(A293="","",3)</f>
        <v/>
      </c>
      <c r="E293" s="7" t="str">
        <f t="array" ref="E293">IF(A293="","",IFERROR(INDEX(Entries!$H$2:$H$48,37),""))</f>
        <v/>
      </c>
      <c r="F293" s="7" t="str">
        <f>IF(E293="","",IFERROR(_xludf.XLOOKUP(E293,Countries!$A$2:$A$72,Countries!$B$2:$B$72,"???"),"???"))</f>
        <v/>
      </c>
      <c r="G293" s="7">
        <f t="array" ref="G293">IF(E293="",0,IFERROR(XLOOKUP(E293,Countries!$A$2:$A$72,Countries!$E$2:$E$72,0),0))</f>
        <v>0</v>
      </c>
      <c r="H293" s="7">
        <f t="array" ref="H293">IF(E293="",0,IFERROR(XLOOKUP(E293,Medals!$B$2:$B$51,Medals!$D$2:$D$51,0),0))</f>
        <v>0</v>
      </c>
      <c r="I293" s="7">
        <f t="array" ref="I293">IF(E293="",0,IFERROR(XLOOKUP(E293,Medals!$B$2:$B$51,Medals!$E$2:$E$51,0),0))</f>
        <v>0</v>
      </c>
      <c r="J293" s="7">
        <f t="array" ref="J293">IF(E293="",0,IFERROR(XLOOKUP(E293,Medals!$B$2:$B$51,Medals!$F$2:$F$51,0),0))</f>
        <v>0</v>
      </c>
      <c r="K293" s="7">
        <f>H293*GoldPoints*G293</f>
        <v>0</v>
      </c>
      <c r="L293" s="7">
        <f>I293*SilverPoints*G293</f>
        <v>0</v>
      </c>
      <c r="M293" s="7">
        <f>J293*BronzePoints*G293</f>
        <v>0</v>
      </c>
      <c r="N293" s="7">
        <f t="shared" si="1"/>
        <v>0</v>
      </c>
      <c r="O293" s="7" t="b">
        <f t="array" ref="O293">IF(E293="",FALSE,IFERROR(AND(ISNUMBER(MATCH(E293,Countries!$A$2:$A$72,0)),XLOOKUP(E293,Countries!$A$2:$A$72,Countries!$I$2:$I$72,FALSE)),FALSE))</f>
        <v>0</v>
      </c>
      <c r="P293" s="7" t="b">
        <f t="array" ref="P293">IF(E293="",FALSE,IFERROR(XLOOKUP(E293,Countries!$A$2:$A$72,Countries!$G$2:$G$72,FALSE),FALSE))</f>
        <v>0</v>
      </c>
      <c r="Q293" s="7" t="str">
        <f t="shared" si="2"/>
        <v>⚪</v>
      </c>
    </row>
    <row r="294" ht="15.75" customHeight="1">
      <c r="A294" s="7" t="str">
        <f t="array" ref="A294">IFERROR(IF(INDEX(Entries!$C$2:$C$48,37)="","",INDEX(Entries!$Q$2:$Q$48,37)),"")</f>
        <v/>
      </c>
      <c r="B294" s="7" t="str">
        <f t="array" ref="B294">IF(A294="","",IFERROR(INDEX(Entries!$E$2:$E$48,37),""))</f>
        <v/>
      </c>
      <c r="C294" s="7" t="str">
        <f>IF(A294="","","Tier4_Pick1")</f>
        <v/>
      </c>
      <c r="D294" s="7" t="str">
        <f>IF(A294="","",4)</f>
        <v/>
      </c>
      <c r="E294" s="7" t="str">
        <f t="array" ref="E294">IF(A294="","",IFERROR(INDEX(Entries!$I$2:$I$48,37),""))</f>
        <v/>
      </c>
      <c r="F294" s="7" t="str">
        <f>IF(E294="","",IFERROR(_xludf.XLOOKUP(E294,Countries!$A$2:$A$72,Countries!$B$2:$B$72,"???"),"???"))</f>
        <v/>
      </c>
      <c r="G294" s="7">
        <f t="array" ref="G294">IF(E294="",0,IFERROR(XLOOKUP(E294,Countries!$A$2:$A$72,Countries!$E$2:$E$72,0),0))</f>
        <v>0</v>
      </c>
      <c r="H294" s="7">
        <f t="array" ref="H294">IF(E294="",0,IFERROR(XLOOKUP(E294,Medals!$B$2:$B$51,Medals!$D$2:$D$51,0),0))</f>
        <v>0</v>
      </c>
      <c r="I294" s="7">
        <f t="array" ref="I294">IF(E294="",0,IFERROR(XLOOKUP(E294,Medals!$B$2:$B$51,Medals!$E$2:$E$51,0),0))</f>
        <v>0</v>
      </c>
      <c r="J294" s="7">
        <f t="array" ref="J294">IF(E294="",0,IFERROR(XLOOKUP(E294,Medals!$B$2:$B$51,Medals!$F$2:$F$51,0),0))</f>
        <v>0</v>
      </c>
      <c r="K294" s="7">
        <f>H294*GoldPoints*G294</f>
        <v>0</v>
      </c>
      <c r="L294" s="7">
        <f>I294*SilverPoints*G294</f>
        <v>0</v>
      </c>
      <c r="M294" s="7">
        <f>J294*BronzePoints*G294</f>
        <v>0</v>
      </c>
      <c r="N294" s="7">
        <f t="shared" si="1"/>
        <v>0</v>
      </c>
      <c r="O294" s="7" t="b">
        <f t="array" ref="O294">IF(E294="",FALSE,IFERROR(AND(ISNUMBER(MATCH(E294,Countries!$A$2:$A$72,0)),XLOOKUP(E294,Countries!$A$2:$A$72,Countries!$I$2:$I$72,FALSE)),FALSE))</f>
        <v>0</v>
      </c>
      <c r="P294" s="7" t="b">
        <f t="array" ref="P294">IF(E294="",FALSE,IFERROR(XLOOKUP(E294,Countries!$A$2:$A$72,Countries!$G$2:$G$72,FALSE),FALSE))</f>
        <v>0</v>
      </c>
      <c r="Q294" s="7" t="str">
        <f t="shared" si="2"/>
        <v>⚪</v>
      </c>
    </row>
    <row r="295" ht="15.75" customHeight="1">
      <c r="A295" s="7" t="str">
        <f t="array" ref="A295">IFERROR(IF(INDEX(Entries!$C$2:$C$48,37)="","",INDEX(Entries!$Q$2:$Q$48,37)),"")</f>
        <v/>
      </c>
      <c r="B295" s="7" t="str">
        <f t="array" ref="B295">IF(A295="","",IFERROR(INDEX(Entries!$E$2:$E$48,37),""))</f>
        <v/>
      </c>
      <c r="C295" s="7" t="str">
        <f>IF(A295="","","Tier5_Pick1")</f>
        <v/>
      </c>
      <c r="D295" s="7" t="str">
        <f>IF(A295="","",5)</f>
        <v/>
      </c>
      <c r="E295" s="7" t="str">
        <f t="array" ref="E295">IF(A295="","",IFERROR(INDEX(Entries!$J$2:$J$48,37),""))</f>
        <v/>
      </c>
      <c r="F295" s="7" t="str">
        <f>IF(E295="","",IFERROR(_xludf.XLOOKUP(E295,Countries!$A$2:$A$72,Countries!$B$2:$B$72,"???"),"???"))</f>
        <v/>
      </c>
      <c r="G295" s="7">
        <f t="array" ref="G295">IF(E295="",0,IFERROR(XLOOKUP(E295,Countries!$A$2:$A$72,Countries!$E$2:$E$72,0),0))</f>
        <v>0</v>
      </c>
      <c r="H295" s="7">
        <f t="array" ref="H295">IF(E295="",0,IFERROR(XLOOKUP(E295,Medals!$B$2:$B$51,Medals!$D$2:$D$51,0),0))</f>
        <v>0</v>
      </c>
      <c r="I295" s="7">
        <f t="array" ref="I295">IF(E295="",0,IFERROR(XLOOKUP(E295,Medals!$B$2:$B$51,Medals!$E$2:$E$51,0),0))</f>
        <v>0</v>
      </c>
      <c r="J295" s="7">
        <f t="array" ref="J295">IF(E295="",0,IFERROR(XLOOKUP(E295,Medals!$B$2:$B$51,Medals!$F$2:$F$51,0),0))</f>
        <v>0</v>
      </c>
      <c r="K295" s="7">
        <f>H295*GoldPoints*G295</f>
        <v>0</v>
      </c>
      <c r="L295" s="7">
        <f>I295*SilverPoints*G295</f>
        <v>0</v>
      </c>
      <c r="M295" s="7">
        <f>J295*BronzePoints*G295</f>
        <v>0</v>
      </c>
      <c r="N295" s="7">
        <f t="shared" si="1"/>
        <v>0</v>
      </c>
      <c r="O295" s="7" t="b">
        <f t="array" ref="O295">IF(E295="",FALSE,IFERROR(AND(ISNUMBER(MATCH(E295,Countries!$A$2:$A$72,0)),XLOOKUP(E295,Countries!$A$2:$A$72,Countries!$I$2:$I$72,FALSE)),FALSE))</f>
        <v>0</v>
      </c>
      <c r="P295" s="7" t="b">
        <f t="array" ref="P295">IF(E295="",FALSE,IFERROR(XLOOKUP(E295,Countries!$A$2:$A$72,Countries!$G$2:$G$72,FALSE),FALSE))</f>
        <v>0</v>
      </c>
      <c r="Q295" s="7" t="str">
        <f t="shared" si="2"/>
        <v>⚪</v>
      </c>
    </row>
    <row r="296" ht="15.75" customHeight="1">
      <c r="A296" s="7" t="str">
        <f t="array" ref="A296">IFERROR(IF(INDEX(Entries!$C$2:$C$48,37)="","",INDEX(Entries!$Q$2:$Q$48,37)),"")</f>
        <v/>
      </c>
      <c r="B296" s="7" t="str">
        <f t="array" ref="B296">IF(A296="","",IFERROR(INDEX(Entries!$E$2:$E$48,37),""))</f>
        <v/>
      </c>
      <c r="C296" s="7" t="str">
        <f>IF(A296="","","Tier6_Pick1")</f>
        <v/>
      </c>
      <c r="D296" s="7" t="str">
        <f t="shared" ref="D296:D297" si="76">IF(A296="","",6)</f>
        <v/>
      </c>
      <c r="E296" s="7" t="str">
        <f t="array" ref="E296">IF(A296="","",IFERROR(INDEX(Entries!$O$2:$O$48,37),""))</f>
        <v/>
      </c>
      <c r="F296" s="7" t="str">
        <f>IF(E296="","",IFERROR(_xludf.XLOOKUP(E296,Countries!$A$2:$A$72,Countries!$B$2:$B$72,"???"),"???"))</f>
        <v/>
      </c>
      <c r="G296" s="7">
        <f t="array" ref="G296">IF(E296="",0,IFERROR(XLOOKUP(E296,Countries!$A$2:$A$72,Countries!$E$2:$E$72,0),0))</f>
        <v>0</v>
      </c>
      <c r="H296" s="7">
        <f t="array" ref="H296">IF(E296="",0,IFERROR(XLOOKUP(E296,Medals!$B$2:$B$51,Medals!$D$2:$D$51,0),0))</f>
        <v>0</v>
      </c>
      <c r="I296" s="7">
        <f t="array" ref="I296">IF(E296="",0,IFERROR(XLOOKUP(E296,Medals!$B$2:$B$51,Medals!$E$2:$E$51,0),0))</f>
        <v>0</v>
      </c>
      <c r="J296" s="7">
        <f t="array" ref="J296">IF(E296="",0,IFERROR(XLOOKUP(E296,Medals!$B$2:$B$51,Medals!$F$2:$F$51,0),0))</f>
        <v>0</v>
      </c>
      <c r="K296" s="7">
        <f>H296*GoldPoints*G296</f>
        <v>0</v>
      </c>
      <c r="L296" s="7">
        <f>I296*SilverPoints*G296</f>
        <v>0</v>
      </c>
      <c r="M296" s="7">
        <f>J296*BronzePoints*G296</f>
        <v>0</v>
      </c>
      <c r="N296" s="7">
        <f t="shared" si="1"/>
        <v>0</v>
      </c>
      <c r="O296" s="7" t="b">
        <f t="array" ref="O296">IF(E296="",FALSE,IFERROR(AND(ISNUMBER(MATCH(E296,Countries!$A$2:$A$72,0)),XLOOKUP(E296,Countries!$A$2:$A$72,Countries!$I$2:$I$72,FALSE)),FALSE))</f>
        <v>0</v>
      </c>
      <c r="P296" s="7" t="b">
        <f t="array" ref="P296">IF(E296="",FALSE,IFERROR(XLOOKUP(E296,Countries!$A$2:$A$72,Countries!$G$2:$G$72,FALSE),FALSE))</f>
        <v>0</v>
      </c>
      <c r="Q296" s="7" t="str">
        <f t="shared" si="2"/>
        <v>⚪</v>
      </c>
    </row>
    <row r="297" ht="15.75" customHeight="1">
      <c r="A297" s="7" t="str">
        <f t="array" ref="A297">IFERROR(IF(INDEX(Entries!$C$2:$C$48,37)="","",INDEX(Entries!$Q$2:$Q$48,37)),"")</f>
        <v/>
      </c>
      <c r="B297" s="7" t="str">
        <f t="array" ref="B297">IF(A297="","",IFERROR(INDEX(Entries!$E$2:$E$48,37),""))</f>
        <v/>
      </c>
      <c r="C297" s="7" t="str">
        <f>IF(A297="","","Tier6_Pick2")</f>
        <v/>
      </c>
      <c r="D297" s="7" t="str">
        <f t="shared" si="76"/>
        <v/>
      </c>
      <c r="E297" s="7" t="str">
        <f t="array" ref="E297">IF(A297="","",IFERROR(INDEX(Entries!$P$2:$P$48,37),""))</f>
        <v/>
      </c>
      <c r="F297" s="7" t="str">
        <f>IF(E297="","",IFERROR(_xludf.XLOOKUP(E297,Countries!$A$2:$A$72,Countries!$B$2:$B$72,"???"),"???"))</f>
        <v/>
      </c>
      <c r="G297" s="7">
        <f t="array" ref="G297">IF(E297="",0,IFERROR(XLOOKUP(E297,Countries!$A$2:$A$72,Countries!$E$2:$E$72,0),0))</f>
        <v>0</v>
      </c>
      <c r="H297" s="7">
        <f t="array" ref="H297">IF(E297="",0,IFERROR(XLOOKUP(E297,Medals!$B$2:$B$51,Medals!$D$2:$D$51,0),0))</f>
        <v>0</v>
      </c>
      <c r="I297" s="7">
        <f t="array" ref="I297">IF(E297="",0,IFERROR(XLOOKUP(E297,Medals!$B$2:$B$51,Medals!$E$2:$E$51,0),0))</f>
        <v>0</v>
      </c>
      <c r="J297" s="7">
        <f t="array" ref="J297">IF(E297="",0,IFERROR(XLOOKUP(E297,Medals!$B$2:$B$51,Medals!$F$2:$F$51,0),0))</f>
        <v>0</v>
      </c>
      <c r="K297" s="7">
        <f>H297*GoldPoints*G297</f>
        <v>0</v>
      </c>
      <c r="L297" s="7">
        <f>I297*SilverPoints*G297</f>
        <v>0</v>
      </c>
      <c r="M297" s="7">
        <f>J297*BronzePoints*G297</f>
        <v>0</v>
      </c>
      <c r="N297" s="7">
        <f t="shared" si="1"/>
        <v>0</v>
      </c>
      <c r="O297" s="7" t="b">
        <f t="array" ref="O297">IF(E297="",FALSE,IFERROR(AND(ISNUMBER(MATCH(E297,Countries!$A$2:$A$72,0)),XLOOKUP(E297,Countries!$A$2:$A$72,Countries!$I$2:$I$72,FALSE)),FALSE))</f>
        <v>0</v>
      </c>
      <c r="P297" s="7" t="b">
        <f t="array" ref="P297">IF(E297="",FALSE,IFERROR(XLOOKUP(E297,Countries!$A$2:$A$72,Countries!$G$2:$G$72,FALSE),FALSE))</f>
        <v>0</v>
      </c>
      <c r="Q297" s="7" t="str">
        <f t="shared" si="2"/>
        <v>⚪</v>
      </c>
    </row>
    <row r="298" ht="15.75" customHeight="1">
      <c r="A298" s="7" t="str">
        <f t="array" ref="A298">IFERROR(IF(INDEX(Entries!$C$2:$C$48,38)="","",INDEX(Entries!$Q$2:$Q$48,38)),"")</f>
        <v/>
      </c>
      <c r="B298" s="7" t="str">
        <f t="array" ref="B298">IF(A298="","",IFERROR(INDEX(Entries!$E$2:$E$48,38),""))</f>
        <v/>
      </c>
      <c r="C298" s="7" t="str">
        <f>IF(A298="","","Tier1_Pick1")</f>
        <v/>
      </c>
      <c r="D298" s="7" t="str">
        <f>IF(A298="","",1)</f>
        <v/>
      </c>
      <c r="E298" s="7" t="str">
        <f t="array" ref="E298">IF(A298="","",IFERROR(INDEX(Entries!$F$2:$F$48,38),""))</f>
        <v/>
      </c>
      <c r="F298" s="7" t="str">
        <f>IF(E298="","",IFERROR(_xludf.XLOOKUP(E298,Countries!$A$2:$A$72,Countries!$B$2:$B$72,"???"),"???"))</f>
        <v/>
      </c>
      <c r="G298" s="7">
        <f t="array" ref="G298">IF(E298="",0,IFERROR(XLOOKUP(E298,Countries!$A$2:$A$72,Countries!$E$2:$E$72,0),0))</f>
        <v>0</v>
      </c>
      <c r="H298" s="7">
        <f t="array" ref="H298">IF(E298="",0,IFERROR(XLOOKUP(E298,Medals!$B$2:$B$51,Medals!$D$2:$D$51,0),0))</f>
        <v>0</v>
      </c>
      <c r="I298" s="7">
        <f t="array" ref="I298">IF(E298="",0,IFERROR(XLOOKUP(E298,Medals!$B$2:$B$51,Medals!$E$2:$E$51,0),0))</f>
        <v>0</v>
      </c>
      <c r="J298" s="7">
        <f t="array" ref="J298">IF(E298="",0,IFERROR(XLOOKUP(E298,Medals!$B$2:$B$51,Medals!$F$2:$F$51,0),0))</f>
        <v>0</v>
      </c>
      <c r="K298" s="7">
        <f>H298*GoldPoints*G298</f>
        <v>0</v>
      </c>
      <c r="L298" s="7">
        <f>I298*SilverPoints*G298</f>
        <v>0</v>
      </c>
      <c r="M298" s="7">
        <f>J298*BronzePoints*G298</f>
        <v>0</v>
      </c>
      <c r="N298" s="7">
        <f t="shared" si="1"/>
        <v>0</v>
      </c>
      <c r="O298" s="7" t="b">
        <f t="array" ref="O298">IF(E298="",FALSE,IFERROR(AND(ISNUMBER(MATCH(E298,Countries!$A$2:$A$72,0)),XLOOKUP(E298,Countries!$A$2:$A$72,Countries!$I$2:$I$72,FALSE)),FALSE))</f>
        <v>0</v>
      </c>
      <c r="P298" s="7" t="b">
        <f t="array" ref="P298">IF(E298="",FALSE,IFERROR(XLOOKUP(E298,Countries!$A$2:$A$72,Countries!$G$2:$G$72,FALSE),FALSE))</f>
        <v>0</v>
      </c>
      <c r="Q298" s="7" t="str">
        <f t="shared" si="2"/>
        <v>⚪</v>
      </c>
    </row>
    <row r="299" ht="15.75" customHeight="1">
      <c r="A299" s="7" t="str">
        <f t="array" ref="A299">IFERROR(IF(INDEX(Entries!$C$2:$C$48,38)="","",INDEX(Entries!$Q$2:$Q$48,38)),"")</f>
        <v/>
      </c>
      <c r="B299" s="7" t="str">
        <f t="array" ref="B299">IF(A299="","",IFERROR(INDEX(Entries!$E$2:$E$48,38),""))</f>
        <v/>
      </c>
      <c r="C299" s="7" t="str">
        <f>IF(A299="","","Tier2_Pick1")</f>
        <v/>
      </c>
      <c r="D299" s="7" t="str">
        <f t="shared" ref="D299:D300" si="77">IF(A299="","",2)</f>
        <v/>
      </c>
      <c r="E299" s="7" t="str">
        <f t="array" ref="E299">IF(A299="","",IFERROR(INDEX(Entries!$M$2:$M$48,38),""))</f>
        <v/>
      </c>
      <c r="F299" s="7" t="str">
        <f>IF(E299="","",IFERROR(_xludf.XLOOKUP(E299,Countries!$A$2:$A$72,Countries!$B$2:$B$72,"???"),"???"))</f>
        <v/>
      </c>
      <c r="G299" s="7">
        <f t="array" ref="G299">IF(E299="",0,IFERROR(XLOOKUP(E299,Countries!$A$2:$A$72,Countries!$E$2:$E$72,0),0))</f>
        <v>0</v>
      </c>
      <c r="H299" s="7">
        <f t="array" ref="H299">IF(E299="",0,IFERROR(XLOOKUP(E299,Medals!$B$2:$B$51,Medals!$D$2:$D$51,0),0))</f>
        <v>0</v>
      </c>
      <c r="I299" s="7">
        <f t="array" ref="I299">IF(E299="",0,IFERROR(XLOOKUP(E299,Medals!$B$2:$B$51,Medals!$E$2:$E$51,0),0))</f>
        <v>0</v>
      </c>
      <c r="J299" s="7">
        <f t="array" ref="J299">IF(E299="",0,IFERROR(XLOOKUP(E299,Medals!$B$2:$B$51,Medals!$F$2:$F$51,0),0))</f>
        <v>0</v>
      </c>
      <c r="K299" s="7">
        <f>H299*GoldPoints*G299</f>
        <v>0</v>
      </c>
      <c r="L299" s="7">
        <f>I299*SilverPoints*G299</f>
        <v>0</v>
      </c>
      <c r="M299" s="7">
        <f>J299*BronzePoints*G299</f>
        <v>0</v>
      </c>
      <c r="N299" s="7">
        <f t="shared" si="1"/>
        <v>0</v>
      </c>
      <c r="O299" s="7" t="b">
        <f t="array" ref="O299">IF(E299="",FALSE,IFERROR(AND(ISNUMBER(MATCH(E299,Countries!$A$2:$A$72,0)),XLOOKUP(E299,Countries!$A$2:$A$72,Countries!$I$2:$I$72,FALSE)),FALSE))</f>
        <v>0</v>
      </c>
      <c r="P299" s="7" t="b">
        <f t="array" ref="P299">IF(E299="",FALSE,IFERROR(XLOOKUP(E299,Countries!$A$2:$A$72,Countries!$G$2:$G$72,FALSE),FALSE))</f>
        <v>0</v>
      </c>
      <c r="Q299" s="7" t="str">
        <f t="shared" si="2"/>
        <v>⚪</v>
      </c>
    </row>
    <row r="300" ht="15.75" customHeight="1">
      <c r="A300" s="7" t="str">
        <f t="array" ref="A300">IFERROR(IF(INDEX(Entries!$C$2:$C$48,38)="","",INDEX(Entries!$Q$2:$Q$48,38)),"")</f>
        <v/>
      </c>
      <c r="B300" s="7" t="str">
        <f t="array" ref="B300">IF(A300="","",IFERROR(INDEX(Entries!$E$2:$E$48,38),""))</f>
        <v/>
      </c>
      <c r="C300" s="7" t="str">
        <f>IF(A300="","","Tier2_Pick2")</f>
        <v/>
      </c>
      <c r="D300" s="7" t="str">
        <f t="shared" si="77"/>
        <v/>
      </c>
      <c r="E300" s="7" t="str">
        <f t="array" ref="E300">IF(A300="","",IFERROR(INDEX(Entries!$N$2:$N$48,38),""))</f>
        <v/>
      </c>
      <c r="F300" s="7" t="str">
        <f>IF(E300="","",IFERROR(_xludf.XLOOKUP(E300,Countries!$A$2:$A$72,Countries!$B$2:$B$72,"???"),"???"))</f>
        <v/>
      </c>
      <c r="G300" s="7">
        <f t="array" ref="G300">IF(E300="",0,IFERROR(XLOOKUP(E300,Countries!$A$2:$A$72,Countries!$E$2:$E$72,0),0))</f>
        <v>0</v>
      </c>
      <c r="H300" s="7">
        <f t="array" ref="H300">IF(E300="",0,IFERROR(XLOOKUP(E300,Medals!$B$2:$B$51,Medals!$D$2:$D$51,0),0))</f>
        <v>0</v>
      </c>
      <c r="I300" s="7">
        <f t="array" ref="I300">IF(E300="",0,IFERROR(XLOOKUP(E300,Medals!$B$2:$B$51,Medals!$E$2:$E$51,0),0))</f>
        <v>0</v>
      </c>
      <c r="J300" s="7">
        <f t="array" ref="J300">IF(E300="",0,IFERROR(XLOOKUP(E300,Medals!$B$2:$B$51,Medals!$F$2:$F$51,0),0))</f>
        <v>0</v>
      </c>
      <c r="K300" s="7">
        <f>H300*GoldPoints*G300</f>
        <v>0</v>
      </c>
      <c r="L300" s="7">
        <f>I300*SilverPoints*G300</f>
        <v>0</v>
      </c>
      <c r="M300" s="7">
        <f>J300*BronzePoints*G300</f>
        <v>0</v>
      </c>
      <c r="N300" s="7">
        <f t="shared" si="1"/>
        <v>0</v>
      </c>
      <c r="O300" s="7" t="b">
        <f t="array" ref="O300">IF(E300="",FALSE,IFERROR(AND(ISNUMBER(MATCH(E300,Countries!$A$2:$A$72,0)),XLOOKUP(E300,Countries!$A$2:$A$72,Countries!$I$2:$I$72,FALSE)),FALSE))</f>
        <v>0</v>
      </c>
      <c r="P300" s="7" t="b">
        <f t="array" ref="P300">IF(E300="",FALSE,IFERROR(XLOOKUP(E300,Countries!$A$2:$A$72,Countries!$G$2:$G$72,FALSE),FALSE))</f>
        <v>0</v>
      </c>
      <c r="Q300" s="7" t="str">
        <f t="shared" si="2"/>
        <v>⚪</v>
      </c>
    </row>
    <row r="301" ht="15.75" customHeight="1">
      <c r="A301" s="7" t="str">
        <f t="array" ref="A301">IFERROR(IF(INDEX(Entries!$C$2:$C$48,38)="","",INDEX(Entries!$Q$2:$Q$48,38)),"")</f>
        <v/>
      </c>
      <c r="B301" s="7" t="str">
        <f t="array" ref="B301">IF(A301="","",IFERROR(INDEX(Entries!$E$2:$E$48,38),""))</f>
        <v/>
      </c>
      <c r="C301" s="7" t="str">
        <f>IF(A301="","","Tier3_Pick1")</f>
        <v/>
      </c>
      <c r="D301" s="7" t="str">
        <f>IF(A301="","",3)</f>
        <v/>
      </c>
      <c r="E301" s="7" t="str">
        <f t="array" ref="E301">IF(A301="","",IFERROR(INDEX(Entries!$H$2:$H$48,38),""))</f>
        <v/>
      </c>
      <c r="F301" s="7" t="str">
        <f>IF(E301="","",IFERROR(_xludf.XLOOKUP(E301,Countries!$A$2:$A$72,Countries!$B$2:$B$72,"???"),"???"))</f>
        <v/>
      </c>
      <c r="G301" s="7">
        <f t="array" ref="G301">IF(E301="",0,IFERROR(XLOOKUP(E301,Countries!$A$2:$A$72,Countries!$E$2:$E$72,0),0))</f>
        <v>0</v>
      </c>
      <c r="H301" s="7">
        <f t="array" ref="H301">IF(E301="",0,IFERROR(XLOOKUP(E301,Medals!$B$2:$B$51,Medals!$D$2:$D$51,0),0))</f>
        <v>0</v>
      </c>
      <c r="I301" s="7">
        <f t="array" ref="I301">IF(E301="",0,IFERROR(XLOOKUP(E301,Medals!$B$2:$B$51,Medals!$E$2:$E$51,0),0))</f>
        <v>0</v>
      </c>
      <c r="J301" s="7">
        <f t="array" ref="J301">IF(E301="",0,IFERROR(XLOOKUP(E301,Medals!$B$2:$B$51,Medals!$F$2:$F$51,0),0))</f>
        <v>0</v>
      </c>
      <c r="K301" s="7">
        <f>H301*GoldPoints*G301</f>
        <v>0</v>
      </c>
      <c r="L301" s="7">
        <f>I301*SilverPoints*G301</f>
        <v>0</v>
      </c>
      <c r="M301" s="7">
        <f>J301*BronzePoints*G301</f>
        <v>0</v>
      </c>
      <c r="N301" s="7">
        <f t="shared" si="1"/>
        <v>0</v>
      </c>
      <c r="O301" s="7" t="b">
        <f t="array" ref="O301">IF(E301="",FALSE,IFERROR(AND(ISNUMBER(MATCH(E301,Countries!$A$2:$A$72,0)),XLOOKUP(E301,Countries!$A$2:$A$72,Countries!$I$2:$I$72,FALSE)),FALSE))</f>
        <v>0</v>
      </c>
      <c r="P301" s="7" t="b">
        <f t="array" ref="P301">IF(E301="",FALSE,IFERROR(XLOOKUP(E301,Countries!$A$2:$A$72,Countries!$G$2:$G$72,FALSE),FALSE))</f>
        <v>0</v>
      </c>
      <c r="Q301" s="7" t="str">
        <f t="shared" si="2"/>
        <v>⚪</v>
      </c>
    </row>
    <row r="302" ht="15.75" customHeight="1">
      <c r="A302" s="7" t="str">
        <f t="array" ref="A302">IFERROR(IF(INDEX(Entries!$C$2:$C$48,38)="","",INDEX(Entries!$Q$2:$Q$48,38)),"")</f>
        <v/>
      </c>
      <c r="B302" s="7" t="str">
        <f t="array" ref="B302">IF(A302="","",IFERROR(INDEX(Entries!$E$2:$E$48,38),""))</f>
        <v/>
      </c>
      <c r="C302" s="7" t="str">
        <f>IF(A302="","","Tier4_Pick1")</f>
        <v/>
      </c>
      <c r="D302" s="7" t="str">
        <f>IF(A302="","",4)</f>
        <v/>
      </c>
      <c r="E302" s="7" t="str">
        <f t="array" ref="E302">IF(A302="","",IFERROR(INDEX(Entries!$I$2:$I$48,38),""))</f>
        <v/>
      </c>
      <c r="F302" s="7" t="str">
        <f>IF(E302="","",IFERROR(_xludf.XLOOKUP(E302,Countries!$A$2:$A$72,Countries!$B$2:$B$72,"???"),"???"))</f>
        <v/>
      </c>
      <c r="G302" s="7">
        <f t="array" ref="G302">IF(E302="",0,IFERROR(XLOOKUP(E302,Countries!$A$2:$A$72,Countries!$E$2:$E$72,0),0))</f>
        <v>0</v>
      </c>
      <c r="H302" s="7">
        <f t="array" ref="H302">IF(E302="",0,IFERROR(XLOOKUP(E302,Medals!$B$2:$B$51,Medals!$D$2:$D$51,0),0))</f>
        <v>0</v>
      </c>
      <c r="I302" s="7">
        <f t="array" ref="I302">IF(E302="",0,IFERROR(XLOOKUP(E302,Medals!$B$2:$B$51,Medals!$E$2:$E$51,0),0))</f>
        <v>0</v>
      </c>
      <c r="J302" s="7">
        <f t="array" ref="J302">IF(E302="",0,IFERROR(XLOOKUP(E302,Medals!$B$2:$B$51,Medals!$F$2:$F$51,0),0))</f>
        <v>0</v>
      </c>
      <c r="K302" s="7">
        <f>H302*GoldPoints*G302</f>
        <v>0</v>
      </c>
      <c r="L302" s="7">
        <f>I302*SilverPoints*G302</f>
        <v>0</v>
      </c>
      <c r="M302" s="7">
        <f>J302*BronzePoints*G302</f>
        <v>0</v>
      </c>
      <c r="N302" s="7">
        <f t="shared" si="1"/>
        <v>0</v>
      </c>
      <c r="O302" s="7" t="b">
        <f t="array" ref="O302">IF(E302="",FALSE,IFERROR(AND(ISNUMBER(MATCH(E302,Countries!$A$2:$A$72,0)),XLOOKUP(E302,Countries!$A$2:$A$72,Countries!$I$2:$I$72,FALSE)),FALSE))</f>
        <v>0</v>
      </c>
      <c r="P302" s="7" t="b">
        <f t="array" ref="P302">IF(E302="",FALSE,IFERROR(XLOOKUP(E302,Countries!$A$2:$A$72,Countries!$G$2:$G$72,FALSE),FALSE))</f>
        <v>0</v>
      </c>
      <c r="Q302" s="7" t="str">
        <f t="shared" si="2"/>
        <v>⚪</v>
      </c>
    </row>
    <row r="303" ht="15.75" customHeight="1">
      <c r="A303" s="7" t="str">
        <f t="array" ref="A303">IFERROR(IF(INDEX(Entries!$C$2:$C$48,38)="","",INDEX(Entries!$Q$2:$Q$48,38)),"")</f>
        <v/>
      </c>
      <c r="B303" s="7" t="str">
        <f t="array" ref="B303">IF(A303="","",IFERROR(INDEX(Entries!$E$2:$E$48,38),""))</f>
        <v/>
      </c>
      <c r="C303" s="7" t="str">
        <f>IF(A303="","","Tier5_Pick1")</f>
        <v/>
      </c>
      <c r="D303" s="7" t="str">
        <f>IF(A303="","",5)</f>
        <v/>
      </c>
      <c r="E303" s="7" t="str">
        <f t="array" ref="E303">IF(A303="","",IFERROR(INDEX(Entries!$J$2:$J$48,38),""))</f>
        <v/>
      </c>
      <c r="F303" s="7" t="str">
        <f>IF(E303="","",IFERROR(_xludf.XLOOKUP(E303,Countries!$A$2:$A$72,Countries!$B$2:$B$72,"???"),"???"))</f>
        <v/>
      </c>
      <c r="G303" s="7">
        <f t="array" ref="G303">IF(E303="",0,IFERROR(XLOOKUP(E303,Countries!$A$2:$A$72,Countries!$E$2:$E$72,0),0))</f>
        <v>0</v>
      </c>
      <c r="H303" s="7">
        <f t="array" ref="H303">IF(E303="",0,IFERROR(XLOOKUP(E303,Medals!$B$2:$B$51,Medals!$D$2:$D$51,0),0))</f>
        <v>0</v>
      </c>
      <c r="I303" s="7">
        <f t="array" ref="I303">IF(E303="",0,IFERROR(XLOOKUP(E303,Medals!$B$2:$B$51,Medals!$E$2:$E$51,0),0))</f>
        <v>0</v>
      </c>
      <c r="J303" s="7">
        <f t="array" ref="J303">IF(E303="",0,IFERROR(XLOOKUP(E303,Medals!$B$2:$B$51,Medals!$F$2:$F$51,0),0))</f>
        <v>0</v>
      </c>
      <c r="K303" s="7">
        <f>H303*GoldPoints*G303</f>
        <v>0</v>
      </c>
      <c r="L303" s="7">
        <f>I303*SilverPoints*G303</f>
        <v>0</v>
      </c>
      <c r="M303" s="7">
        <f>J303*BronzePoints*G303</f>
        <v>0</v>
      </c>
      <c r="N303" s="7">
        <f t="shared" si="1"/>
        <v>0</v>
      </c>
      <c r="O303" s="7" t="b">
        <f t="array" ref="O303">IF(E303="",FALSE,IFERROR(AND(ISNUMBER(MATCH(E303,Countries!$A$2:$A$72,0)),XLOOKUP(E303,Countries!$A$2:$A$72,Countries!$I$2:$I$72,FALSE)),FALSE))</f>
        <v>0</v>
      </c>
      <c r="P303" s="7" t="b">
        <f t="array" ref="P303">IF(E303="",FALSE,IFERROR(XLOOKUP(E303,Countries!$A$2:$A$72,Countries!$G$2:$G$72,FALSE),FALSE))</f>
        <v>0</v>
      </c>
      <c r="Q303" s="7" t="str">
        <f t="shared" si="2"/>
        <v>⚪</v>
      </c>
    </row>
    <row r="304" ht="15.75" customHeight="1">
      <c r="A304" s="7" t="str">
        <f t="array" ref="A304">IFERROR(IF(INDEX(Entries!$C$2:$C$48,38)="","",INDEX(Entries!$Q$2:$Q$48,38)),"")</f>
        <v/>
      </c>
      <c r="B304" s="7" t="str">
        <f t="array" ref="B304">IF(A304="","",IFERROR(INDEX(Entries!$E$2:$E$48,38),""))</f>
        <v/>
      </c>
      <c r="C304" s="7" t="str">
        <f>IF(A304="","","Tier6_Pick1")</f>
        <v/>
      </c>
      <c r="D304" s="7" t="str">
        <f t="shared" ref="D304:D305" si="78">IF(A304="","",6)</f>
        <v/>
      </c>
      <c r="E304" s="7" t="str">
        <f t="array" ref="E304">IF(A304="","",IFERROR(INDEX(Entries!$O$2:$O$48,38),""))</f>
        <v/>
      </c>
      <c r="F304" s="7" t="str">
        <f>IF(E304="","",IFERROR(_xludf.XLOOKUP(E304,Countries!$A$2:$A$72,Countries!$B$2:$B$72,"???"),"???"))</f>
        <v/>
      </c>
      <c r="G304" s="7">
        <f t="array" ref="G304">IF(E304="",0,IFERROR(XLOOKUP(E304,Countries!$A$2:$A$72,Countries!$E$2:$E$72,0),0))</f>
        <v>0</v>
      </c>
      <c r="H304" s="7">
        <f t="array" ref="H304">IF(E304="",0,IFERROR(XLOOKUP(E304,Medals!$B$2:$B$51,Medals!$D$2:$D$51,0),0))</f>
        <v>0</v>
      </c>
      <c r="I304" s="7">
        <f t="array" ref="I304">IF(E304="",0,IFERROR(XLOOKUP(E304,Medals!$B$2:$B$51,Medals!$E$2:$E$51,0),0))</f>
        <v>0</v>
      </c>
      <c r="J304" s="7">
        <f t="array" ref="J304">IF(E304="",0,IFERROR(XLOOKUP(E304,Medals!$B$2:$B$51,Medals!$F$2:$F$51,0),0))</f>
        <v>0</v>
      </c>
      <c r="K304" s="7">
        <f>H304*GoldPoints*G304</f>
        <v>0</v>
      </c>
      <c r="L304" s="7">
        <f>I304*SilverPoints*G304</f>
        <v>0</v>
      </c>
      <c r="M304" s="7">
        <f>J304*BronzePoints*G304</f>
        <v>0</v>
      </c>
      <c r="N304" s="7">
        <f t="shared" si="1"/>
        <v>0</v>
      </c>
      <c r="O304" s="7" t="b">
        <f t="array" ref="O304">IF(E304="",FALSE,IFERROR(AND(ISNUMBER(MATCH(E304,Countries!$A$2:$A$72,0)),XLOOKUP(E304,Countries!$A$2:$A$72,Countries!$I$2:$I$72,FALSE)),FALSE))</f>
        <v>0</v>
      </c>
      <c r="P304" s="7" t="b">
        <f t="array" ref="P304">IF(E304="",FALSE,IFERROR(XLOOKUP(E304,Countries!$A$2:$A$72,Countries!$G$2:$G$72,FALSE),FALSE))</f>
        <v>0</v>
      </c>
      <c r="Q304" s="7" t="str">
        <f t="shared" si="2"/>
        <v>⚪</v>
      </c>
    </row>
    <row r="305" ht="15.75" customHeight="1">
      <c r="A305" s="7" t="str">
        <f t="array" ref="A305">IFERROR(IF(INDEX(Entries!$C$2:$C$48,38)="","",INDEX(Entries!$Q$2:$Q$48,38)),"")</f>
        <v/>
      </c>
      <c r="B305" s="7" t="str">
        <f t="array" ref="B305">IF(A305="","",IFERROR(INDEX(Entries!$E$2:$E$48,38),""))</f>
        <v/>
      </c>
      <c r="C305" s="7" t="str">
        <f>IF(A305="","","Tier6_Pick2")</f>
        <v/>
      </c>
      <c r="D305" s="7" t="str">
        <f t="shared" si="78"/>
        <v/>
      </c>
      <c r="E305" s="7" t="str">
        <f t="array" ref="E305">IF(A305="","",IFERROR(INDEX(Entries!$P$2:$P$48,38),""))</f>
        <v/>
      </c>
      <c r="F305" s="7" t="str">
        <f>IF(E305="","",IFERROR(_xludf.XLOOKUP(E305,Countries!$A$2:$A$72,Countries!$B$2:$B$72,"???"),"???"))</f>
        <v/>
      </c>
      <c r="G305" s="7">
        <f t="array" ref="G305">IF(E305="",0,IFERROR(XLOOKUP(E305,Countries!$A$2:$A$72,Countries!$E$2:$E$72,0),0))</f>
        <v>0</v>
      </c>
      <c r="H305" s="7">
        <f t="array" ref="H305">IF(E305="",0,IFERROR(XLOOKUP(E305,Medals!$B$2:$B$51,Medals!$D$2:$D$51,0),0))</f>
        <v>0</v>
      </c>
      <c r="I305" s="7">
        <f t="array" ref="I305">IF(E305="",0,IFERROR(XLOOKUP(E305,Medals!$B$2:$B$51,Medals!$E$2:$E$51,0),0))</f>
        <v>0</v>
      </c>
      <c r="J305" s="7">
        <f t="array" ref="J305">IF(E305="",0,IFERROR(XLOOKUP(E305,Medals!$B$2:$B$51,Medals!$F$2:$F$51,0),0))</f>
        <v>0</v>
      </c>
      <c r="K305" s="7">
        <f>H305*GoldPoints*G305</f>
        <v>0</v>
      </c>
      <c r="L305" s="7">
        <f>I305*SilverPoints*G305</f>
        <v>0</v>
      </c>
      <c r="M305" s="7">
        <f>J305*BronzePoints*G305</f>
        <v>0</v>
      </c>
      <c r="N305" s="7">
        <f t="shared" si="1"/>
        <v>0</v>
      </c>
      <c r="O305" s="7" t="b">
        <f t="array" ref="O305">IF(E305="",FALSE,IFERROR(AND(ISNUMBER(MATCH(E305,Countries!$A$2:$A$72,0)),XLOOKUP(E305,Countries!$A$2:$A$72,Countries!$I$2:$I$72,FALSE)),FALSE))</f>
        <v>0</v>
      </c>
      <c r="P305" s="7" t="b">
        <f t="array" ref="P305">IF(E305="",FALSE,IFERROR(XLOOKUP(E305,Countries!$A$2:$A$72,Countries!$G$2:$G$72,FALSE),FALSE))</f>
        <v>0</v>
      </c>
      <c r="Q305" s="7" t="str">
        <f t="shared" si="2"/>
        <v>⚪</v>
      </c>
    </row>
    <row r="306" ht="15.75" customHeight="1">
      <c r="A306" s="7" t="str">
        <f t="array" ref="A306">IFERROR(IF(INDEX(Entries!$C$2:$C$48,39)="","",INDEX(Entries!$Q$2:$Q$48,39)),"")</f>
        <v/>
      </c>
      <c r="B306" s="7" t="str">
        <f t="array" ref="B306">IF(A306="","",IFERROR(INDEX(Entries!$E$2:$E$48,39),""))</f>
        <v/>
      </c>
      <c r="C306" s="7" t="str">
        <f>IF(A306="","","Tier1_Pick1")</f>
        <v/>
      </c>
      <c r="D306" s="7" t="str">
        <f>IF(A306="","",1)</f>
        <v/>
      </c>
      <c r="E306" s="7" t="str">
        <f t="array" ref="E306">IF(A306="","",IFERROR(INDEX(Entries!$F$2:$F$48,39),""))</f>
        <v/>
      </c>
      <c r="F306" s="7" t="str">
        <f>IF(E306="","",IFERROR(_xludf.XLOOKUP(E306,Countries!$A$2:$A$72,Countries!$B$2:$B$72,"???"),"???"))</f>
        <v/>
      </c>
      <c r="G306" s="7">
        <f t="array" ref="G306">IF(E306="",0,IFERROR(XLOOKUP(E306,Countries!$A$2:$A$72,Countries!$E$2:$E$72,0),0))</f>
        <v>0</v>
      </c>
      <c r="H306" s="7">
        <f t="array" ref="H306">IF(E306="",0,IFERROR(XLOOKUP(E306,Medals!$B$2:$B$51,Medals!$D$2:$D$51,0),0))</f>
        <v>0</v>
      </c>
      <c r="I306" s="7">
        <f t="array" ref="I306">IF(E306="",0,IFERROR(XLOOKUP(E306,Medals!$B$2:$B$51,Medals!$E$2:$E$51,0),0))</f>
        <v>0</v>
      </c>
      <c r="J306" s="7">
        <f t="array" ref="J306">IF(E306="",0,IFERROR(XLOOKUP(E306,Medals!$B$2:$B$51,Medals!$F$2:$F$51,0),0))</f>
        <v>0</v>
      </c>
      <c r="K306" s="7">
        <f>H306*GoldPoints*G306</f>
        <v>0</v>
      </c>
      <c r="L306" s="7">
        <f>I306*SilverPoints*G306</f>
        <v>0</v>
      </c>
      <c r="M306" s="7">
        <f>J306*BronzePoints*G306</f>
        <v>0</v>
      </c>
      <c r="N306" s="7">
        <f t="shared" si="1"/>
        <v>0</v>
      </c>
      <c r="O306" s="7" t="b">
        <f t="array" ref="O306">IF(E306="",FALSE,IFERROR(AND(ISNUMBER(MATCH(E306,Countries!$A$2:$A$72,0)),XLOOKUP(E306,Countries!$A$2:$A$72,Countries!$I$2:$I$72,FALSE)),FALSE))</f>
        <v>0</v>
      </c>
      <c r="P306" s="7" t="b">
        <f t="array" ref="P306">IF(E306="",FALSE,IFERROR(XLOOKUP(E306,Countries!$A$2:$A$72,Countries!$G$2:$G$72,FALSE),FALSE))</f>
        <v>0</v>
      </c>
      <c r="Q306" s="7" t="str">
        <f t="shared" si="2"/>
        <v>⚪</v>
      </c>
    </row>
    <row r="307" ht="15.75" customHeight="1">
      <c r="A307" s="7" t="str">
        <f t="array" ref="A307">IFERROR(IF(INDEX(Entries!$C$2:$C$48,39)="","",INDEX(Entries!$Q$2:$Q$48,39)),"")</f>
        <v/>
      </c>
      <c r="B307" s="7" t="str">
        <f t="array" ref="B307">IF(A307="","",IFERROR(INDEX(Entries!$E$2:$E$48,39),""))</f>
        <v/>
      </c>
      <c r="C307" s="7" t="str">
        <f>IF(A307="","","Tier2_Pick1")</f>
        <v/>
      </c>
      <c r="D307" s="7" t="str">
        <f t="shared" ref="D307:D308" si="79">IF(A307="","",2)</f>
        <v/>
      </c>
      <c r="E307" s="7" t="str">
        <f t="array" ref="E307">IF(A307="","",IFERROR(INDEX(Entries!$M$2:$M$48,39),""))</f>
        <v/>
      </c>
      <c r="F307" s="7" t="str">
        <f>IF(E307="","",IFERROR(_xludf.XLOOKUP(E307,Countries!$A$2:$A$72,Countries!$B$2:$B$72,"???"),"???"))</f>
        <v/>
      </c>
      <c r="G307" s="7">
        <f t="array" ref="G307">IF(E307="",0,IFERROR(XLOOKUP(E307,Countries!$A$2:$A$72,Countries!$E$2:$E$72,0),0))</f>
        <v>0</v>
      </c>
      <c r="H307" s="7">
        <f t="array" ref="H307">IF(E307="",0,IFERROR(XLOOKUP(E307,Medals!$B$2:$B$51,Medals!$D$2:$D$51,0),0))</f>
        <v>0</v>
      </c>
      <c r="I307" s="7">
        <f t="array" ref="I307">IF(E307="",0,IFERROR(XLOOKUP(E307,Medals!$B$2:$B$51,Medals!$E$2:$E$51,0),0))</f>
        <v>0</v>
      </c>
      <c r="J307" s="7">
        <f t="array" ref="J307">IF(E307="",0,IFERROR(XLOOKUP(E307,Medals!$B$2:$B$51,Medals!$F$2:$F$51,0),0))</f>
        <v>0</v>
      </c>
      <c r="K307" s="7">
        <f>H307*GoldPoints*G307</f>
        <v>0</v>
      </c>
      <c r="L307" s="7">
        <f>I307*SilverPoints*G307</f>
        <v>0</v>
      </c>
      <c r="M307" s="7">
        <f>J307*BronzePoints*G307</f>
        <v>0</v>
      </c>
      <c r="N307" s="7">
        <f t="shared" si="1"/>
        <v>0</v>
      </c>
      <c r="O307" s="7" t="b">
        <f t="array" ref="O307">IF(E307="",FALSE,IFERROR(AND(ISNUMBER(MATCH(E307,Countries!$A$2:$A$72,0)),XLOOKUP(E307,Countries!$A$2:$A$72,Countries!$I$2:$I$72,FALSE)),FALSE))</f>
        <v>0</v>
      </c>
      <c r="P307" s="7" t="b">
        <f t="array" ref="P307">IF(E307="",FALSE,IFERROR(XLOOKUP(E307,Countries!$A$2:$A$72,Countries!$G$2:$G$72,FALSE),FALSE))</f>
        <v>0</v>
      </c>
      <c r="Q307" s="7" t="str">
        <f t="shared" si="2"/>
        <v>⚪</v>
      </c>
    </row>
    <row r="308" ht="15.75" customHeight="1">
      <c r="A308" s="7" t="str">
        <f t="array" ref="A308">IFERROR(IF(INDEX(Entries!$C$2:$C$48,39)="","",INDEX(Entries!$Q$2:$Q$48,39)),"")</f>
        <v/>
      </c>
      <c r="B308" s="7" t="str">
        <f t="array" ref="B308">IF(A308="","",IFERROR(INDEX(Entries!$E$2:$E$48,39),""))</f>
        <v/>
      </c>
      <c r="C308" s="7" t="str">
        <f>IF(A308="","","Tier2_Pick2")</f>
        <v/>
      </c>
      <c r="D308" s="7" t="str">
        <f t="shared" si="79"/>
        <v/>
      </c>
      <c r="E308" s="7" t="str">
        <f t="array" ref="E308">IF(A308="","",IFERROR(INDEX(Entries!$N$2:$N$48,39),""))</f>
        <v/>
      </c>
      <c r="F308" s="7" t="str">
        <f>IF(E308="","",IFERROR(_xludf.XLOOKUP(E308,Countries!$A$2:$A$72,Countries!$B$2:$B$72,"???"),"???"))</f>
        <v/>
      </c>
      <c r="G308" s="7">
        <f t="array" ref="G308">IF(E308="",0,IFERROR(XLOOKUP(E308,Countries!$A$2:$A$72,Countries!$E$2:$E$72,0),0))</f>
        <v>0</v>
      </c>
      <c r="H308" s="7">
        <f t="array" ref="H308">IF(E308="",0,IFERROR(XLOOKUP(E308,Medals!$B$2:$B$51,Medals!$D$2:$D$51,0),0))</f>
        <v>0</v>
      </c>
      <c r="I308" s="7">
        <f t="array" ref="I308">IF(E308="",0,IFERROR(XLOOKUP(E308,Medals!$B$2:$B$51,Medals!$E$2:$E$51,0),0))</f>
        <v>0</v>
      </c>
      <c r="J308" s="7">
        <f t="array" ref="J308">IF(E308="",0,IFERROR(XLOOKUP(E308,Medals!$B$2:$B$51,Medals!$F$2:$F$51,0),0))</f>
        <v>0</v>
      </c>
      <c r="K308" s="7">
        <f>H308*GoldPoints*G308</f>
        <v>0</v>
      </c>
      <c r="L308" s="7">
        <f>I308*SilverPoints*G308</f>
        <v>0</v>
      </c>
      <c r="M308" s="7">
        <f>J308*BronzePoints*G308</f>
        <v>0</v>
      </c>
      <c r="N308" s="7">
        <f t="shared" si="1"/>
        <v>0</v>
      </c>
      <c r="O308" s="7" t="b">
        <f t="array" ref="O308">IF(E308="",FALSE,IFERROR(AND(ISNUMBER(MATCH(E308,Countries!$A$2:$A$72,0)),XLOOKUP(E308,Countries!$A$2:$A$72,Countries!$I$2:$I$72,FALSE)),FALSE))</f>
        <v>0</v>
      </c>
      <c r="P308" s="7" t="b">
        <f t="array" ref="P308">IF(E308="",FALSE,IFERROR(XLOOKUP(E308,Countries!$A$2:$A$72,Countries!$G$2:$G$72,FALSE),FALSE))</f>
        <v>0</v>
      </c>
      <c r="Q308" s="7" t="str">
        <f t="shared" si="2"/>
        <v>⚪</v>
      </c>
    </row>
    <row r="309" ht="15.75" customHeight="1">
      <c r="A309" s="7" t="str">
        <f t="array" ref="A309">IFERROR(IF(INDEX(Entries!$C$2:$C$48,39)="","",INDEX(Entries!$Q$2:$Q$48,39)),"")</f>
        <v/>
      </c>
      <c r="B309" s="7" t="str">
        <f t="array" ref="B309">IF(A309="","",IFERROR(INDEX(Entries!$E$2:$E$48,39),""))</f>
        <v/>
      </c>
      <c r="C309" s="7" t="str">
        <f>IF(A309="","","Tier3_Pick1")</f>
        <v/>
      </c>
      <c r="D309" s="7" t="str">
        <f>IF(A309="","",3)</f>
        <v/>
      </c>
      <c r="E309" s="7" t="str">
        <f t="array" ref="E309">IF(A309="","",IFERROR(INDEX(Entries!$H$2:$H$48,39),""))</f>
        <v/>
      </c>
      <c r="F309" s="7" t="str">
        <f>IF(E309="","",IFERROR(_xludf.XLOOKUP(E309,Countries!$A$2:$A$72,Countries!$B$2:$B$72,"???"),"???"))</f>
        <v/>
      </c>
      <c r="G309" s="7">
        <f t="array" ref="G309">IF(E309="",0,IFERROR(XLOOKUP(E309,Countries!$A$2:$A$72,Countries!$E$2:$E$72,0),0))</f>
        <v>0</v>
      </c>
      <c r="H309" s="7">
        <f t="array" ref="H309">IF(E309="",0,IFERROR(XLOOKUP(E309,Medals!$B$2:$B$51,Medals!$D$2:$D$51,0),0))</f>
        <v>0</v>
      </c>
      <c r="I309" s="7">
        <f t="array" ref="I309">IF(E309="",0,IFERROR(XLOOKUP(E309,Medals!$B$2:$B$51,Medals!$E$2:$E$51,0),0))</f>
        <v>0</v>
      </c>
      <c r="J309" s="7">
        <f t="array" ref="J309">IF(E309="",0,IFERROR(XLOOKUP(E309,Medals!$B$2:$B$51,Medals!$F$2:$F$51,0),0))</f>
        <v>0</v>
      </c>
      <c r="K309" s="7">
        <f>H309*GoldPoints*G309</f>
        <v>0</v>
      </c>
      <c r="L309" s="7">
        <f>I309*SilverPoints*G309</f>
        <v>0</v>
      </c>
      <c r="M309" s="7">
        <f>J309*BronzePoints*G309</f>
        <v>0</v>
      </c>
      <c r="N309" s="7">
        <f t="shared" si="1"/>
        <v>0</v>
      </c>
      <c r="O309" s="7" t="b">
        <f t="array" ref="O309">IF(E309="",FALSE,IFERROR(AND(ISNUMBER(MATCH(E309,Countries!$A$2:$A$72,0)),XLOOKUP(E309,Countries!$A$2:$A$72,Countries!$I$2:$I$72,FALSE)),FALSE))</f>
        <v>0</v>
      </c>
      <c r="P309" s="7" t="b">
        <f t="array" ref="P309">IF(E309="",FALSE,IFERROR(XLOOKUP(E309,Countries!$A$2:$A$72,Countries!$G$2:$G$72,FALSE),FALSE))</f>
        <v>0</v>
      </c>
      <c r="Q309" s="7" t="str">
        <f t="shared" si="2"/>
        <v>⚪</v>
      </c>
    </row>
    <row r="310" ht="15.75" customHeight="1">
      <c r="A310" s="7" t="str">
        <f t="array" ref="A310">IFERROR(IF(INDEX(Entries!$C$2:$C$48,39)="","",INDEX(Entries!$Q$2:$Q$48,39)),"")</f>
        <v/>
      </c>
      <c r="B310" s="7" t="str">
        <f t="array" ref="B310">IF(A310="","",IFERROR(INDEX(Entries!$E$2:$E$48,39),""))</f>
        <v/>
      </c>
      <c r="C310" s="7" t="str">
        <f>IF(A310="","","Tier4_Pick1")</f>
        <v/>
      </c>
      <c r="D310" s="7" t="str">
        <f>IF(A310="","",4)</f>
        <v/>
      </c>
      <c r="E310" s="7" t="str">
        <f t="array" ref="E310">IF(A310="","",IFERROR(INDEX(Entries!$I$2:$I$48,39),""))</f>
        <v/>
      </c>
      <c r="F310" s="7" t="str">
        <f>IF(E310="","",IFERROR(_xludf.XLOOKUP(E310,Countries!$A$2:$A$72,Countries!$B$2:$B$72,"???"),"???"))</f>
        <v/>
      </c>
      <c r="G310" s="7">
        <f t="array" ref="G310">IF(E310="",0,IFERROR(XLOOKUP(E310,Countries!$A$2:$A$72,Countries!$E$2:$E$72,0),0))</f>
        <v>0</v>
      </c>
      <c r="H310" s="7">
        <f t="array" ref="H310">IF(E310="",0,IFERROR(XLOOKUP(E310,Medals!$B$2:$B$51,Medals!$D$2:$D$51,0),0))</f>
        <v>0</v>
      </c>
      <c r="I310" s="7">
        <f t="array" ref="I310">IF(E310="",0,IFERROR(XLOOKUP(E310,Medals!$B$2:$B$51,Medals!$E$2:$E$51,0),0))</f>
        <v>0</v>
      </c>
      <c r="J310" s="7">
        <f t="array" ref="J310">IF(E310="",0,IFERROR(XLOOKUP(E310,Medals!$B$2:$B$51,Medals!$F$2:$F$51,0),0))</f>
        <v>0</v>
      </c>
      <c r="K310" s="7">
        <f>H310*GoldPoints*G310</f>
        <v>0</v>
      </c>
      <c r="L310" s="7">
        <f>I310*SilverPoints*G310</f>
        <v>0</v>
      </c>
      <c r="M310" s="7">
        <f>J310*BronzePoints*G310</f>
        <v>0</v>
      </c>
      <c r="N310" s="7">
        <f t="shared" si="1"/>
        <v>0</v>
      </c>
      <c r="O310" s="7" t="b">
        <f t="array" ref="O310">IF(E310="",FALSE,IFERROR(AND(ISNUMBER(MATCH(E310,Countries!$A$2:$A$72,0)),XLOOKUP(E310,Countries!$A$2:$A$72,Countries!$I$2:$I$72,FALSE)),FALSE))</f>
        <v>0</v>
      </c>
      <c r="P310" s="7" t="b">
        <f t="array" ref="P310">IF(E310="",FALSE,IFERROR(XLOOKUP(E310,Countries!$A$2:$A$72,Countries!$G$2:$G$72,FALSE),FALSE))</f>
        <v>0</v>
      </c>
      <c r="Q310" s="7" t="str">
        <f t="shared" si="2"/>
        <v>⚪</v>
      </c>
    </row>
    <row r="311" ht="15.75" customHeight="1">
      <c r="A311" s="7" t="str">
        <f t="array" ref="A311">IFERROR(IF(INDEX(Entries!$C$2:$C$48,39)="","",INDEX(Entries!$Q$2:$Q$48,39)),"")</f>
        <v/>
      </c>
      <c r="B311" s="7" t="str">
        <f t="array" ref="B311">IF(A311="","",IFERROR(INDEX(Entries!$E$2:$E$48,39),""))</f>
        <v/>
      </c>
      <c r="C311" s="7" t="str">
        <f>IF(A311="","","Tier5_Pick1")</f>
        <v/>
      </c>
      <c r="D311" s="7" t="str">
        <f>IF(A311="","",5)</f>
        <v/>
      </c>
      <c r="E311" s="7" t="str">
        <f t="array" ref="E311">IF(A311="","",IFERROR(INDEX(Entries!$J$2:$J$48,39),""))</f>
        <v/>
      </c>
      <c r="F311" s="7" t="str">
        <f>IF(E311="","",IFERROR(_xludf.XLOOKUP(E311,Countries!$A$2:$A$72,Countries!$B$2:$B$72,"???"),"???"))</f>
        <v/>
      </c>
      <c r="G311" s="7">
        <f t="array" ref="G311">IF(E311="",0,IFERROR(XLOOKUP(E311,Countries!$A$2:$A$72,Countries!$E$2:$E$72,0),0))</f>
        <v>0</v>
      </c>
      <c r="H311" s="7">
        <f t="array" ref="H311">IF(E311="",0,IFERROR(XLOOKUP(E311,Medals!$B$2:$B$51,Medals!$D$2:$D$51,0),0))</f>
        <v>0</v>
      </c>
      <c r="I311" s="7">
        <f t="array" ref="I311">IF(E311="",0,IFERROR(XLOOKUP(E311,Medals!$B$2:$B$51,Medals!$E$2:$E$51,0),0))</f>
        <v>0</v>
      </c>
      <c r="J311" s="7">
        <f t="array" ref="J311">IF(E311="",0,IFERROR(XLOOKUP(E311,Medals!$B$2:$B$51,Medals!$F$2:$F$51,0),0))</f>
        <v>0</v>
      </c>
      <c r="K311" s="7">
        <f>H311*GoldPoints*G311</f>
        <v>0</v>
      </c>
      <c r="L311" s="7">
        <f>I311*SilverPoints*G311</f>
        <v>0</v>
      </c>
      <c r="M311" s="7">
        <f>J311*BronzePoints*G311</f>
        <v>0</v>
      </c>
      <c r="N311" s="7">
        <f t="shared" si="1"/>
        <v>0</v>
      </c>
      <c r="O311" s="7" t="b">
        <f t="array" ref="O311">IF(E311="",FALSE,IFERROR(AND(ISNUMBER(MATCH(E311,Countries!$A$2:$A$72,0)),XLOOKUP(E311,Countries!$A$2:$A$72,Countries!$I$2:$I$72,FALSE)),FALSE))</f>
        <v>0</v>
      </c>
      <c r="P311" s="7" t="b">
        <f t="array" ref="P311">IF(E311="",FALSE,IFERROR(XLOOKUP(E311,Countries!$A$2:$A$72,Countries!$G$2:$G$72,FALSE),FALSE))</f>
        <v>0</v>
      </c>
      <c r="Q311" s="7" t="str">
        <f t="shared" si="2"/>
        <v>⚪</v>
      </c>
    </row>
    <row r="312" ht="15.75" customHeight="1">
      <c r="A312" s="7" t="str">
        <f t="array" ref="A312">IFERROR(IF(INDEX(Entries!$C$2:$C$48,39)="","",INDEX(Entries!$Q$2:$Q$48,39)),"")</f>
        <v/>
      </c>
      <c r="B312" s="7" t="str">
        <f t="array" ref="B312">IF(A312="","",IFERROR(INDEX(Entries!$E$2:$E$48,39),""))</f>
        <v/>
      </c>
      <c r="C312" s="7" t="str">
        <f>IF(A312="","","Tier6_Pick1")</f>
        <v/>
      </c>
      <c r="D312" s="7" t="str">
        <f t="shared" ref="D312:D313" si="80">IF(A312="","",6)</f>
        <v/>
      </c>
      <c r="E312" s="7" t="str">
        <f t="array" ref="E312">IF(A312="","",IFERROR(INDEX(Entries!$O$2:$O$48,39),""))</f>
        <v/>
      </c>
      <c r="F312" s="7" t="str">
        <f>IF(E312="","",IFERROR(_xludf.XLOOKUP(E312,Countries!$A$2:$A$72,Countries!$B$2:$B$72,"???"),"???"))</f>
        <v/>
      </c>
      <c r="G312" s="7">
        <f t="array" ref="G312">IF(E312="",0,IFERROR(XLOOKUP(E312,Countries!$A$2:$A$72,Countries!$E$2:$E$72,0),0))</f>
        <v>0</v>
      </c>
      <c r="H312" s="7">
        <f t="array" ref="H312">IF(E312="",0,IFERROR(XLOOKUP(E312,Medals!$B$2:$B$51,Medals!$D$2:$D$51,0),0))</f>
        <v>0</v>
      </c>
      <c r="I312" s="7">
        <f t="array" ref="I312">IF(E312="",0,IFERROR(XLOOKUP(E312,Medals!$B$2:$B$51,Medals!$E$2:$E$51,0),0))</f>
        <v>0</v>
      </c>
      <c r="J312" s="7">
        <f t="array" ref="J312">IF(E312="",0,IFERROR(XLOOKUP(E312,Medals!$B$2:$B$51,Medals!$F$2:$F$51,0),0))</f>
        <v>0</v>
      </c>
      <c r="K312" s="7">
        <f>H312*GoldPoints*G312</f>
        <v>0</v>
      </c>
      <c r="L312" s="7">
        <f>I312*SilverPoints*G312</f>
        <v>0</v>
      </c>
      <c r="M312" s="7">
        <f>J312*BronzePoints*G312</f>
        <v>0</v>
      </c>
      <c r="N312" s="7">
        <f t="shared" si="1"/>
        <v>0</v>
      </c>
      <c r="O312" s="7" t="b">
        <f t="array" ref="O312">IF(E312="",FALSE,IFERROR(AND(ISNUMBER(MATCH(E312,Countries!$A$2:$A$72,0)),XLOOKUP(E312,Countries!$A$2:$A$72,Countries!$I$2:$I$72,FALSE)),FALSE))</f>
        <v>0</v>
      </c>
      <c r="P312" s="7" t="b">
        <f t="array" ref="P312">IF(E312="",FALSE,IFERROR(XLOOKUP(E312,Countries!$A$2:$A$72,Countries!$G$2:$G$72,FALSE),FALSE))</f>
        <v>0</v>
      </c>
      <c r="Q312" s="7" t="str">
        <f t="shared" si="2"/>
        <v>⚪</v>
      </c>
    </row>
    <row r="313" ht="15.75" customHeight="1">
      <c r="A313" s="7" t="str">
        <f t="array" ref="A313">IFERROR(IF(INDEX(Entries!$C$2:$C$48,39)="","",INDEX(Entries!$Q$2:$Q$48,39)),"")</f>
        <v/>
      </c>
      <c r="B313" s="7" t="str">
        <f t="array" ref="B313">IF(A313="","",IFERROR(INDEX(Entries!$E$2:$E$48,39),""))</f>
        <v/>
      </c>
      <c r="C313" s="7" t="str">
        <f>IF(A313="","","Tier6_Pick2")</f>
        <v/>
      </c>
      <c r="D313" s="7" t="str">
        <f t="shared" si="80"/>
        <v/>
      </c>
      <c r="E313" s="7" t="str">
        <f t="array" ref="E313">IF(A313="","",IFERROR(INDEX(Entries!$P$2:$P$48,39),""))</f>
        <v/>
      </c>
      <c r="F313" s="7" t="str">
        <f>IF(E313="","",IFERROR(_xludf.XLOOKUP(E313,Countries!$A$2:$A$72,Countries!$B$2:$B$72,"???"),"???"))</f>
        <v/>
      </c>
      <c r="G313" s="7">
        <f t="array" ref="G313">IF(E313="",0,IFERROR(XLOOKUP(E313,Countries!$A$2:$A$72,Countries!$E$2:$E$72,0),0))</f>
        <v>0</v>
      </c>
      <c r="H313" s="7">
        <f t="array" ref="H313">IF(E313="",0,IFERROR(XLOOKUP(E313,Medals!$B$2:$B$51,Medals!$D$2:$D$51,0),0))</f>
        <v>0</v>
      </c>
      <c r="I313" s="7">
        <f t="array" ref="I313">IF(E313="",0,IFERROR(XLOOKUP(E313,Medals!$B$2:$B$51,Medals!$E$2:$E$51,0),0))</f>
        <v>0</v>
      </c>
      <c r="J313" s="7">
        <f t="array" ref="J313">IF(E313="",0,IFERROR(XLOOKUP(E313,Medals!$B$2:$B$51,Medals!$F$2:$F$51,0),0))</f>
        <v>0</v>
      </c>
      <c r="K313" s="7">
        <f>H313*GoldPoints*G313</f>
        <v>0</v>
      </c>
      <c r="L313" s="7">
        <f>I313*SilverPoints*G313</f>
        <v>0</v>
      </c>
      <c r="M313" s="7">
        <f>J313*BronzePoints*G313</f>
        <v>0</v>
      </c>
      <c r="N313" s="7">
        <f t="shared" si="1"/>
        <v>0</v>
      </c>
      <c r="O313" s="7" t="b">
        <f t="array" ref="O313">IF(E313="",FALSE,IFERROR(AND(ISNUMBER(MATCH(E313,Countries!$A$2:$A$72,0)),XLOOKUP(E313,Countries!$A$2:$A$72,Countries!$I$2:$I$72,FALSE)),FALSE))</f>
        <v>0</v>
      </c>
      <c r="P313" s="7" t="b">
        <f t="array" ref="P313">IF(E313="",FALSE,IFERROR(XLOOKUP(E313,Countries!$A$2:$A$72,Countries!$G$2:$G$72,FALSE),FALSE))</f>
        <v>0</v>
      </c>
      <c r="Q313" s="7" t="str">
        <f t="shared" si="2"/>
        <v>⚪</v>
      </c>
    </row>
    <row r="314" ht="15.75" customHeight="1">
      <c r="A314" s="7" t="str">
        <f t="array" ref="A314">IFERROR(IF(INDEX(Entries!$C$2:$C$48,40)="","",INDEX(Entries!$Q$2:$Q$48,40)),"")</f>
        <v/>
      </c>
      <c r="B314" s="7" t="str">
        <f t="array" ref="B314">IF(A314="","",IFERROR(INDEX(Entries!$E$2:$E$48,40),""))</f>
        <v/>
      </c>
      <c r="C314" s="7" t="str">
        <f>IF(A314="","","Tier1_Pick1")</f>
        <v/>
      </c>
      <c r="D314" s="7" t="str">
        <f>IF(A314="","",1)</f>
        <v/>
      </c>
      <c r="E314" s="7" t="str">
        <f t="array" ref="E314">IF(A314="","",IFERROR(INDEX(Entries!$F$2:$F$48,40),""))</f>
        <v/>
      </c>
      <c r="F314" s="7" t="str">
        <f>IF(E314="","",IFERROR(_xludf.XLOOKUP(E314,Countries!$A$2:$A$72,Countries!$B$2:$B$72,"???"),"???"))</f>
        <v/>
      </c>
      <c r="G314" s="7">
        <f t="array" ref="G314">IF(E314="",0,IFERROR(XLOOKUP(E314,Countries!$A$2:$A$72,Countries!$E$2:$E$72,0),0))</f>
        <v>0</v>
      </c>
      <c r="H314" s="7">
        <f t="array" ref="H314">IF(E314="",0,IFERROR(XLOOKUP(E314,Medals!$B$2:$B$51,Medals!$D$2:$D$51,0),0))</f>
        <v>0</v>
      </c>
      <c r="I314" s="7">
        <f t="array" ref="I314">IF(E314="",0,IFERROR(XLOOKUP(E314,Medals!$B$2:$B$51,Medals!$E$2:$E$51,0),0))</f>
        <v>0</v>
      </c>
      <c r="J314" s="7">
        <f t="array" ref="J314">IF(E314="",0,IFERROR(XLOOKUP(E314,Medals!$B$2:$B$51,Medals!$F$2:$F$51,0),0))</f>
        <v>0</v>
      </c>
      <c r="K314" s="7">
        <f>H314*GoldPoints*G314</f>
        <v>0</v>
      </c>
      <c r="L314" s="7">
        <f>I314*SilverPoints*G314</f>
        <v>0</v>
      </c>
      <c r="M314" s="7">
        <f>J314*BronzePoints*G314</f>
        <v>0</v>
      </c>
      <c r="N314" s="7">
        <f t="shared" si="1"/>
        <v>0</v>
      </c>
      <c r="O314" s="7" t="b">
        <f t="array" ref="O314">IF(E314="",FALSE,IFERROR(AND(ISNUMBER(MATCH(E314,Countries!$A$2:$A$72,0)),XLOOKUP(E314,Countries!$A$2:$A$72,Countries!$I$2:$I$72,FALSE)),FALSE))</f>
        <v>0</v>
      </c>
      <c r="P314" s="7" t="b">
        <f t="array" ref="P314">IF(E314="",FALSE,IFERROR(XLOOKUP(E314,Countries!$A$2:$A$72,Countries!$G$2:$G$72,FALSE),FALSE))</f>
        <v>0</v>
      </c>
      <c r="Q314" s="7" t="str">
        <f t="shared" si="2"/>
        <v>⚪</v>
      </c>
    </row>
    <row r="315" ht="15.75" customHeight="1">
      <c r="A315" s="7" t="str">
        <f t="array" ref="A315">IFERROR(IF(INDEX(Entries!$C$2:$C$48,40)="","",INDEX(Entries!$Q$2:$Q$48,40)),"")</f>
        <v/>
      </c>
      <c r="B315" s="7" t="str">
        <f t="array" ref="B315">IF(A315="","",IFERROR(INDEX(Entries!$E$2:$E$48,40),""))</f>
        <v/>
      </c>
      <c r="C315" s="7" t="str">
        <f>IF(A315="","","Tier2_Pick1")</f>
        <v/>
      </c>
      <c r="D315" s="7" t="str">
        <f t="shared" ref="D315:D316" si="81">IF(A315="","",2)</f>
        <v/>
      </c>
      <c r="E315" s="7" t="str">
        <f t="array" ref="E315">IF(A315="","",IFERROR(INDEX(Entries!$M$2:$M$48,40),""))</f>
        <v/>
      </c>
      <c r="F315" s="7" t="str">
        <f>IF(E315="","",IFERROR(_xludf.XLOOKUP(E315,Countries!$A$2:$A$72,Countries!$B$2:$B$72,"???"),"???"))</f>
        <v/>
      </c>
      <c r="G315" s="7">
        <f t="array" ref="G315">IF(E315="",0,IFERROR(XLOOKUP(E315,Countries!$A$2:$A$72,Countries!$E$2:$E$72,0),0))</f>
        <v>0</v>
      </c>
      <c r="H315" s="7">
        <f t="array" ref="H315">IF(E315="",0,IFERROR(XLOOKUP(E315,Medals!$B$2:$B$51,Medals!$D$2:$D$51,0),0))</f>
        <v>0</v>
      </c>
      <c r="I315" s="7">
        <f t="array" ref="I315">IF(E315="",0,IFERROR(XLOOKUP(E315,Medals!$B$2:$B$51,Medals!$E$2:$E$51,0),0))</f>
        <v>0</v>
      </c>
      <c r="J315" s="7">
        <f t="array" ref="J315">IF(E315="",0,IFERROR(XLOOKUP(E315,Medals!$B$2:$B$51,Medals!$F$2:$F$51,0),0))</f>
        <v>0</v>
      </c>
      <c r="K315" s="7">
        <f>H315*GoldPoints*G315</f>
        <v>0</v>
      </c>
      <c r="L315" s="7">
        <f>I315*SilverPoints*G315</f>
        <v>0</v>
      </c>
      <c r="M315" s="7">
        <f>J315*BronzePoints*G315</f>
        <v>0</v>
      </c>
      <c r="N315" s="7">
        <f t="shared" si="1"/>
        <v>0</v>
      </c>
      <c r="O315" s="7" t="b">
        <f t="array" ref="O315">IF(E315="",FALSE,IFERROR(AND(ISNUMBER(MATCH(E315,Countries!$A$2:$A$72,0)),XLOOKUP(E315,Countries!$A$2:$A$72,Countries!$I$2:$I$72,FALSE)),FALSE))</f>
        <v>0</v>
      </c>
      <c r="P315" s="7" t="b">
        <f t="array" ref="P315">IF(E315="",FALSE,IFERROR(XLOOKUP(E315,Countries!$A$2:$A$72,Countries!$G$2:$G$72,FALSE),FALSE))</f>
        <v>0</v>
      </c>
      <c r="Q315" s="7" t="str">
        <f t="shared" si="2"/>
        <v>⚪</v>
      </c>
    </row>
    <row r="316" ht="15.75" customHeight="1">
      <c r="A316" s="7" t="str">
        <f t="array" ref="A316">IFERROR(IF(INDEX(Entries!$C$2:$C$48,40)="","",INDEX(Entries!$Q$2:$Q$48,40)),"")</f>
        <v/>
      </c>
      <c r="B316" s="7" t="str">
        <f t="array" ref="B316">IF(A316="","",IFERROR(INDEX(Entries!$E$2:$E$48,40),""))</f>
        <v/>
      </c>
      <c r="C316" s="7" t="str">
        <f>IF(A316="","","Tier2_Pick2")</f>
        <v/>
      </c>
      <c r="D316" s="7" t="str">
        <f t="shared" si="81"/>
        <v/>
      </c>
      <c r="E316" s="7" t="str">
        <f t="array" ref="E316">IF(A316="","",IFERROR(INDEX(Entries!$N$2:$N$48,40),""))</f>
        <v/>
      </c>
      <c r="F316" s="7" t="str">
        <f>IF(E316="","",IFERROR(_xludf.XLOOKUP(E316,Countries!$A$2:$A$72,Countries!$B$2:$B$72,"???"),"???"))</f>
        <v/>
      </c>
      <c r="G316" s="7">
        <f t="array" ref="G316">IF(E316="",0,IFERROR(XLOOKUP(E316,Countries!$A$2:$A$72,Countries!$E$2:$E$72,0),0))</f>
        <v>0</v>
      </c>
      <c r="H316" s="7">
        <f t="array" ref="H316">IF(E316="",0,IFERROR(XLOOKUP(E316,Medals!$B$2:$B$51,Medals!$D$2:$D$51,0),0))</f>
        <v>0</v>
      </c>
      <c r="I316" s="7">
        <f t="array" ref="I316">IF(E316="",0,IFERROR(XLOOKUP(E316,Medals!$B$2:$B$51,Medals!$E$2:$E$51,0),0))</f>
        <v>0</v>
      </c>
      <c r="J316" s="7">
        <f t="array" ref="J316">IF(E316="",0,IFERROR(XLOOKUP(E316,Medals!$B$2:$B$51,Medals!$F$2:$F$51,0),0))</f>
        <v>0</v>
      </c>
      <c r="K316" s="7">
        <f>H316*GoldPoints*G316</f>
        <v>0</v>
      </c>
      <c r="L316" s="7">
        <f>I316*SilverPoints*G316</f>
        <v>0</v>
      </c>
      <c r="M316" s="7">
        <f>J316*BronzePoints*G316</f>
        <v>0</v>
      </c>
      <c r="N316" s="7">
        <f t="shared" si="1"/>
        <v>0</v>
      </c>
      <c r="O316" s="7" t="b">
        <f t="array" ref="O316">IF(E316="",FALSE,IFERROR(AND(ISNUMBER(MATCH(E316,Countries!$A$2:$A$72,0)),XLOOKUP(E316,Countries!$A$2:$A$72,Countries!$I$2:$I$72,FALSE)),FALSE))</f>
        <v>0</v>
      </c>
      <c r="P316" s="7" t="b">
        <f t="array" ref="P316">IF(E316="",FALSE,IFERROR(XLOOKUP(E316,Countries!$A$2:$A$72,Countries!$G$2:$G$72,FALSE),FALSE))</f>
        <v>0</v>
      </c>
      <c r="Q316" s="7" t="str">
        <f t="shared" si="2"/>
        <v>⚪</v>
      </c>
    </row>
    <row r="317" ht="15.75" customHeight="1">
      <c r="A317" s="7" t="str">
        <f t="array" ref="A317">IFERROR(IF(INDEX(Entries!$C$2:$C$48,40)="","",INDEX(Entries!$Q$2:$Q$48,40)),"")</f>
        <v/>
      </c>
      <c r="B317" s="7" t="str">
        <f t="array" ref="B317">IF(A317="","",IFERROR(INDEX(Entries!$E$2:$E$48,40),""))</f>
        <v/>
      </c>
      <c r="C317" s="7" t="str">
        <f>IF(A317="","","Tier3_Pick1")</f>
        <v/>
      </c>
      <c r="D317" s="7" t="str">
        <f>IF(A317="","",3)</f>
        <v/>
      </c>
      <c r="E317" s="7" t="str">
        <f t="array" ref="E317">IF(A317="","",IFERROR(INDEX(Entries!$H$2:$H$48,40),""))</f>
        <v/>
      </c>
      <c r="F317" s="7" t="str">
        <f>IF(E317="","",IFERROR(_xludf.XLOOKUP(E317,Countries!$A$2:$A$72,Countries!$B$2:$B$72,"???"),"???"))</f>
        <v/>
      </c>
      <c r="G317" s="7">
        <f t="array" ref="G317">IF(E317="",0,IFERROR(XLOOKUP(E317,Countries!$A$2:$A$72,Countries!$E$2:$E$72,0),0))</f>
        <v>0</v>
      </c>
      <c r="H317" s="7">
        <f t="array" ref="H317">IF(E317="",0,IFERROR(XLOOKUP(E317,Medals!$B$2:$B$51,Medals!$D$2:$D$51,0),0))</f>
        <v>0</v>
      </c>
      <c r="I317" s="7">
        <f t="array" ref="I317">IF(E317="",0,IFERROR(XLOOKUP(E317,Medals!$B$2:$B$51,Medals!$E$2:$E$51,0),0))</f>
        <v>0</v>
      </c>
      <c r="J317" s="7">
        <f t="array" ref="J317">IF(E317="",0,IFERROR(XLOOKUP(E317,Medals!$B$2:$B$51,Medals!$F$2:$F$51,0),0))</f>
        <v>0</v>
      </c>
      <c r="K317" s="7">
        <f>H317*GoldPoints*G317</f>
        <v>0</v>
      </c>
      <c r="L317" s="7">
        <f>I317*SilverPoints*G317</f>
        <v>0</v>
      </c>
      <c r="M317" s="7">
        <f>J317*BronzePoints*G317</f>
        <v>0</v>
      </c>
      <c r="N317" s="7">
        <f t="shared" si="1"/>
        <v>0</v>
      </c>
      <c r="O317" s="7" t="b">
        <f t="array" ref="O317">IF(E317="",FALSE,IFERROR(AND(ISNUMBER(MATCH(E317,Countries!$A$2:$A$72,0)),XLOOKUP(E317,Countries!$A$2:$A$72,Countries!$I$2:$I$72,FALSE)),FALSE))</f>
        <v>0</v>
      </c>
      <c r="P317" s="7" t="b">
        <f t="array" ref="P317">IF(E317="",FALSE,IFERROR(XLOOKUP(E317,Countries!$A$2:$A$72,Countries!$G$2:$G$72,FALSE),FALSE))</f>
        <v>0</v>
      </c>
      <c r="Q317" s="7" t="str">
        <f t="shared" si="2"/>
        <v>⚪</v>
      </c>
    </row>
    <row r="318" ht="15.75" customHeight="1">
      <c r="A318" s="7" t="str">
        <f t="array" ref="A318">IFERROR(IF(INDEX(Entries!$C$2:$C$48,40)="","",INDEX(Entries!$Q$2:$Q$48,40)),"")</f>
        <v/>
      </c>
      <c r="B318" s="7" t="str">
        <f t="array" ref="B318">IF(A318="","",IFERROR(INDEX(Entries!$E$2:$E$48,40),""))</f>
        <v/>
      </c>
      <c r="C318" s="7" t="str">
        <f>IF(A318="","","Tier4_Pick1")</f>
        <v/>
      </c>
      <c r="D318" s="7" t="str">
        <f>IF(A318="","",4)</f>
        <v/>
      </c>
      <c r="E318" s="7" t="str">
        <f t="array" ref="E318">IF(A318="","",IFERROR(INDEX(Entries!$I$2:$I$48,40),""))</f>
        <v/>
      </c>
      <c r="F318" s="7" t="str">
        <f>IF(E318="","",IFERROR(_xludf.XLOOKUP(E318,Countries!$A$2:$A$72,Countries!$B$2:$B$72,"???"),"???"))</f>
        <v/>
      </c>
      <c r="G318" s="7">
        <f t="array" ref="G318">IF(E318="",0,IFERROR(XLOOKUP(E318,Countries!$A$2:$A$72,Countries!$E$2:$E$72,0),0))</f>
        <v>0</v>
      </c>
      <c r="H318" s="7">
        <f t="array" ref="H318">IF(E318="",0,IFERROR(XLOOKUP(E318,Medals!$B$2:$B$51,Medals!$D$2:$D$51,0),0))</f>
        <v>0</v>
      </c>
      <c r="I318" s="7">
        <f t="array" ref="I318">IF(E318="",0,IFERROR(XLOOKUP(E318,Medals!$B$2:$B$51,Medals!$E$2:$E$51,0),0))</f>
        <v>0</v>
      </c>
      <c r="J318" s="7">
        <f t="array" ref="J318">IF(E318="",0,IFERROR(XLOOKUP(E318,Medals!$B$2:$B$51,Medals!$F$2:$F$51,0),0))</f>
        <v>0</v>
      </c>
      <c r="K318" s="7">
        <f>H318*GoldPoints*G318</f>
        <v>0</v>
      </c>
      <c r="L318" s="7">
        <f>I318*SilverPoints*G318</f>
        <v>0</v>
      </c>
      <c r="M318" s="7">
        <f>J318*BronzePoints*G318</f>
        <v>0</v>
      </c>
      <c r="N318" s="7">
        <f t="shared" si="1"/>
        <v>0</v>
      </c>
      <c r="O318" s="7" t="b">
        <f t="array" ref="O318">IF(E318="",FALSE,IFERROR(AND(ISNUMBER(MATCH(E318,Countries!$A$2:$A$72,0)),XLOOKUP(E318,Countries!$A$2:$A$72,Countries!$I$2:$I$72,FALSE)),FALSE))</f>
        <v>0</v>
      </c>
      <c r="P318" s="7" t="b">
        <f t="array" ref="P318">IF(E318="",FALSE,IFERROR(XLOOKUP(E318,Countries!$A$2:$A$72,Countries!$G$2:$G$72,FALSE),FALSE))</f>
        <v>0</v>
      </c>
      <c r="Q318" s="7" t="str">
        <f t="shared" si="2"/>
        <v>⚪</v>
      </c>
    </row>
    <row r="319" ht="15.75" customHeight="1">
      <c r="A319" s="7" t="str">
        <f t="array" ref="A319">IFERROR(IF(INDEX(Entries!$C$2:$C$48,40)="","",INDEX(Entries!$Q$2:$Q$48,40)),"")</f>
        <v/>
      </c>
      <c r="B319" s="7" t="str">
        <f t="array" ref="B319">IF(A319="","",IFERROR(INDEX(Entries!$E$2:$E$48,40),""))</f>
        <v/>
      </c>
      <c r="C319" s="7" t="str">
        <f>IF(A319="","","Tier5_Pick1")</f>
        <v/>
      </c>
      <c r="D319" s="7" t="str">
        <f>IF(A319="","",5)</f>
        <v/>
      </c>
      <c r="E319" s="7" t="str">
        <f t="array" ref="E319">IF(A319="","",IFERROR(INDEX(Entries!$J$2:$J$48,40),""))</f>
        <v/>
      </c>
      <c r="F319" s="7" t="str">
        <f>IF(E319="","",IFERROR(_xludf.XLOOKUP(E319,Countries!$A$2:$A$72,Countries!$B$2:$B$72,"???"),"???"))</f>
        <v/>
      </c>
      <c r="G319" s="7">
        <f t="array" ref="G319">IF(E319="",0,IFERROR(XLOOKUP(E319,Countries!$A$2:$A$72,Countries!$E$2:$E$72,0),0))</f>
        <v>0</v>
      </c>
      <c r="H319" s="7">
        <f t="array" ref="H319">IF(E319="",0,IFERROR(XLOOKUP(E319,Medals!$B$2:$B$51,Medals!$D$2:$D$51,0),0))</f>
        <v>0</v>
      </c>
      <c r="I319" s="7">
        <f t="array" ref="I319">IF(E319="",0,IFERROR(XLOOKUP(E319,Medals!$B$2:$B$51,Medals!$E$2:$E$51,0),0))</f>
        <v>0</v>
      </c>
      <c r="J319" s="7">
        <f t="array" ref="J319">IF(E319="",0,IFERROR(XLOOKUP(E319,Medals!$B$2:$B$51,Medals!$F$2:$F$51,0),0))</f>
        <v>0</v>
      </c>
      <c r="K319" s="7">
        <f>H319*GoldPoints*G319</f>
        <v>0</v>
      </c>
      <c r="L319" s="7">
        <f>I319*SilverPoints*G319</f>
        <v>0</v>
      </c>
      <c r="M319" s="7">
        <f>J319*BronzePoints*G319</f>
        <v>0</v>
      </c>
      <c r="N319" s="7">
        <f t="shared" si="1"/>
        <v>0</v>
      </c>
      <c r="O319" s="7" t="b">
        <f t="array" ref="O319">IF(E319="",FALSE,IFERROR(AND(ISNUMBER(MATCH(E319,Countries!$A$2:$A$72,0)),XLOOKUP(E319,Countries!$A$2:$A$72,Countries!$I$2:$I$72,FALSE)),FALSE))</f>
        <v>0</v>
      </c>
      <c r="P319" s="7" t="b">
        <f t="array" ref="P319">IF(E319="",FALSE,IFERROR(XLOOKUP(E319,Countries!$A$2:$A$72,Countries!$G$2:$G$72,FALSE),FALSE))</f>
        <v>0</v>
      </c>
      <c r="Q319" s="7" t="str">
        <f t="shared" si="2"/>
        <v>⚪</v>
      </c>
    </row>
    <row r="320" ht="15.75" customHeight="1">
      <c r="A320" s="7" t="str">
        <f t="array" ref="A320">IFERROR(IF(INDEX(Entries!$C$2:$C$48,40)="","",INDEX(Entries!$Q$2:$Q$48,40)),"")</f>
        <v/>
      </c>
      <c r="B320" s="7" t="str">
        <f t="array" ref="B320">IF(A320="","",IFERROR(INDEX(Entries!$E$2:$E$48,40),""))</f>
        <v/>
      </c>
      <c r="C320" s="7" t="str">
        <f>IF(A320="","","Tier6_Pick1")</f>
        <v/>
      </c>
      <c r="D320" s="7" t="str">
        <f t="shared" ref="D320:D321" si="82">IF(A320="","",6)</f>
        <v/>
      </c>
      <c r="E320" s="7" t="str">
        <f t="array" ref="E320">IF(A320="","",IFERROR(INDEX(Entries!$O$2:$O$48,40),""))</f>
        <v/>
      </c>
      <c r="F320" s="7" t="str">
        <f>IF(E320="","",IFERROR(_xludf.XLOOKUP(E320,Countries!$A$2:$A$72,Countries!$B$2:$B$72,"???"),"???"))</f>
        <v/>
      </c>
      <c r="G320" s="7">
        <f t="array" ref="G320">IF(E320="",0,IFERROR(XLOOKUP(E320,Countries!$A$2:$A$72,Countries!$E$2:$E$72,0),0))</f>
        <v>0</v>
      </c>
      <c r="H320" s="7">
        <f t="array" ref="H320">IF(E320="",0,IFERROR(XLOOKUP(E320,Medals!$B$2:$B$51,Medals!$D$2:$D$51,0),0))</f>
        <v>0</v>
      </c>
      <c r="I320" s="7">
        <f t="array" ref="I320">IF(E320="",0,IFERROR(XLOOKUP(E320,Medals!$B$2:$B$51,Medals!$E$2:$E$51,0),0))</f>
        <v>0</v>
      </c>
      <c r="J320" s="7">
        <f t="array" ref="J320">IF(E320="",0,IFERROR(XLOOKUP(E320,Medals!$B$2:$B$51,Medals!$F$2:$F$51,0),0))</f>
        <v>0</v>
      </c>
      <c r="K320" s="7">
        <f>H320*GoldPoints*G320</f>
        <v>0</v>
      </c>
      <c r="L320" s="7">
        <f>I320*SilverPoints*G320</f>
        <v>0</v>
      </c>
      <c r="M320" s="7">
        <f>J320*BronzePoints*G320</f>
        <v>0</v>
      </c>
      <c r="N320" s="7">
        <f t="shared" si="1"/>
        <v>0</v>
      </c>
      <c r="O320" s="7" t="b">
        <f t="array" ref="O320">IF(E320="",FALSE,IFERROR(AND(ISNUMBER(MATCH(E320,Countries!$A$2:$A$72,0)),XLOOKUP(E320,Countries!$A$2:$A$72,Countries!$I$2:$I$72,FALSE)),FALSE))</f>
        <v>0</v>
      </c>
      <c r="P320" s="7" t="b">
        <f t="array" ref="P320">IF(E320="",FALSE,IFERROR(XLOOKUP(E320,Countries!$A$2:$A$72,Countries!$G$2:$G$72,FALSE),FALSE))</f>
        <v>0</v>
      </c>
      <c r="Q320" s="7" t="str">
        <f t="shared" si="2"/>
        <v>⚪</v>
      </c>
    </row>
    <row r="321" ht="15.75" customHeight="1">
      <c r="A321" s="7" t="str">
        <f t="array" ref="A321">IFERROR(IF(INDEX(Entries!$C$2:$C$48,40)="","",INDEX(Entries!$Q$2:$Q$48,40)),"")</f>
        <v/>
      </c>
      <c r="B321" s="7" t="str">
        <f t="array" ref="B321">IF(A321="","",IFERROR(INDEX(Entries!$E$2:$E$48,40),""))</f>
        <v/>
      </c>
      <c r="C321" s="7" t="str">
        <f>IF(A321="","","Tier6_Pick2")</f>
        <v/>
      </c>
      <c r="D321" s="7" t="str">
        <f t="shared" si="82"/>
        <v/>
      </c>
      <c r="E321" s="7" t="str">
        <f t="array" ref="E321">IF(A321="","",IFERROR(INDEX(Entries!$P$2:$P$48,40),""))</f>
        <v/>
      </c>
      <c r="F321" s="7" t="str">
        <f>IF(E321="","",IFERROR(_xludf.XLOOKUP(E321,Countries!$A$2:$A$72,Countries!$B$2:$B$72,"???"),"???"))</f>
        <v/>
      </c>
      <c r="G321" s="7">
        <f t="array" ref="G321">IF(E321="",0,IFERROR(XLOOKUP(E321,Countries!$A$2:$A$72,Countries!$E$2:$E$72,0),0))</f>
        <v>0</v>
      </c>
      <c r="H321" s="7">
        <f t="array" ref="H321">IF(E321="",0,IFERROR(XLOOKUP(E321,Medals!$B$2:$B$51,Medals!$D$2:$D$51,0),0))</f>
        <v>0</v>
      </c>
      <c r="I321" s="7">
        <f t="array" ref="I321">IF(E321="",0,IFERROR(XLOOKUP(E321,Medals!$B$2:$B$51,Medals!$E$2:$E$51,0),0))</f>
        <v>0</v>
      </c>
      <c r="J321" s="7">
        <f t="array" ref="J321">IF(E321="",0,IFERROR(XLOOKUP(E321,Medals!$B$2:$B$51,Medals!$F$2:$F$51,0),0))</f>
        <v>0</v>
      </c>
      <c r="K321" s="7">
        <f>H321*GoldPoints*G321</f>
        <v>0</v>
      </c>
      <c r="L321" s="7">
        <f>I321*SilverPoints*G321</f>
        <v>0</v>
      </c>
      <c r="M321" s="7">
        <f>J321*BronzePoints*G321</f>
        <v>0</v>
      </c>
      <c r="N321" s="7">
        <f t="shared" si="1"/>
        <v>0</v>
      </c>
      <c r="O321" s="7" t="b">
        <f t="array" ref="O321">IF(E321="",FALSE,IFERROR(AND(ISNUMBER(MATCH(E321,Countries!$A$2:$A$72,0)),XLOOKUP(E321,Countries!$A$2:$A$72,Countries!$I$2:$I$72,FALSE)),FALSE))</f>
        <v>0</v>
      </c>
      <c r="P321" s="7" t="b">
        <f t="array" ref="P321">IF(E321="",FALSE,IFERROR(XLOOKUP(E321,Countries!$A$2:$A$72,Countries!$G$2:$G$72,FALSE),FALSE))</f>
        <v>0</v>
      </c>
      <c r="Q321" s="7" t="str">
        <f t="shared" si="2"/>
        <v>⚪</v>
      </c>
    </row>
    <row r="322" ht="15.75" customHeight="1">
      <c r="A322" s="7" t="str">
        <f t="array" ref="A322">IFERROR(IF(INDEX(Entries!$C$2:$C$48,41)="","",INDEX(Entries!$Q$2:$Q$48,41)),"")</f>
        <v/>
      </c>
      <c r="B322" s="7" t="str">
        <f t="array" ref="B322">IF(A322="","",IFERROR(INDEX(Entries!$E$2:$E$48,41),""))</f>
        <v/>
      </c>
      <c r="C322" s="7" t="str">
        <f>IF(A322="","","Tier1_Pick1")</f>
        <v/>
      </c>
      <c r="D322" s="7" t="str">
        <f>IF(A322="","",1)</f>
        <v/>
      </c>
      <c r="E322" s="7" t="str">
        <f t="array" ref="E322">IF(A322="","",IFERROR(INDEX(Entries!$F$2:$F$48,41),""))</f>
        <v/>
      </c>
      <c r="F322" s="7" t="str">
        <f>IF(E322="","",IFERROR(_xludf.XLOOKUP(E322,Countries!$A$2:$A$72,Countries!$B$2:$B$72,"???"),"???"))</f>
        <v/>
      </c>
      <c r="G322" s="7">
        <f t="array" ref="G322">IF(E322="",0,IFERROR(XLOOKUP(E322,Countries!$A$2:$A$72,Countries!$E$2:$E$72,0),0))</f>
        <v>0</v>
      </c>
      <c r="H322" s="7">
        <f t="array" ref="H322">IF(E322="",0,IFERROR(XLOOKUP(E322,Medals!$B$2:$B$51,Medals!$D$2:$D$51,0),0))</f>
        <v>0</v>
      </c>
      <c r="I322" s="7">
        <f t="array" ref="I322">IF(E322="",0,IFERROR(XLOOKUP(E322,Medals!$B$2:$B$51,Medals!$E$2:$E$51,0),0))</f>
        <v>0</v>
      </c>
      <c r="J322" s="7">
        <f t="array" ref="J322">IF(E322="",0,IFERROR(XLOOKUP(E322,Medals!$B$2:$B$51,Medals!$F$2:$F$51,0),0))</f>
        <v>0</v>
      </c>
      <c r="K322" s="7">
        <f>H322*GoldPoints*G322</f>
        <v>0</v>
      </c>
      <c r="L322" s="7">
        <f>I322*SilverPoints*G322</f>
        <v>0</v>
      </c>
      <c r="M322" s="7">
        <f>J322*BronzePoints*G322</f>
        <v>0</v>
      </c>
      <c r="N322" s="7">
        <f t="shared" si="1"/>
        <v>0</v>
      </c>
      <c r="O322" s="7" t="b">
        <f t="array" ref="O322">IF(E322="",FALSE,IFERROR(AND(ISNUMBER(MATCH(E322,Countries!$A$2:$A$72,0)),XLOOKUP(E322,Countries!$A$2:$A$72,Countries!$I$2:$I$72,FALSE)),FALSE))</f>
        <v>0</v>
      </c>
      <c r="P322" s="7" t="b">
        <f t="array" ref="P322">IF(E322="",FALSE,IFERROR(XLOOKUP(E322,Countries!$A$2:$A$72,Countries!$G$2:$G$72,FALSE),FALSE))</f>
        <v>0</v>
      </c>
      <c r="Q322" s="7" t="str">
        <f t="shared" si="2"/>
        <v>⚪</v>
      </c>
    </row>
    <row r="323" ht="15.75" customHeight="1">
      <c r="A323" s="7" t="str">
        <f t="array" ref="A323">IFERROR(IF(INDEX(Entries!$C$2:$C$48,41)="","",INDEX(Entries!$Q$2:$Q$48,41)),"")</f>
        <v/>
      </c>
      <c r="B323" s="7" t="str">
        <f t="array" ref="B323">IF(A323="","",IFERROR(INDEX(Entries!$E$2:$E$48,41),""))</f>
        <v/>
      </c>
      <c r="C323" s="7" t="str">
        <f>IF(A323="","","Tier2_Pick1")</f>
        <v/>
      </c>
      <c r="D323" s="7" t="str">
        <f t="shared" ref="D323:D324" si="83">IF(A323="","",2)</f>
        <v/>
      </c>
      <c r="E323" s="7" t="str">
        <f t="array" ref="E323">IF(A323="","",IFERROR(INDEX(Entries!$M$2:$M$48,41),""))</f>
        <v/>
      </c>
      <c r="F323" s="7" t="str">
        <f>IF(E323="","",IFERROR(_xludf.XLOOKUP(E323,Countries!$A$2:$A$72,Countries!$B$2:$B$72,"???"),"???"))</f>
        <v/>
      </c>
      <c r="G323" s="7">
        <f t="array" ref="G323">IF(E323="",0,IFERROR(XLOOKUP(E323,Countries!$A$2:$A$72,Countries!$E$2:$E$72,0),0))</f>
        <v>0</v>
      </c>
      <c r="H323" s="7">
        <f t="array" ref="H323">IF(E323="",0,IFERROR(XLOOKUP(E323,Medals!$B$2:$B$51,Medals!$D$2:$D$51,0),0))</f>
        <v>0</v>
      </c>
      <c r="I323" s="7">
        <f t="array" ref="I323">IF(E323="",0,IFERROR(XLOOKUP(E323,Medals!$B$2:$B$51,Medals!$E$2:$E$51,0),0))</f>
        <v>0</v>
      </c>
      <c r="J323" s="7">
        <f t="array" ref="J323">IF(E323="",0,IFERROR(XLOOKUP(E323,Medals!$B$2:$B$51,Medals!$F$2:$F$51,0),0))</f>
        <v>0</v>
      </c>
      <c r="K323" s="7">
        <f>H323*GoldPoints*G323</f>
        <v>0</v>
      </c>
      <c r="L323" s="7">
        <f>I323*SilverPoints*G323</f>
        <v>0</v>
      </c>
      <c r="M323" s="7">
        <f>J323*BronzePoints*G323</f>
        <v>0</v>
      </c>
      <c r="N323" s="7">
        <f t="shared" si="1"/>
        <v>0</v>
      </c>
      <c r="O323" s="7" t="b">
        <f t="array" ref="O323">IF(E323="",FALSE,IFERROR(AND(ISNUMBER(MATCH(E323,Countries!$A$2:$A$72,0)),XLOOKUP(E323,Countries!$A$2:$A$72,Countries!$I$2:$I$72,FALSE)),FALSE))</f>
        <v>0</v>
      </c>
      <c r="P323" s="7" t="b">
        <f t="array" ref="P323">IF(E323="",FALSE,IFERROR(XLOOKUP(E323,Countries!$A$2:$A$72,Countries!$G$2:$G$72,FALSE),FALSE))</f>
        <v>0</v>
      </c>
      <c r="Q323" s="7" t="str">
        <f t="shared" si="2"/>
        <v>⚪</v>
      </c>
    </row>
    <row r="324" ht="15.75" customHeight="1">
      <c r="A324" s="7" t="str">
        <f t="array" ref="A324">IFERROR(IF(INDEX(Entries!$C$2:$C$48,41)="","",INDEX(Entries!$Q$2:$Q$48,41)),"")</f>
        <v/>
      </c>
      <c r="B324" s="7" t="str">
        <f t="array" ref="B324">IF(A324="","",IFERROR(INDEX(Entries!$E$2:$E$48,41),""))</f>
        <v/>
      </c>
      <c r="C324" s="7" t="str">
        <f>IF(A324="","","Tier2_Pick2")</f>
        <v/>
      </c>
      <c r="D324" s="7" t="str">
        <f t="shared" si="83"/>
        <v/>
      </c>
      <c r="E324" s="7" t="str">
        <f t="array" ref="E324">IF(A324="","",IFERROR(INDEX(Entries!$N$2:$N$48,41),""))</f>
        <v/>
      </c>
      <c r="F324" s="7" t="str">
        <f>IF(E324="","",IFERROR(_xludf.XLOOKUP(E324,Countries!$A$2:$A$72,Countries!$B$2:$B$72,"???"),"???"))</f>
        <v/>
      </c>
      <c r="G324" s="7">
        <f t="array" ref="G324">IF(E324="",0,IFERROR(XLOOKUP(E324,Countries!$A$2:$A$72,Countries!$E$2:$E$72,0),0))</f>
        <v>0</v>
      </c>
      <c r="H324" s="7">
        <f t="array" ref="H324">IF(E324="",0,IFERROR(XLOOKUP(E324,Medals!$B$2:$B$51,Medals!$D$2:$D$51,0),0))</f>
        <v>0</v>
      </c>
      <c r="I324" s="7">
        <f t="array" ref="I324">IF(E324="",0,IFERROR(XLOOKUP(E324,Medals!$B$2:$B$51,Medals!$E$2:$E$51,0),0))</f>
        <v>0</v>
      </c>
      <c r="J324" s="7">
        <f t="array" ref="J324">IF(E324="",0,IFERROR(XLOOKUP(E324,Medals!$B$2:$B$51,Medals!$F$2:$F$51,0),0))</f>
        <v>0</v>
      </c>
      <c r="K324" s="7">
        <f>H324*GoldPoints*G324</f>
        <v>0</v>
      </c>
      <c r="L324" s="7">
        <f>I324*SilverPoints*G324</f>
        <v>0</v>
      </c>
      <c r="M324" s="7">
        <f>J324*BronzePoints*G324</f>
        <v>0</v>
      </c>
      <c r="N324" s="7">
        <f t="shared" si="1"/>
        <v>0</v>
      </c>
      <c r="O324" s="7" t="b">
        <f t="array" ref="O324">IF(E324="",FALSE,IFERROR(AND(ISNUMBER(MATCH(E324,Countries!$A$2:$A$72,0)),XLOOKUP(E324,Countries!$A$2:$A$72,Countries!$I$2:$I$72,FALSE)),FALSE))</f>
        <v>0</v>
      </c>
      <c r="P324" s="7" t="b">
        <f t="array" ref="P324">IF(E324="",FALSE,IFERROR(XLOOKUP(E324,Countries!$A$2:$A$72,Countries!$G$2:$G$72,FALSE),FALSE))</f>
        <v>0</v>
      </c>
      <c r="Q324" s="7" t="str">
        <f t="shared" si="2"/>
        <v>⚪</v>
      </c>
    </row>
    <row r="325" ht="15.75" customHeight="1">
      <c r="A325" s="7" t="str">
        <f t="array" ref="A325">IFERROR(IF(INDEX(Entries!$C$2:$C$48,41)="","",INDEX(Entries!$Q$2:$Q$48,41)),"")</f>
        <v/>
      </c>
      <c r="B325" s="7" t="str">
        <f t="array" ref="B325">IF(A325="","",IFERROR(INDEX(Entries!$E$2:$E$48,41),""))</f>
        <v/>
      </c>
      <c r="C325" s="7" t="str">
        <f>IF(A325="","","Tier3_Pick1")</f>
        <v/>
      </c>
      <c r="D325" s="7" t="str">
        <f>IF(A325="","",3)</f>
        <v/>
      </c>
      <c r="E325" s="7" t="str">
        <f t="array" ref="E325">IF(A325="","",IFERROR(INDEX(Entries!$H$2:$H$48,41),""))</f>
        <v/>
      </c>
      <c r="F325" s="7" t="str">
        <f>IF(E325="","",IFERROR(_xludf.XLOOKUP(E325,Countries!$A$2:$A$72,Countries!$B$2:$B$72,"???"),"???"))</f>
        <v/>
      </c>
      <c r="G325" s="7">
        <f t="array" ref="G325">IF(E325="",0,IFERROR(XLOOKUP(E325,Countries!$A$2:$A$72,Countries!$E$2:$E$72,0),0))</f>
        <v>0</v>
      </c>
      <c r="H325" s="7">
        <f t="array" ref="H325">IF(E325="",0,IFERROR(XLOOKUP(E325,Medals!$B$2:$B$51,Medals!$D$2:$D$51,0),0))</f>
        <v>0</v>
      </c>
      <c r="I325" s="7">
        <f t="array" ref="I325">IF(E325="",0,IFERROR(XLOOKUP(E325,Medals!$B$2:$B$51,Medals!$E$2:$E$51,0),0))</f>
        <v>0</v>
      </c>
      <c r="J325" s="7">
        <f t="array" ref="J325">IF(E325="",0,IFERROR(XLOOKUP(E325,Medals!$B$2:$B$51,Medals!$F$2:$F$51,0),0))</f>
        <v>0</v>
      </c>
      <c r="K325" s="7">
        <f>H325*GoldPoints*G325</f>
        <v>0</v>
      </c>
      <c r="L325" s="7">
        <f>I325*SilverPoints*G325</f>
        <v>0</v>
      </c>
      <c r="M325" s="7">
        <f>J325*BronzePoints*G325</f>
        <v>0</v>
      </c>
      <c r="N325" s="7">
        <f t="shared" si="1"/>
        <v>0</v>
      </c>
      <c r="O325" s="7" t="b">
        <f t="array" ref="O325">IF(E325="",FALSE,IFERROR(AND(ISNUMBER(MATCH(E325,Countries!$A$2:$A$72,0)),XLOOKUP(E325,Countries!$A$2:$A$72,Countries!$I$2:$I$72,FALSE)),FALSE))</f>
        <v>0</v>
      </c>
      <c r="P325" s="7" t="b">
        <f t="array" ref="P325">IF(E325="",FALSE,IFERROR(XLOOKUP(E325,Countries!$A$2:$A$72,Countries!$G$2:$G$72,FALSE),FALSE))</f>
        <v>0</v>
      </c>
      <c r="Q325" s="7" t="str">
        <f t="shared" si="2"/>
        <v>⚪</v>
      </c>
    </row>
    <row r="326" ht="15.75" customHeight="1">
      <c r="A326" s="7" t="str">
        <f t="array" ref="A326">IFERROR(IF(INDEX(Entries!$C$2:$C$48,41)="","",INDEX(Entries!$Q$2:$Q$48,41)),"")</f>
        <v/>
      </c>
      <c r="B326" s="7" t="str">
        <f t="array" ref="B326">IF(A326="","",IFERROR(INDEX(Entries!$E$2:$E$48,41),""))</f>
        <v/>
      </c>
      <c r="C326" s="7" t="str">
        <f>IF(A326="","","Tier4_Pick1")</f>
        <v/>
      </c>
      <c r="D326" s="7" t="str">
        <f>IF(A326="","",4)</f>
        <v/>
      </c>
      <c r="E326" s="7" t="str">
        <f t="array" ref="E326">IF(A326="","",IFERROR(INDEX(Entries!$I$2:$I$48,41),""))</f>
        <v/>
      </c>
      <c r="F326" s="7" t="str">
        <f>IF(E326="","",IFERROR(_xludf.XLOOKUP(E326,Countries!$A$2:$A$72,Countries!$B$2:$B$72,"???"),"???"))</f>
        <v/>
      </c>
      <c r="G326" s="7">
        <f t="array" ref="G326">IF(E326="",0,IFERROR(XLOOKUP(E326,Countries!$A$2:$A$72,Countries!$E$2:$E$72,0),0))</f>
        <v>0</v>
      </c>
      <c r="H326" s="7">
        <f t="array" ref="H326">IF(E326="",0,IFERROR(XLOOKUP(E326,Medals!$B$2:$B$51,Medals!$D$2:$D$51,0),0))</f>
        <v>0</v>
      </c>
      <c r="I326" s="7">
        <f t="array" ref="I326">IF(E326="",0,IFERROR(XLOOKUP(E326,Medals!$B$2:$B$51,Medals!$E$2:$E$51,0),0))</f>
        <v>0</v>
      </c>
      <c r="J326" s="7">
        <f t="array" ref="J326">IF(E326="",0,IFERROR(XLOOKUP(E326,Medals!$B$2:$B$51,Medals!$F$2:$F$51,0),0))</f>
        <v>0</v>
      </c>
      <c r="K326" s="7">
        <f>H326*GoldPoints*G326</f>
        <v>0</v>
      </c>
      <c r="L326" s="7">
        <f>I326*SilverPoints*G326</f>
        <v>0</v>
      </c>
      <c r="M326" s="7">
        <f>J326*BronzePoints*G326</f>
        <v>0</v>
      </c>
      <c r="N326" s="7">
        <f t="shared" si="1"/>
        <v>0</v>
      </c>
      <c r="O326" s="7" t="b">
        <f t="array" ref="O326">IF(E326="",FALSE,IFERROR(AND(ISNUMBER(MATCH(E326,Countries!$A$2:$A$72,0)),XLOOKUP(E326,Countries!$A$2:$A$72,Countries!$I$2:$I$72,FALSE)),FALSE))</f>
        <v>0</v>
      </c>
      <c r="P326" s="7" t="b">
        <f t="array" ref="P326">IF(E326="",FALSE,IFERROR(XLOOKUP(E326,Countries!$A$2:$A$72,Countries!$G$2:$G$72,FALSE),FALSE))</f>
        <v>0</v>
      </c>
      <c r="Q326" s="7" t="str">
        <f t="shared" si="2"/>
        <v>⚪</v>
      </c>
    </row>
    <row r="327" ht="15.75" customHeight="1">
      <c r="A327" s="7" t="str">
        <f t="array" ref="A327">IFERROR(IF(INDEX(Entries!$C$2:$C$48,41)="","",INDEX(Entries!$Q$2:$Q$48,41)),"")</f>
        <v/>
      </c>
      <c r="B327" s="7" t="str">
        <f t="array" ref="B327">IF(A327="","",IFERROR(INDEX(Entries!$E$2:$E$48,41),""))</f>
        <v/>
      </c>
      <c r="C327" s="7" t="str">
        <f>IF(A327="","","Tier5_Pick1")</f>
        <v/>
      </c>
      <c r="D327" s="7" t="str">
        <f>IF(A327="","",5)</f>
        <v/>
      </c>
      <c r="E327" s="7" t="str">
        <f t="array" ref="E327">IF(A327="","",IFERROR(INDEX(Entries!$J$2:$J$48,41),""))</f>
        <v/>
      </c>
      <c r="F327" s="7" t="str">
        <f>IF(E327="","",IFERROR(_xludf.XLOOKUP(E327,Countries!$A$2:$A$72,Countries!$B$2:$B$72,"???"),"???"))</f>
        <v/>
      </c>
      <c r="G327" s="7">
        <f t="array" ref="G327">IF(E327="",0,IFERROR(XLOOKUP(E327,Countries!$A$2:$A$72,Countries!$E$2:$E$72,0),0))</f>
        <v>0</v>
      </c>
      <c r="H327" s="7">
        <f t="array" ref="H327">IF(E327="",0,IFERROR(XLOOKUP(E327,Medals!$B$2:$B$51,Medals!$D$2:$D$51,0),0))</f>
        <v>0</v>
      </c>
      <c r="I327" s="7">
        <f t="array" ref="I327">IF(E327="",0,IFERROR(XLOOKUP(E327,Medals!$B$2:$B$51,Medals!$E$2:$E$51,0),0))</f>
        <v>0</v>
      </c>
      <c r="J327" s="7">
        <f t="array" ref="J327">IF(E327="",0,IFERROR(XLOOKUP(E327,Medals!$B$2:$B$51,Medals!$F$2:$F$51,0),0))</f>
        <v>0</v>
      </c>
      <c r="K327" s="7">
        <f>H327*GoldPoints*G327</f>
        <v>0</v>
      </c>
      <c r="L327" s="7">
        <f>I327*SilverPoints*G327</f>
        <v>0</v>
      </c>
      <c r="M327" s="7">
        <f>J327*BronzePoints*G327</f>
        <v>0</v>
      </c>
      <c r="N327" s="7">
        <f t="shared" si="1"/>
        <v>0</v>
      </c>
      <c r="O327" s="7" t="b">
        <f t="array" ref="O327">IF(E327="",FALSE,IFERROR(AND(ISNUMBER(MATCH(E327,Countries!$A$2:$A$72,0)),XLOOKUP(E327,Countries!$A$2:$A$72,Countries!$I$2:$I$72,FALSE)),FALSE))</f>
        <v>0</v>
      </c>
      <c r="P327" s="7" t="b">
        <f t="array" ref="P327">IF(E327="",FALSE,IFERROR(XLOOKUP(E327,Countries!$A$2:$A$72,Countries!$G$2:$G$72,FALSE),FALSE))</f>
        <v>0</v>
      </c>
      <c r="Q327" s="7" t="str">
        <f t="shared" si="2"/>
        <v>⚪</v>
      </c>
    </row>
    <row r="328" ht="15.75" customHeight="1">
      <c r="A328" s="7" t="str">
        <f t="array" ref="A328">IFERROR(IF(INDEX(Entries!$C$2:$C$48,41)="","",INDEX(Entries!$Q$2:$Q$48,41)),"")</f>
        <v/>
      </c>
      <c r="B328" s="7" t="str">
        <f t="array" ref="B328">IF(A328="","",IFERROR(INDEX(Entries!$E$2:$E$48,41),""))</f>
        <v/>
      </c>
      <c r="C328" s="7" t="str">
        <f>IF(A328="","","Tier6_Pick1")</f>
        <v/>
      </c>
      <c r="D328" s="7" t="str">
        <f t="shared" ref="D328:D329" si="84">IF(A328="","",6)</f>
        <v/>
      </c>
      <c r="E328" s="7" t="str">
        <f t="array" ref="E328">IF(A328="","",IFERROR(INDEX(Entries!$O$2:$O$48,41),""))</f>
        <v/>
      </c>
      <c r="F328" s="7" t="str">
        <f>IF(E328="","",IFERROR(_xludf.XLOOKUP(E328,Countries!$A$2:$A$72,Countries!$B$2:$B$72,"???"),"???"))</f>
        <v/>
      </c>
      <c r="G328" s="7">
        <f t="array" ref="G328">IF(E328="",0,IFERROR(XLOOKUP(E328,Countries!$A$2:$A$72,Countries!$E$2:$E$72,0),0))</f>
        <v>0</v>
      </c>
      <c r="H328" s="7">
        <f t="array" ref="H328">IF(E328="",0,IFERROR(XLOOKUP(E328,Medals!$B$2:$B$51,Medals!$D$2:$D$51,0),0))</f>
        <v>0</v>
      </c>
      <c r="I328" s="7">
        <f t="array" ref="I328">IF(E328="",0,IFERROR(XLOOKUP(E328,Medals!$B$2:$B$51,Medals!$E$2:$E$51,0),0))</f>
        <v>0</v>
      </c>
      <c r="J328" s="7">
        <f t="array" ref="J328">IF(E328="",0,IFERROR(XLOOKUP(E328,Medals!$B$2:$B$51,Medals!$F$2:$F$51,0),0))</f>
        <v>0</v>
      </c>
      <c r="K328" s="7">
        <f>H328*GoldPoints*G328</f>
        <v>0</v>
      </c>
      <c r="L328" s="7">
        <f>I328*SilverPoints*G328</f>
        <v>0</v>
      </c>
      <c r="M328" s="7">
        <f>J328*BronzePoints*G328</f>
        <v>0</v>
      </c>
      <c r="N328" s="7">
        <f t="shared" si="1"/>
        <v>0</v>
      </c>
      <c r="O328" s="7" t="b">
        <f t="array" ref="O328">IF(E328="",FALSE,IFERROR(AND(ISNUMBER(MATCH(E328,Countries!$A$2:$A$72,0)),XLOOKUP(E328,Countries!$A$2:$A$72,Countries!$I$2:$I$72,FALSE)),FALSE))</f>
        <v>0</v>
      </c>
      <c r="P328" s="7" t="b">
        <f t="array" ref="P328">IF(E328="",FALSE,IFERROR(XLOOKUP(E328,Countries!$A$2:$A$72,Countries!$G$2:$G$72,FALSE),FALSE))</f>
        <v>0</v>
      </c>
      <c r="Q328" s="7" t="str">
        <f t="shared" si="2"/>
        <v>⚪</v>
      </c>
    </row>
    <row r="329" ht="15.75" customHeight="1">
      <c r="A329" s="7" t="str">
        <f t="array" ref="A329">IFERROR(IF(INDEX(Entries!$C$2:$C$48,41)="","",INDEX(Entries!$Q$2:$Q$48,41)),"")</f>
        <v/>
      </c>
      <c r="B329" s="7" t="str">
        <f t="array" ref="B329">IF(A329="","",IFERROR(INDEX(Entries!$E$2:$E$48,41),""))</f>
        <v/>
      </c>
      <c r="C329" s="7" t="str">
        <f>IF(A329="","","Tier6_Pick2")</f>
        <v/>
      </c>
      <c r="D329" s="7" t="str">
        <f t="shared" si="84"/>
        <v/>
      </c>
      <c r="E329" s="7" t="str">
        <f t="array" ref="E329">IF(A329="","",IFERROR(INDEX(Entries!$P$2:$P$48,41),""))</f>
        <v/>
      </c>
      <c r="F329" s="7" t="str">
        <f>IF(E329="","",IFERROR(_xludf.XLOOKUP(E329,Countries!$A$2:$A$72,Countries!$B$2:$B$72,"???"),"???"))</f>
        <v/>
      </c>
      <c r="G329" s="7">
        <f t="array" ref="G329">IF(E329="",0,IFERROR(XLOOKUP(E329,Countries!$A$2:$A$72,Countries!$E$2:$E$72,0),0))</f>
        <v>0</v>
      </c>
      <c r="H329" s="7">
        <f t="array" ref="H329">IF(E329="",0,IFERROR(XLOOKUP(E329,Medals!$B$2:$B$51,Medals!$D$2:$D$51,0),0))</f>
        <v>0</v>
      </c>
      <c r="I329" s="7">
        <f t="array" ref="I329">IF(E329="",0,IFERROR(XLOOKUP(E329,Medals!$B$2:$B$51,Medals!$E$2:$E$51,0),0))</f>
        <v>0</v>
      </c>
      <c r="J329" s="7">
        <f t="array" ref="J329">IF(E329="",0,IFERROR(XLOOKUP(E329,Medals!$B$2:$B$51,Medals!$F$2:$F$51,0),0))</f>
        <v>0</v>
      </c>
      <c r="K329" s="7">
        <f>H329*GoldPoints*G329</f>
        <v>0</v>
      </c>
      <c r="L329" s="7">
        <f>I329*SilverPoints*G329</f>
        <v>0</v>
      </c>
      <c r="M329" s="7">
        <f>J329*BronzePoints*G329</f>
        <v>0</v>
      </c>
      <c r="N329" s="7">
        <f t="shared" si="1"/>
        <v>0</v>
      </c>
      <c r="O329" s="7" t="b">
        <f t="array" ref="O329">IF(E329="",FALSE,IFERROR(AND(ISNUMBER(MATCH(E329,Countries!$A$2:$A$72,0)),XLOOKUP(E329,Countries!$A$2:$A$72,Countries!$I$2:$I$72,FALSE)),FALSE))</f>
        <v>0</v>
      </c>
      <c r="P329" s="7" t="b">
        <f t="array" ref="P329">IF(E329="",FALSE,IFERROR(XLOOKUP(E329,Countries!$A$2:$A$72,Countries!$G$2:$G$72,FALSE),FALSE))</f>
        <v>0</v>
      </c>
      <c r="Q329" s="7" t="str">
        <f t="shared" si="2"/>
        <v>⚪</v>
      </c>
    </row>
    <row r="330" ht="15.75" customHeight="1">
      <c r="A330" s="7" t="str">
        <f t="array" ref="A330">IFERROR(IF(INDEX(Entries!$C$2:$C$48,42)="","",INDEX(Entries!$Q$2:$Q$48,42)),"")</f>
        <v/>
      </c>
      <c r="B330" s="7" t="str">
        <f t="array" ref="B330">IF(A330="","",IFERROR(INDEX(Entries!$E$2:$E$48,42),""))</f>
        <v/>
      </c>
      <c r="C330" s="7" t="str">
        <f>IF(A330="","","Tier1_Pick1")</f>
        <v/>
      </c>
      <c r="D330" s="7" t="str">
        <f>IF(A330="","",1)</f>
        <v/>
      </c>
      <c r="E330" s="7" t="str">
        <f t="array" ref="E330">IF(A330="","",IFERROR(INDEX(Entries!$F$2:$F$48,42),""))</f>
        <v/>
      </c>
      <c r="F330" s="7" t="str">
        <f>IF(E330="","",IFERROR(_xludf.XLOOKUP(E330,Countries!$A$2:$A$72,Countries!$B$2:$B$72,"???"),"???"))</f>
        <v/>
      </c>
      <c r="G330" s="7">
        <f t="array" ref="G330">IF(E330="",0,IFERROR(XLOOKUP(E330,Countries!$A$2:$A$72,Countries!$E$2:$E$72,0),0))</f>
        <v>0</v>
      </c>
      <c r="H330" s="7">
        <f t="array" ref="H330">IF(E330="",0,IFERROR(XLOOKUP(E330,Medals!$B$2:$B$51,Medals!$D$2:$D$51,0),0))</f>
        <v>0</v>
      </c>
      <c r="I330" s="7">
        <f t="array" ref="I330">IF(E330="",0,IFERROR(XLOOKUP(E330,Medals!$B$2:$B$51,Medals!$E$2:$E$51,0),0))</f>
        <v>0</v>
      </c>
      <c r="J330" s="7">
        <f t="array" ref="J330">IF(E330="",0,IFERROR(XLOOKUP(E330,Medals!$B$2:$B$51,Medals!$F$2:$F$51,0),0))</f>
        <v>0</v>
      </c>
      <c r="K330" s="7">
        <f>H330*GoldPoints*G330</f>
        <v>0</v>
      </c>
      <c r="L330" s="7">
        <f>I330*SilverPoints*G330</f>
        <v>0</v>
      </c>
      <c r="M330" s="7">
        <f>J330*BronzePoints*G330</f>
        <v>0</v>
      </c>
      <c r="N330" s="7">
        <f t="shared" si="1"/>
        <v>0</v>
      </c>
      <c r="O330" s="7" t="b">
        <f t="array" ref="O330">IF(E330="",FALSE,IFERROR(AND(ISNUMBER(MATCH(E330,Countries!$A$2:$A$72,0)),XLOOKUP(E330,Countries!$A$2:$A$72,Countries!$I$2:$I$72,FALSE)),FALSE))</f>
        <v>0</v>
      </c>
      <c r="P330" s="7" t="b">
        <f t="array" ref="P330">IF(E330="",FALSE,IFERROR(XLOOKUP(E330,Countries!$A$2:$A$72,Countries!$G$2:$G$72,FALSE),FALSE))</f>
        <v>0</v>
      </c>
      <c r="Q330" s="7" t="str">
        <f t="shared" si="2"/>
        <v>⚪</v>
      </c>
    </row>
    <row r="331" ht="15.75" customHeight="1">
      <c r="A331" s="7" t="str">
        <f t="array" ref="A331">IFERROR(IF(INDEX(Entries!$C$2:$C$48,42)="","",INDEX(Entries!$Q$2:$Q$48,42)),"")</f>
        <v/>
      </c>
      <c r="B331" s="7" t="str">
        <f t="array" ref="B331">IF(A331="","",IFERROR(INDEX(Entries!$E$2:$E$48,42),""))</f>
        <v/>
      </c>
      <c r="C331" s="7" t="str">
        <f>IF(A331="","","Tier2_Pick1")</f>
        <v/>
      </c>
      <c r="D331" s="7" t="str">
        <f t="shared" ref="D331:D332" si="85">IF(A331="","",2)</f>
        <v/>
      </c>
      <c r="E331" s="7" t="str">
        <f t="array" ref="E331">IF(A331="","",IFERROR(INDEX(Entries!$M$2:$M$48,42),""))</f>
        <v/>
      </c>
      <c r="F331" s="7" t="str">
        <f>IF(E331="","",IFERROR(_xludf.XLOOKUP(E331,Countries!$A$2:$A$72,Countries!$B$2:$B$72,"???"),"???"))</f>
        <v/>
      </c>
      <c r="G331" s="7">
        <f t="array" ref="G331">IF(E331="",0,IFERROR(XLOOKUP(E331,Countries!$A$2:$A$72,Countries!$E$2:$E$72,0),0))</f>
        <v>0</v>
      </c>
      <c r="H331" s="7">
        <f t="array" ref="H331">IF(E331="",0,IFERROR(XLOOKUP(E331,Medals!$B$2:$B$51,Medals!$D$2:$D$51,0),0))</f>
        <v>0</v>
      </c>
      <c r="I331" s="7">
        <f t="array" ref="I331">IF(E331="",0,IFERROR(XLOOKUP(E331,Medals!$B$2:$B$51,Medals!$E$2:$E$51,0),0))</f>
        <v>0</v>
      </c>
      <c r="J331" s="7">
        <f t="array" ref="J331">IF(E331="",0,IFERROR(XLOOKUP(E331,Medals!$B$2:$B$51,Medals!$F$2:$F$51,0),0))</f>
        <v>0</v>
      </c>
      <c r="K331" s="7">
        <f>H331*GoldPoints*G331</f>
        <v>0</v>
      </c>
      <c r="L331" s="7">
        <f>I331*SilverPoints*G331</f>
        <v>0</v>
      </c>
      <c r="M331" s="7">
        <f>J331*BronzePoints*G331</f>
        <v>0</v>
      </c>
      <c r="N331" s="7">
        <f t="shared" si="1"/>
        <v>0</v>
      </c>
      <c r="O331" s="7" t="b">
        <f t="array" ref="O331">IF(E331="",FALSE,IFERROR(AND(ISNUMBER(MATCH(E331,Countries!$A$2:$A$72,0)),XLOOKUP(E331,Countries!$A$2:$A$72,Countries!$I$2:$I$72,FALSE)),FALSE))</f>
        <v>0</v>
      </c>
      <c r="P331" s="7" t="b">
        <f t="array" ref="P331">IF(E331="",FALSE,IFERROR(XLOOKUP(E331,Countries!$A$2:$A$72,Countries!$G$2:$G$72,FALSE),FALSE))</f>
        <v>0</v>
      </c>
      <c r="Q331" s="7" t="str">
        <f t="shared" si="2"/>
        <v>⚪</v>
      </c>
    </row>
    <row r="332" ht="15.75" customHeight="1">
      <c r="A332" s="7" t="str">
        <f t="array" ref="A332">IFERROR(IF(INDEX(Entries!$C$2:$C$48,42)="","",INDEX(Entries!$Q$2:$Q$48,42)),"")</f>
        <v/>
      </c>
      <c r="B332" s="7" t="str">
        <f t="array" ref="B332">IF(A332="","",IFERROR(INDEX(Entries!$E$2:$E$48,42),""))</f>
        <v/>
      </c>
      <c r="C332" s="7" t="str">
        <f>IF(A332="","","Tier2_Pick2")</f>
        <v/>
      </c>
      <c r="D332" s="7" t="str">
        <f t="shared" si="85"/>
        <v/>
      </c>
      <c r="E332" s="7" t="str">
        <f t="array" ref="E332">IF(A332="","",IFERROR(INDEX(Entries!$N$2:$N$48,42),""))</f>
        <v/>
      </c>
      <c r="F332" s="7" t="str">
        <f>IF(E332="","",IFERROR(_xludf.XLOOKUP(E332,Countries!$A$2:$A$72,Countries!$B$2:$B$72,"???"),"???"))</f>
        <v/>
      </c>
      <c r="G332" s="7">
        <f t="array" ref="G332">IF(E332="",0,IFERROR(XLOOKUP(E332,Countries!$A$2:$A$72,Countries!$E$2:$E$72,0),0))</f>
        <v>0</v>
      </c>
      <c r="H332" s="7">
        <f t="array" ref="H332">IF(E332="",0,IFERROR(XLOOKUP(E332,Medals!$B$2:$B$51,Medals!$D$2:$D$51,0),0))</f>
        <v>0</v>
      </c>
      <c r="I332" s="7">
        <f t="array" ref="I332">IF(E332="",0,IFERROR(XLOOKUP(E332,Medals!$B$2:$B$51,Medals!$E$2:$E$51,0),0))</f>
        <v>0</v>
      </c>
      <c r="J332" s="7">
        <f t="array" ref="J332">IF(E332="",0,IFERROR(XLOOKUP(E332,Medals!$B$2:$B$51,Medals!$F$2:$F$51,0),0))</f>
        <v>0</v>
      </c>
      <c r="K332" s="7">
        <f>H332*GoldPoints*G332</f>
        <v>0</v>
      </c>
      <c r="L332" s="7">
        <f>I332*SilverPoints*G332</f>
        <v>0</v>
      </c>
      <c r="M332" s="7">
        <f>J332*BronzePoints*G332</f>
        <v>0</v>
      </c>
      <c r="N332" s="7">
        <f t="shared" si="1"/>
        <v>0</v>
      </c>
      <c r="O332" s="7" t="b">
        <f t="array" ref="O332">IF(E332="",FALSE,IFERROR(AND(ISNUMBER(MATCH(E332,Countries!$A$2:$A$72,0)),XLOOKUP(E332,Countries!$A$2:$A$72,Countries!$I$2:$I$72,FALSE)),FALSE))</f>
        <v>0</v>
      </c>
      <c r="P332" s="7" t="b">
        <f t="array" ref="P332">IF(E332="",FALSE,IFERROR(XLOOKUP(E332,Countries!$A$2:$A$72,Countries!$G$2:$G$72,FALSE),FALSE))</f>
        <v>0</v>
      </c>
      <c r="Q332" s="7" t="str">
        <f t="shared" si="2"/>
        <v>⚪</v>
      </c>
    </row>
    <row r="333" ht="15.75" customHeight="1">
      <c r="A333" s="7" t="str">
        <f t="array" ref="A333">IFERROR(IF(INDEX(Entries!$C$2:$C$48,42)="","",INDEX(Entries!$Q$2:$Q$48,42)),"")</f>
        <v/>
      </c>
      <c r="B333" s="7" t="str">
        <f t="array" ref="B333">IF(A333="","",IFERROR(INDEX(Entries!$E$2:$E$48,42),""))</f>
        <v/>
      </c>
      <c r="C333" s="7" t="str">
        <f>IF(A333="","","Tier3_Pick1")</f>
        <v/>
      </c>
      <c r="D333" s="7" t="str">
        <f>IF(A333="","",3)</f>
        <v/>
      </c>
      <c r="E333" s="7" t="str">
        <f t="array" ref="E333">IF(A333="","",IFERROR(INDEX(Entries!$H$2:$H$48,42),""))</f>
        <v/>
      </c>
      <c r="F333" s="7" t="str">
        <f>IF(E333="","",IFERROR(_xludf.XLOOKUP(E333,Countries!$A$2:$A$72,Countries!$B$2:$B$72,"???"),"???"))</f>
        <v/>
      </c>
      <c r="G333" s="7">
        <f t="array" ref="G333">IF(E333="",0,IFERROR(XLOOKUP(E333,Countries!$A$2:$A$72,Countries!$E$2:$E$72,0),0))</f>
        <v>0</v>
      </c>
      <c r="H333" s="7">
        <f t="array" ref="H333">IF(E333="",0,IFERROR(XLOOKUP(E333,Medals!$B$2:$B$51,Medals!$D$2:$D$51,0),0))</f>
        <v>0</v>
      </c>
      <c r="I333" s="7">
        <f t="array" ref="I333">IF(E333="",0,IFERROR(XLOOKUP(E333,Medals!$B$2:$B$51,Medals!$E$2:$E$51,0),0))</f>
        <v>0</v>
      </c>
      <c r="J333" s="7">
        <f t="array" ref="J333">IF(E333="",0,IFERROR(XLOOKUP(E333,Medals!$B$2:$B$51,Medals!$F$2:$F$51,0),0))</f>
        <v>0</v>
      </c>
      <c r="K333" s="7">
        <f>H333*GoldPoints*G333</f>
        <v>0</v>
      </c>
      <c r="L333" s="7">
        <f>I333*SilverPoints*G333</f>
        <v>0</v>
      </c>
      <c r="M333" s="7">
        <f>J333*BronzePoints*G333</f>
        <v>0</v>
      </c>
      <c r="N333" s="7">
        <f t="shared" si="1"/>
        <v>0</v>
      </c>
      <c r="O333" s="7" t="b">
        <f t="array" ref="O333">IF(E333="",FALSE,IFERROR(AND(ISNUMBER(MATCH(E333,Countries!$A$2:$A$72,0)),XLOOKUP(E333,Countries!$A$2:$A$72,Countries!$I$2:$I$72,FALSE)),FALSE))</f>
        <v>0</v>
      </c>
      <c r="P333" s="7" t="b">
        <f t="array" ref="P333">IF(E333="",FALSE,IFERROR(XLOOKUP(E333,Countries!$A$2:$A$72,Countries!$G$2:$G$72,FALSE),FALSE))</f>
        <v>0</v>
      </c>
      <c r="Q333" s="7" t="str">
        <f t="shared" si="2"/>
        <v>⚪</v>
      </c>
    </row>
    <row r="334" ht="15.75" customHeight="1">
      <c r="A334" s="7" t="str">
        <f t="array" ref="A334">IFERROR(IF(INDEX(Entries!$C$2:$C$48,42)="","",INDEX(Entries!$Q$2:$Q$48,42)),"")</f>
        <v/>
      </c>
      <c r="B334" s="7" t="str">
        <f t="array" ref="B334">IF(A334="","",IFERROR(INDEX(Entries!$E$2:$E$48,42),""))</f>
        <v/>
      </c>
      <c r="C334" s="7" t="str">
        <f>IF(A334="","","Tier4_Pick1")</f>
        <v/>
      </c>
      <c r="D334" s="7" t="str">
        <f>IF(A334="","",4)</f>
        <v/>
      </c>
      <c r="E334" s="7" t="str">
        <f t="array" ref="E334">IF(A334="","",IFERROR(INDEX(Entries!$I$2:$I$48,42),""))</f>
        <v/>
      </c>
      <c r="F334" s="7" t="str">
        <f>IF(E334="","",IFERROR(_xludf.XLOOKUP(E334,Countries!$A$2:$A$72,Countries!$B$2:$B$72,"???"),"???"))</f>
        <v/>
      </c>
      <c r="G334" s="7">
        <f t="array" ref="G334">IF(E334="",0,IFERROR(XLOOKUP(E334,Countries!$A$2:$A$72,Countries!$E$2:$E$72,0),0))</f>
        <v>0</v>
      </c>
      <c r="H334" s="7">
        <f t="array" ref="H334">IF(E334="",0,IFERROR(XLOOKUP(E334,Medals!$B$2:$B$51,Medals!$D$2:$D$51,0),0))</f>
        <v>0</v>
      </c>
      <c r="I334" s="7">
        <f t="array" ref="I334">IF(E334="",0,IFERROR(XLOOKUP(E334,Medals!$B$2:$B$51,Medals!$E$2:$E$51,0),0))</f>
        <v>0</v>
      </c>
      <c r="J334" s="7">
        <f t="array" ref="J334">IF(E334="",0,IFERROR(XLOOKUP(E334,Medals!$B$2:$B$51,Medals!$F$2:$F$51,0),0))</f>
        <v>0</v>
      </c>
      <c r="K334" s="7">
        <f>H334*GoldPoints*G334</f>
        <v>0</v>
      </c>
      <c r="L334" s="7">
        <f>I334*SilverPoints*G334</f>
        <v>0</v>
      </c>
      <c r="M334" s="7">
        <f>J334*BronzePoints*G334</f>
        <v>0</v>
      </c>
      <c r="N334" s="7">
        <f t="shared" si="1"/>
        <v>0</v>
      </c>
      <c r="O334" s="7" t="b">
        <f t="array" ref="O334">IF(E334="",FALSE,IFERROR(AND(ISNUMBER(MATCH(E334,Countries!$A$2:$A$72,0)),XLOOKUP(E334,Countries!$A$2:$A$72,Countries!$I$2:$I$72,FALSE)),FALSE))</f>
        <v>0</v>
      </c>
      <c r="P334" s="7" t="b">
        <f t="array" ref="P334">IF(E334="",FALSE,IFERROR(XLOOKUP(E334,Countries!$A$2:$A$72,Countries!$G$2:$G$72,FALSE),FALSE))</f>
        <v>0</v>
      </c>
      <c r="Q334" s="7" t="str">
        <f t="shared" si="2"/>
        <v>⚪</v>
      </c>
    </row>
    <row r="335" ht="15.75" customHeight="1">
      <c r="A335" s="7" t="str">
        <f t="array" ref="A335">IFERROR(IF(INDEX(Entries!$C$2:$C$48,42)="","",INDEX(Entries!$Q$2:$Q$48,42)),"")</f>
        <v/>
      </c>
      <c r="B335" s="7" t="str">
        <f t="array" ref="B335">IF(A335="","",IFERROR(INDEX(Entries!$E$2:$E$48,42),""))</f>
        <v/>
      </c>
      <c r="C335" s="7" t="str">
        <f>IF(A335="","","Tier5_Pick1")</f>
        <v/>
      </c>
      <c r="D335" s="7" t="str">
        <f>IF(A335="","",5)</f>
        <v/>
      </c>
      <c r="E335" s="7" t="str">
        <f t="array" ref="E335">IF(A335="","",IFERROR(INDEX(Entries!$J$2:$J$48,42),""))</f>
        <v/>
      </c>
      <c r="F335" s="7" t="str">
        <f>IF(E335="","",IFERROR(_xludf.XLOOKUP(E335,Countries!$A$2:$A$72,Countries!$B$2:$B$72,"???"),"???"))</f>
        <v/>
      </c>
      <c r="G335" s="7">
        <f t="array" ref="G335">IF(E335="",0,IFERROR(XLOOKUP(E335,Countries!$A$2:$A$72,Countries!$E$2:$E$72,0),0))</f>
        <v>0</v>
      </c>
      <c r="H335" s="7">
        <f t="array" ref="H335">IF(E335="",0,IFERROR(XLOOKUP(E335,Medals!$B$2:$B$51,Medals!$D$2:$D$51,0),0))</f>
        <v>0</v>
      </c>
      <c r="I335" s="7">
        <f t="array" ref="I335">IF(E335="",0,IFERROR(XLOOKUP(E335,Medals!$B$2:$B$51,Medals!$E$2:$E$51,0),0))</f>
        <v>0</v>
      </c>
      <c r="J335" s="7">
        <f t="array" ref="J335">IF(E335="",0,IFERROR(XLOOKUP(E335,Medals!$B$2:$B$51,Medals!$F$2:$F$51,0),0))</f>
        <v>0</v>
      </c>
      <c r="K335" s="7">
        <f>H335*GoldPoints*G335</f>
        <v>0</v>
      </c>
      <c r="L335" s="7">
        <f>I335*SilverPoints*G335</f>
        <v>0</v>
      </c>
      <c r="M335" s="7">
        <f>J335*BronzePoints*G335</f>
        <v>0</v>
      </c>
      <c r="N335" s="7">
        <f t="shared" si="1"/>
        <v>0</v>
      </c>
      <c r="O335" s="7" t="b">
        <f t="array" ref="O335">IF(E335="",FALSE,IFERROR(AND(ISNUMBER(MATCH(E335,Countries!$A$2:$A$72,0)),XLOOKUP(E335,Countries!$A$2:$A$72,Countries!$I$2:$I$72,FALSE)),FALSE))</f>
        <v>0</v>
      </c>
      <c r="P335" s="7" t="b">
        <f t="array" ref="P335">IF(E335="",FALSE,IFERROR(XLOOKUP(E335,Countries!$A$2:$A$72,Countries!$G$2:$G$72,FALSE),FALSE))</f>
        <v>0</v>
      </c>
      <c r="Q335" s="7" t="str">
        <f t="shared" si="2"/>
        <v>⚪</v>
      </c>
    </row>
    <row r="336" ht="15.75" customHeight="1">
      <c r="A336" s="7" t="str">
        <f t="array" ref="A336">IFERROR(IF(INDEX(Entries!$C$2:$C$48,42)="","",INDEX(Entries!$Q$2:$Q$48,42)),"")</f>
        <v/>
      </c>
      <c r="B336" s="7" t="str">
        <f t="array" ref="B336">IF(A336="","",IFERROR(INDEX(Entries!$E$2:$E$48,42),""))</f>
        <v/>
      </c>
      <c r="C336" s="7" t="str">
        <f>IF(A336="","","Tier6_Pick1")</f>
        <v/>
      </c>
      <c r="D336" s="7" t="str">
        <f t="shared" ref="D336:D337" si="86">IF(A336="","",6)</f>
        <v/>
      </c>
      <c r="E336" s="7" t="str">
        <f t="array" ref="E336">IF(A336="","",IFERROR(INDEX(Entries!$O$2:$O$48,42),""))</f>
        <v/>
      </c>
      <c r="F336" s="7" t="str">
        <f>IF(E336="","",IFERROR(_xludf.XLOOKUP(E336,Countries!$A$2:$A$72,Countries!$B$2:$B$72,"???"),"???"))</f>
        <v/>
      </c>
      <c r="G336" s="7">
        <f t="array" ref="G336">IF(E336="",0,IFERROR(XLOOKUP(E336,Countries!$A$2:$A$72,Countries!$E$2:$E$72,0),0))</f>
        <v>0</v>
      </c>
      <c r="H336" s="7">
        <f t="array" ref="H336">IF(E336="",0,IFERROR(XLOOKUP(E336,Medals!$B$2:$B$51,Medals!$D$2:$D$51,0),0))</f>
        <v>0</v>
      </c>
      <c r="I336" s="7">
        <f t="array" ref="I336">IF(E336="",0,IFERROR(XLOOKUP(E336,Medals!$B$2:$B$51,Medals!$E$2:$E$51,0),0))</f>
        <v>0</v>
      </c>
      <c r="J336" s="7">
        <f t="array" ref="J336">IF(E336="",0,IFERROR(XLOOKUP(E336,Medals!$B$2:$B$51,Medals!$F$2:$F$51,0),0))</f>
        <v>0</v>
      </c>
      <c r="K336" s="7">
        <f>H336*GoldPoints*G336</f>
        <v>0</v>
      </c>
      <c r="L336" s="7">
        <f>I336*SilverPoints*G336</f>
        <v>0</v>
      </c>
      <c r="M336" s="7">
        <f>J336*BronzePoints*G336</f>
        <v>0</v>
      </c>
      <c r="N336" s="7">
        <f t="shared" si="1"/>
        <v>0</v>
      </c>
      <c r="O336" s="7" t="b">
        <f t="array" ref="O336">IF(E336="",FALSE,IFERROR(AND(ISNUMBER(MATCH(E336,Countries!$A$2:$A$72,0)),XLOOKUP(E336,Countries!$A$2:$A$72,Countries!$I$2:$I$72,FALSE)),FALSE))</f>
        <v>0</v>
      </c>
      <c r="P336" s="7" t="b">
        <f t="array" ref="P336">IF(E336="",FALSE,IFERROR(XLOOKUP(E336,Countries!$A$2:$A$72,Countries!$G$2:$G$72,FALSE),FALSE))</f>
        <v>0</v>
      </c>
      <c r="Q336" s="7" t="str">
        <f t="shared" si="2"/>
        <v>⚪</v>
      </c>
    </row>
    <row r="337" ht="15.75" customHeight="1">
      <c r="A337" s="7" t="str">
        <f t="array" ref="A337">IFERROR(IF(INDEX(Entries!$C$2:$C$48,42)="","",INDEX(Entries!$Q$2:$Q$48,42)),"")</f>
        <v/>
      </c>
      <c r="B337" s="7" t="str">
        <f t="array" ref="B337">IF(A337="","",IFERROR(INDEX(Entries!$E$2:$E$48,42),""))</f>
        <v/>
      </c>
      <c r="C337" s="7" t="str">
        <f>IF(A337="","","Tier6_Pick2")</f>
        <v/>
      </c>
      <c r="D337" s="7" t="str">
        <f t="shared" si="86"/>
        <v/>
      </c>
      <c r="E337" s="7" t="str">
        <f t="array" ref="E337">IF(A337="","",IFERROR(INDEX(Entries!$P$2:$P$48,42),""))</f>
        <v/>
      </c>
      <c r="F337" s="7" t="str">
        <f>IF(E337="","",IFERROR(_xludf.XLOOKUP(E337,Countries!$A$2:$A$72,Countries!$B$2:$B$72,"???"),"???"))</f>
        <v/>
      </c>
      <c r="G337" s="7">
        <f t="array" ref="G337">IF(E337="",0,IFERROR(XLOOKUP(E337,Countries!$A$2:$A$72,Countries!$E$2:$E$72,0),0))</f>
        <v>0</v>
      </c>
      <c r="H337" s="7">
        <f t="array" ref="H337">IF(E337="",0,IFERROR(XLOOKUP(E337,Medals!$B$2:$B$51,Medals!$D$2:$D$51,0),0))</f>
        <v>0</v>
      </c>
      <c r="I337" s="7">
        <f t="array" ref="I337">IF(E337="",0,IFERROR(XLOOKUP(E337,Medals!$B$2:$B$51,Medals!$E$2:$E$51,0),0))</f>
        <v>0</v>
      </c>
      <c r="J337" s="7">
        <f t="array" ref="J337">IF(E337="",0,IFERROR(XLOOKUP(E337,Medals!$B$2:$B$51,Medals!$F$2:$F$51,0),0))</f>
        <v>0</v>
      </c>
      <c r="K337" s="7">
        <f>H337*GoldPoints*G337</f>
        <v>0</v>
      </c>
      <c r="L337" s="7">
        <f>I337*SilverPoints*G337</f>
        <v>0</v>
      </c>
      <c r="M337" s="7">
        <f>J337*BronzePoints*G337</f>
        <v>0</v>
      </c>
      <c r="N337" s="7">
        <f t="shared" si="1"/>
        <v>0</v>
      </c>
      <c r="O337" s="7" t="b">
        <f t="array" ref="O337">IF(E337="",FALSE,IFERROR(AND(ISNUMBER(MATCH(E337,Countries!$A$2:$A$72,0)),XLOOKUP(E337,Countries!$A$2:$A$72,Countries!$I$2:$I$72,FALSE)),FALSE))</f>
        <v>0</v>
      </c>
      <c r="P337" s="7" t="b">
        <f t="array" ref="P337">IF(E337="",FALSE,IFERROR(XLOOKUP(E337,Countries!$A$2:$A$72,Countries!$G$2:$G$72,FALSE),FALSE))</f>
        <v>0</v>
      </c>
      <c r="Q337" s="7" t="str">
        <f t="shared" si="2"/>
        <v>⚪</v>
      </c>
    </row>
    <row r="338" ht="15.75" customHeight="1">
      <c r="A338" s="7" t="str">
        <f t="array" ref="A338">IFERROR(IF(INDEX(Entries!$C$2:$C$48,43)="","",INDEX(Entries!$Q$2:$Q$48,43)),"")</f>
        <v/>
      </c>
      <c r="B338" s="7" t="str">
        <f t="array" ref="B338">IF(A338="","",IFERROR(INDEX(Entries!$E$2:$E$48,43),""))</f>
        <v/>
      </c>
      <c r="C338" s="7" t="str">
        <f>IF(A338="","","Tier1_Pick1")</f>
        <v/>
      </c>
      <c r="D338" s="7" t="str">
        <f>IF(A338="","",1)</f>
        <v/>
      </c>
      <c r="E338" s="7" t="str">
        <f t="array" ref="E338">IF(A338="","",IFERROR(INDEX(Entries!$F$2:$F$48,43),""))</f>
        <v/>
      </c>
      <c r="F338" s="7" t="str">
        <f>IF(E338="","",IFERROR(_xludf.XLOOKUP(E338,Countries!$A$2:$A$72,Countries!$B$2:$B$72,"???"),"???"))</f>
        <v/>
      </c>
      <c r="G338" s="7">
        <f t="array" ref="G338">IF(E338="",0,IFERROR(XLOOKUP(E338,Countries!$A$2:$A$72,Countries!$E$2:$E$72,0),0))</f>
        <v>0</v>
      </c>
      <c r="H338" s="7">
        <f t="array" ref="H338">IF(E338="",0,IFERROR(XLOOKUP(E338,Medals!$B$2:$B$51,Medals!$D$2:$D$51,0),0))</f>
        <v>0</v>
      </c>
      <c r="I338" s="7">
        <f t="array" ref="I338">IF(E338="",0,IFERROR(XLOOKUP(E338,Medals!$B$2:$B$51,Medals!$E$2:$E$51,0),0))</f>
        <v>0</v>
      </c>
      <c r="J338" s="7">
        <f t="array" ref="J338">IF(E338="",0,IFERROR(XLOOKUP(E338,Medals!$B$2:$B$51,Medals!$F$2:$F$51,0),0))</f>
        <v>0</v>
      </c>
      <c r="K338" s="7">
        <f>H338*GoldPoints*G338</f>
        <v>0</v>
      </c>
      <c r="L338" s="7">
        <f>I338*SilverPoints*G338</f>
        <v>0</v>
      </c>
      <c r="M338" s="7">
        <f>J338*BronzePoints*G338</f>
        <v>0</v>
      </c>
      <c r="N338" s="7">
        <f t="shared" si="1"/>
        <v>0</v>
      </c>
      <c r="O338" s="7" t="b">
        <f t="array" ref="O338">IF(E338="",FALSE,IFERROR(AND(ISNUMBER(MATCH(E338,Countries!$A$2:$A$72,0)),XLOOKUP(E338,Countries!$A$2:$A$72,Countries!$I$2:$I$72,FALSE)),FALSE))</f>
        <v>0</v>
      </c>
      <c r="P338" s="7" t="b">
        <f t="array" ref="P338">IF(E338="",FALSE,IFERROR(XLOOKUP(E338,Countries!$A$2:$A$72,Countries!$G$2:$G$72,FALSE),FALSE))</f>
        <v>0</v>
      </c>
      <c r="Q338" s="7" t="str">
        <f t="shared" si="2"/>
        <v>⚪</v>
      </c>
    </row>
    <row r="339" ht="15.75" customHeight="1">
      <c r="A339" s="7" t="str">
        <f t="array" ref="A339">IFERROR(IF(INDEX(Entries!$C$2:$C$48,43)="","",INDEX(Entries!$Q$2:$Q$48,43)),"")</f>
        <v/>
      </c>
      <c r="B339" s="7" t="str">
        <f t="array" ref="B339">IF(A339="","",IFERROR(INDEX(Entries!$E$2:$E$48,43),""))</f>
        <v/>
      </c>
      <c r="C339" s="7" t="str">
        <f>IF(A339="","","Tier2_Pick1")</f>
        <v/>
      </c>
      <c r="D339" s="7" t="str">
        <f t="shared" ref="D339:D340" si="87">IF(A339="","",2)</f>
        <v/>
      </c>
      <c r="E339" s="7" t="str">
        <f t="array" ref="E339">IF(A339="","",IFERROR(INDEX(Entries!$M$2:$M$48,43),""))</f>
        <v/>
      </c>
      <c r="F339" s="7" t="str">
        <f>IF(E339="","",IFERROR(_xludf.XLOOKUP(E339,Countries!$A$2:$A$72,Countries!$B$2:$B$72,"???"),"???"))</f>
        <v/>
      </c>
      <c r="G339" s="7">
        <f t="array" ref="G339">IF(E339="",0,IFERROR(XLOOKUP(E339,Countries!$A$2:$A$72,Countries!$E$2:$E$72,0),0))</f>
        <v>0</v>
      </c>
      <c r="H339" s="7">
        <f t="array" ref="H339">IF(E339="",0,IFERROR(XLOOKUP(E339,Medals!$B$2:$B$51,Medals!$D$2:$D$51,0),0))</f>
        <v>0</v>
      </c>
      <c r="I339" s="7">
        <f t="array" ref="I339">IF(E339="",0,IFERROR(XLOOKUP(E339,Medals!$B$2:$B$51,Medals!$E$2:$E$51,0),0))</f>
        <v>0</v>
      </c>
      <c r="J339" s="7">
        <f t="array" ref="J339">IF(E339="",0,IFERROR(XLOOKUP(E339,Medals!$B$2:$B$51,Medals!$F$2:$F$51,0),0))</f>
        <v>0</v>
      </c>
      <c r="K339" s="7">
        <f>H339*GoldPoints*G339</f>
        <v>0</v>
      </c>
      <c r="L339" s="7">
        <f>I339*SilverPoints*G339</f>
        <v>0</v>
      </c>
      <c r="M339" s="7">
        <f>J339*BronzePoints*G339</f>
        <v>0</v>
      </c>
      <c r="N339" s="7">
        <f t="shared" si="1"/>
        <v>0</v>
      </c>
      <c r="O339" s="7" t="b">
        <f t="array" ref="O339">IF(E339="",FALSE,IFERROR(AND(ISNUMBER(MATCH(E339,Countries!$A$2:$A$72,0)),XLOOKUP(E339,Countries!$A$2:$A$72,Countries!$I$2:$I$72,FALSE)),FALSE))</f>
        <v>0</v>
      </c>
      <c r="P339" s="7" t="b">
        <f t="array" ref="P339">IF(E339="",FALSE,IFERROR(XLOOKUP(E339,Countries!$A$2:$A$72,Countries!$G$2:$G$72,FALSE),FALSE))</f>
        <v>0</v>
      </c>
      <c r="Q339" s="7" t="str">
        <f t="shared" si="2"/>
        <v>⚪</v>
      </c>
    </row>
    <row r="340" ht="15.75" customHeight="1">
      <c r="A340" s="7" t="str">
        <f t="array" ref="A340">IFERROR(IF(INDEX(Entries!$C$2:$C$48,43)="","",INDEX(Entries!$Q$2:$Q$48,43)),"")</f>
        <v/>
      </c>
      <c r="B340" s="7" t="str">
        <f t="array" ref="B340">IF(A340="","",IFERROR(INDEX(Entries!$E$2:$E$48,43),""))</f>
        <v/>
      </c>
      <c r="C340" s="7" t="str">
        <f>IF(A340="","","Tier2_Pick2")</f>
        <v/>
      </c>
      <c r="D340" s="7" t="str">
        <f t="shared" si="87"/>
        <v/>
      </c>
      <c r="E340" s="7" t="str">
        <f t="array" ref="E340">IF(A340="","",IFERROR(INDEX(Entries!$N$2:$N$48,43),""))</f>
        <v/>
      </c>
      <c r="F340" s="7" t="str">
        <f>IF(E340="","",IFERROR(_xludf.XLOOKUP(E340,Countries!$A$2:$A$72,Countries!$B$2:$B$72,"???"),"???"))</f>
        <v/>
      </c>
      <c r="G340" s="7">
        <f t="array" ref="G340">IF(E340="",0,IFERROR(XLOOKUP(E340,Countries!$A$2:$A$72,Countries!$E$2:$E$72,0),0))</f>
        <v>0</v>
      </c>
      <c r="H340" s="7">
        <f t="array" ref="H340">IF(E340="",0,IFERROR(XLOOKUP(E340,Medals!$B$2:$B$51,Medals!$D$2:$D$51,0),0))</f>
        <v>0</v>
      </c>
      <c r="I340" s="7">
        <f t="array" ref="I340">IF(E340="",0,IFERROR(XLOOKUP(E340,Medals!$B$2:$B$51,Medals!$E$2:$E$51,0),0))</f>
        <v>0</v>
      </c>
      <c r="J340" s="7">
        <f t="array" ref="J340">IF(E340="",0,IFERROR(XLOOKUP(E340,Medals!$B$2:$B$51,Medals!$F$2:$F$51,0),0))</f>
        <v>0</v>
      </c>
      <c r="K340" s="7">
        <f>H340*GoldPoints*G340</f>
        <v>0</v>
      </c>
      <c r="L340" s="7">
        <f>I340*SilverPoints*G340</f>
        <v>0</v>
      </c>
      <c r="M340" s="7">
        <f>J340*BronzePoints*G340</f>
        <v>0</v>
      </c>
      <c r="N340" s="7">
        <f t="shared" si="1"/>
        <v>0</v>
      </c>
      <c r="O340" s="7" t="b">
        <f t="array" ref="O340">IF(E340="",FALSE,IFERROR(AND(ISNUMBER(MATCH(E340,Countries!$A$2:$A$72,0)),XLOOKUP(E340,Countries!$A$2:$A$72,Countries!$I$2:$I$72,FALSE)),FALSE))</f>
        <v>0</v>
      </c>
      <c r="P340" s="7" t="b">
        <f t="array" ref="P340">IF(E340="",FALSE,IFERROR(XLOOKUP(E340,Countries!$A$2:$A$72,Countries!$G$2:$G$72,FALSE),FALSE))</f>
        <v>0</v>
      </c>
      <c r="Q340" s="7" t="str">
        <f t="shared" si="2"/>
        <v>⚪</v>
      </c>
    </row>
    <row r="341" ht="15.75" customHeight="1">
      <c r="A341" s="7" t="str">
        <f t="array" ref="A341">IFERROR(IF(INDEX(Entries!$C$2:$C$48,43)="","",INDEX(Entries!$Q$2:$Q$48,43)),"")</f>
        <v/>
      </c>
      <c r="B341" s="7" t="str">
        <f t="array" ref="B341">IF(A341="","",IFERROR(INDEX(Entries!$E$2:$E$48,43),""))</f>
        <v/>
      </c>
      <c r="C341" s="7" t="str">
        <f>IF(A341="","","Tier3_Pick1")</f>
        <v/>
      </c>
      <c r="D341" s="7" t="str">
        <f>IF(A341="","",3)</f>
        <v/>
      </c>
      <c r="E341" s="7" t="str">
        <f t="array" ref="E341">IF(A341="","",IFERROR(INDEX(Entries!$H$2:$H$48,43),""))</f>
        <v/>
      </c>
      <c r="F341" s="7" t="str">
        <f>IF(E341="","",IFERROR(_xludf.XLOOKUP(E341,Countries!$A$2:$A$72,Countries!$B$2:$B$72,"???"),"???"))</f>
        <v/>
      </c>
      <c r="G341" s="7">
        <f t="array" ref="G341">IF(E341="",0,IFERROR(XLOOKUP(E341,Countries!$A$2:$A$72,Countries!$E$2:$E$72,0),0))</f>
        <v>0</v>
      </c>
      <c r="H341" s="7">
        <f t="array" ref="H341">IF(E341="",0,IFERROR(XLOOKUP(E341,Medals!$B$2:$B$51,Medals!$D$2:$D$51,0),0))</f>
        <v>0</v>
      </c>
      <c r="I341" s="7">
        <f t="array" ref="I341">IF(E341="",0,IFERROR(XLOOKUP(E341,Medals!$B$2:$B$51,Medals!$E$2:$E$51,0),0))</f>
        <v>0</v>
      </c>
      <c r="J341" s="7">
        <f t="array" ref="J341">IF(E341="",0,IFERROR(XLOOKUP(E341,Medals!$B$2:$B$51,Medals!$F$2:$F$51,0),0))</f>
        <v>0</v>
      </c>
      <c r="K341" s="7">
        <f>H341*GoldPoints*G341</f>
        <v>0</v>
      </c>
      <c r="L341" s="7">
        <f>I341*SilverPoints*G341</f>
        <v>0</v>
      </c>
      <c r="M341" s="7">
        <f>J341*BronzePoints*G341</f>
        <v>0</v>
      </c>
      <c r="N341" s="7">
        <f t="shared" si="1"/>
        <v>0</v>
      </c>
      <c r="O341" s="7" t="b">
        <f t="array" ref="O341">IF(E341="",FALSE,IFERROR(AND(ISNUMBER(MATCH(E341,Countries!$A$2:$A$72,0)),XLOOKUP(E341,Countries!$A$2:$A$72,Countries!$I$2:$I$72,FALSE)),FALSE))</f>
        <v>0</v>
      </c>
      <c r="P341" s="7" t="b">
        <f t="array" ref="P341">IF(E341="",FALSE,IFERROR(XLOOKUP(E341,Countries!$A$2:$A$72,Countries!$G$2:$G$72,FALSE),FALSE))</f>
        <v>0</v>
      </c>
      <c r="Q341" s="7" t="str">
        <f t="shared" si="2"/>
        <v>⚪</v>
      </c>
    </row>
    <row r="342" ht="15.75" customHeight="1">
      <c r="A342" s="7" t="str">
        <f t="array" ref="A342">IFERROR(IF(INDEX(Entries!$C$2:$C$48,43)="","",INDEX(Entries!$Q$2:$Q$48,43)),"")</f>
        <v/>
      </c>
      <c r="B342" s="7" t="str">
        <f t="array" ref="B342">IF(A342="","",IFERROR(INDEX(Entries!$E$2:$E$48,43),""))</f>
        <v/>
      </c>
      <c r="C342" s="7" t="str">
        <f>IF(A342="","","Tier4_Pick1")</f>
        <v/>
      </c>
      <c r="D342" s="7" t="str">
        <f>IF(A342="","",4)</f>
        <v/>
      </c>
      <c r="E342" s="7" t="str">
        <f t="array" ref="E342">IF(A342="","",IFERROR(INDEX(Entries!$I$2:$I$48,43),""))</f>
        <v/>
      </c>
      <c r="F342" s="7" t="str">
        <f>IF(E342="","",IFERROR(_xludf.XLOOKUP(E342,Countries!$A$2:$A$72,Countries!$B$2:$B$72,"???"),"???"))</f>
        <v/>
      </c>
      <c r="G342" s="7">
        <f t="array" ref="G342">IF(E342="",0,IFERROR(XLOOKUP(E342,Countries!$A$2:$A$72,Countries!$E$2:$E$72,0),0))</f>
        <v>0</v>
      </c>
      <c r="H342" s="7">
        <f t="array" ref="H342">IF(E342="",0,IFERROR(XLOOKUP(E342,Medals!$B$2:$B$51,Medals!$D$2:$D$51,0),0))</f>
        <v>0</v>
      </c>
      <c r="I342" s="7">
        <f t="array" ref="I342">IF(E342="",0,IFERROR(XLOOKUP(E342,Medals!$B$2:$B$51,Medals!$E$2:$E$51,0),0))</f>
        <v>0</v>
      </c>
      <c r="J342" s="7">
        <f t="array" ref="J342">IF(E342="",0,IFERROR(XLOOKUP(E342,Medals!$B$2:$B$51,Medals!$F$2:$F$51,0),0))</f>
        <v>0</v>
      </c>
      <c r="K342" s="7">
        <f>H342*GoldPoints*G342</f>
        <v>0</v>
      </c>
      <c r="L342" s="7">
        <f>I342*SilverPoints*G342</f>
        <v>0</v>
      </c>
      <c r="M342" s="7">
        <f>J342*BronzePoints*G342</f>
        <v>0</v>
      </c>
      <c r="N342" s="7">
        <f t="shared" si="1"/>
        <v>0</v>
      </c>
      <c r="O342" s="7" t="b">
        <f t="array" ref="O342">IF(E342="",FALSE,IFERROR(AND(ISNUMBER(MATCH(E342,Countries!$A$2:$A$72,0)),XLOOKUP(E342,Countries!$A$2:$A$72,Countries!$I$2:$I$72,FALSE)),FALSE))</f>
        <v>0</v>
      </c>
      <c r="P342" s="7" t="b">
        <f t="array" ref="P342">IF(E342="",FALSE,IFERROR(XLOOKUP(E342,Countries!$A$2:$A$72,Countries!$G$2:$G$72,FALSE),FALSE))</f>
        <v>0</v>
      </c>
      <c r="Q342" s="7" t="str">
        <f t="shared" si="2"/>
        <v>⚪</v>
      </c>
    </row>
    <row r="343" ht="15.75" customHeight="1">
      <c r="A343" s="7" t="str">
        <f t="array" ref="A343">IFERROR(IF(INDEX(Entries!$C$2:$C$48,43)="","",INDEX(Entries!$Q$2:$Q$48,43)),"")</f>
        <v/>
      </c>
      <c r="B343" s="7" t="str">
        <f t="array" ref="B343">IF(A343="","",IFERROR(INDEX(Entries!$E$2:$E$48,43),""))</f>
        <v/>
      </c>
      <c r="C343" s="7" t="str">
        <f>IF(A343="","","Tier5_Pick1")</f>
        <v/>
      </c>
      <c r="D343" s="7" t="str">
        <f>IF(A343="","",5)</f>
        <v/>
      </c>
      <c r="E343" s="7" t="str">
        <f t="array" ref="E343">IF(A343="","",IFERROR(INDEX(Entries!$J$2:$J$48,43),""))</f>
        <v/>
      </c>
      <c r="F343" s="7" t="str">
        <f>IF(E343="","",IFERROR(_xludf.XLOOKUP(E343,Countries!$A$2:$A$72,Countries!$B$2:$B$72,"???"),"???"))</f>
        <v/>
      </c>
      <c r="G343" s="7">
        <f t="array" ref="G343">IF(E343="",0,IFERROR(XLOOKUP(E343,Countries!$A$2:$A$72,Countries!$E$2:$E$72,0),0))</f>
        <v>0</v>
      </c>
      <c r="H343" s="7">
        <f t="array" ref="H343">IF(E343="",0,IFERROR(XLOOKUP(E343,Medals!$B$2:$B$51,Medals!$D$2:$D$51,0),0))</f>
        <v>0</v>
      </c>
      <c r="I343" s="7">
        <f t="array" ref="I343">IF(E343="",0,IFERROR(XLOOKUP(E343,Medals!$B$2:$B$51,Medals!$E$2:$E$51,0),0))</f>
        <v>0</v>
      </c>
      <c r="J343" s="7">
        <f t="array" ref="J343">IF(E343="",0,IFERROR(XLOOKUP(E343,Medals!$B$2:$B$51,Medals!$F$2:$F$51,0),0))</f>
        <v>0</v>
      </c>
      <c r="K343" s="7">
        <f>H343*GoldPoints*G343</f>
        <v>0</v>
      </c>
      <c r="L343" s="7">
        <f>I343*SilverPoints*G343</f>
        <v>0</v>
      </c>
      <c r="M343" s="7">
        <f>J343*BronzePoints*G343</f>
        <v>0</v>
      </c>
      <c r="N343" s="7">
        <f t="shared" si="1"/>
        <v>0</v>
      </c>
      <c r="O343" s="7" t="b">
        <f t="array" ref="O343">IF(E343="",FALSE,IFERROR(AND(ISNUMBER(MATCH(E343,Countries!$A$2:$A$72,0)),XLOOKUP(E343,Countries!$A$2:$A$72,Countries!$I$2:$I$72,FALSE)),FALSE))</f>
        <v>0</v>
      </c>
      <c r="P343" s="7" t="b">
        <f t="array" ref="P343">IF(E343="",FALSE,IFERROR(XLOOKUP(E343,Countries!$A$2:$A$72,Countries!$G$2:$G$72,FALSE),FALSE))</f>
        <v>0</v>
      </c>
      <c r="Q343" s="7" t="str">
        <f t="shared" si="2"/>
        <v>⚪</v>
      </c>
    </row>
    <row r="344" ht="15.75" customHeight="1">
      <c r="A344" s="7" t="str">
        <f t="array" ref="A344">IFERROR(IF(INDEX(Entries!$C$2:$C$48,43)="","",INDEX(Entries!$Q$2:$Q$48,43)),"")</f>
        <v/>
      </c>
      <c r="B344" s="7" t="str">
        <f t="array" ref="B344">IF(A344="","",IFERROR(INDEX(Entries!$E$2:$E$48,43),""))</f>
        <v/>
      </c>
      <c r="C344" s="7" t="str">
        <f>IF(A344="","","Tier6_Pick1")</f>
        <v/>
      </c>
      <c r="D344" s="7" t="str">
        <f t="shared" ref="D344:D345" si="88">IF(A344="","",6)</f>
        <v/>
      </c>
      <c r="E344" s="7" t="str">
        <f t="array" ref="E344">IF(A344="","",IFERROR(INDEX(Entries!$O$2:$O$48,43),""))</f>
        <v/>
      </c>
      <c r="F344" s="7" t="str">
        <f>IF(E344="","",IFERROR(_xludf.XLOOKUP(E344,Countries!$A$2:$A$72,Countries!$B$2:$B$72,"???"),"???"))</f>
        <v/>
      </c>
      <c r="G344" s="7">
        <f t="array" ref="G344">IF(E344="",0,IFERROR(XLOOKUP(E344,Countries!$A$2:$A$72,Countries!$E$2:$E$72,0),0))</f>
        <v>0</v>
      </c>
      <c r="H344" s="7">
        <f t="array" ref="H344">IF(E344="",0,IFERROR(XLOOKUP(E344,Medals!$B$2:$B$51,Medals!$D$2:$D$51,0),0))</f>
        <v>0</v>
      </c>
      <c r="I344" s="7">
        <f t="array" ref="I344">IF(E344="",0,IFERROR(XLOOKUP(E344,Medals!$B$2:$B$51,Medals!$E$2:$E$51,0),0))</f>
        <v>0</v>
      </c>
      <c r="J344" s="7">
        <f t="array" ref="J344">IF(E344="",0,IFERROR(XLOOKUP(E344,Medals!$B$2:$B$51,Medals!$F$2:$F$51,0),0))</f>
        <v>0</v>
      </c>
      <c r="K344" s="7">
        <f>H344*GoldPoints*G344</f>
        <v>0</v>
      </c>
      <c r="L344" s="7">
        <f>I344*SilverPoints*G344</f>
        <v>0</v>
      </c>
      <c r="M344" s="7">
        <f>J344*BronzePoints*G344</f>
        <v>0</v>
      </c>
      <c r="N344" s="7">
        <f t="shared" si="1"/>
        <v>0</v>
      </c>
      <c r="O344" s="7" t="b">
        <f t="array" ref="O344">IF(E344="",FALSE,IFERROR(AND(ISNUMBER(MATCH(E344,Countries!$A$2:$A$72,0)),XLOOKUP(E344,Countries!$A$2:$A$72,Countries!$I$2:$I$72,FALSE)),FALSE))</f>
        <v>0</v>
      </c>
      <c r="P344" s="7" t="b">
        <f t="array" ref="P344">IF(E344="",FALSE,IFERROR(XLOOKUP(E344,Countries!$A$2:$A$72,Countries!$G$2:$G$72,FALSE),FALSE))</f>
        <v>0</v>
      </c>
      <c r="Q344" s="7" t="str">
        <f t="shared" si="2"/>
        <v>⚪</v>
      </c>
    </row>
    <row r="345" ht="15.75" customHeight="1">
      <c r="A345" s="7" t="str">
        <f t="array" ref="A345">IFERROR(IF(INDEX(Entries!$C$2:$C$48,43)="","",INDEX(Entries!$Q$2:$Q$48,43)),"")</f>
        <v/>
      </c>
      <c r="B345" s="7" t="str">
        <f t="array" ref="B345">IF(A345="","",IFERROR(INDEX(Entries!$E$2:$E$48,43),""))</f>
        <v/>
      </c>
      <c r="C345" s="7" t="str">
        <f>IF(A345="","","Tier6_Pick2")</f>
        <v/>
      </c>
      <c r="D345" s="7" t="str">
        <f t="shared" si="88"/>
        <v/>
      </c>
      <c r="E345" s="7" t="str">
        <f t="array" ref="E345">IF(A345="","",IFERROR(INDEX(Entries!$P$2:$P$48,43),""))</f>
        <v/>
      </c>
      <c r="F345" s="7" t="str">
        <f>IF(E345="","",IFERROR(_xludf.XLOOKUP(E345,Countries!$A$2:$A$72,Countries!$B$2:$B$72,"???"),"???"))</f>
        <v/>
      </c>
      <c r="G345" s="7">
        <f t="array" ref="G345">IF(E345="",0,IFERROR(XLOOKUP(E345,Countries!$A$2:$A$72,Countries!$E$2:$E$72,0),0))</f>
        <v>0</v>
      </c>
      <c r="H345" s="7">
        <f t="array" ref="H345">IF(E345="",0,IFERROR(XLOOKUP(E345,Medals!$B$2:$B$51,Medals!$D$2:$D$51,0),0))</f>
        <v>0</v>
      </c>
      <c r="I345" s="7">
        <f t="array" ref="I345">IF(E345="",0,IFERROR(XLOOKUP(E345,Medals!$B$2:$B$51,Medals!$E$2:$E$51,0),0))</f>
        <v>0</v>
      </c>
      <c r="J345" s="7">
        <f t="array" ref="J345">IF(E345="",0,IFERROR(XLOOKUP(E345,Medals!$B$2:$B$51,Medals!$F$2:$F$51,0),0))</f>
        <v>0</v>
      </c>
      <c r="K345" s="7">
        <f>H345*GoldPoints*G345</f>
        <v>0</v>
      </c>
      <c r="L345" s="7">
        <f>I345*SilverPoints*G345</f>
        <v>0</v>
      </c>
      <c r="M345" s="7">
        <f>J345*BronzePoints*G345</f>
        <v>0</v>
      </c>
      <c r="N345" s="7">
        <f t="shared" si="1"/>
        <v>0</v>
      </c>
      <c r="O345" s="7" t="b">
        <f t="array" ref="O345">IF(E345="",FALSE,IFERROR(AND(ISNUMBER(MATCH(E345,Countries!$A$2:$A$72,0)),XLOOKUP(E345,Countries!$A$2:$A$72,Countries!$I$2:$I$72,FALSE)),FALSE))</f>
        <v>0</v>
      </c>
      <c r="P345" s="7" t="b">
        <f t="array" ref="P345">IF(E345="",FALSE,IFERROR(XLOOKUP(E345,Countries!$A$2:$A$72,Countries!$G$2:$G$72,FALSE),FALSE))</f>
        <v>0</v>
      </c>
      <c r="Q345" s="7" t="str">
        <f t="shared" si="2"/>
        <v>⚪</v>
      </c>
    </row>
    <row r="346" ht="15.75" customHeight="1">
      <c r="A346" s="7" t="str">
        <f t="array" ref="A346">IFERROR(IF(INDEX(Entries!$C$2:$C$48,44)="","",INDEX(Entries!$Q$2:$Q$48,44)),"")</f>
        <v/>
      </c>
      <c r="B346" s="7" t="str">
        <f t="array" ref="B346">IF(A346="","",IFERROR(INDEX(Entries!$E$2:$E$48,44),""))</f>
        <v/>
      </c>
      <c r="C346" s="7" t="str">
        <f>IF(A346="","","Tier1_Pick1")</f>
        <v/>
      </c>
      <c r="D346" s="7" t="str">
        <f>IF(A346="","",1)</f>
        <v/>
      </c>
      <c r="E346" s="7" t="str">
        <f t="array" ref="E346">IF(A346="","",IFERROR(INDEX(Entries!$F$2:$F$48,44),""))</f>
        <v/>
      </c>
      <c r="F346" s="7" t="str">
        <f>IF(E346="","",IFERROR(_xludf.XLOOKUP(E346,Countries!$A$2:$A$72,Countries!$B$2:$B$72,"???"),"???"))</f>
        <v/>
      </c>
      <c r="G346" s="7">
        <f t="array" ref="G346">IF(E346="",0,IFERROR(XLOOKUP(E346,Countries!$A$2:$A$72,Countries!$E$2:$E$72,0),0))</f>
        <v>0</v>
      </c>
      <c r="H346" s="7">
        <f t="array" ref="H346">IF(E346="",0,IFERROR(XLOOKUP(E346,Medals!$B$2:$B$51,Medals!$D$2:$D$51,0),0))</f>
        <v>0</v>
      </c>
      <c r="I346" s="7">
        <f t="array" ref="I346">IF(E346="",0,IFERROR(XLOOKUP(E346,Medals!$B$2:$B$51,Medals!$E$2:$E$51,0),0))</f>
        <v>0</v>
      </c>
      <c r="J346" s="7">
        <f t="array" ref="J346">IF(E346="",0,IFERROR(XLOOKUP(E346,Medals!$B$2:$B$51,Medals!$F$2:$F$51,0),0))</f>
        <v>0</v>
      </c>
      <c r="K346" s="7">
        <f>H346*GoldPoints*G346</f>
        <v>0</v>
      </c>
      <c r="L346" s="7">
        <f>I346*SilverPoints*G346</f>
        <v>0</v>
      </c>
      <c r="M346" s="7">
        <f>J346*BronzePoints*G346</f>
        <v>0</v>
      </c>
      <c r="N346" s="7">
        <f t="shared" si="1"/>
        <v>0</v>
      </c>
      <c r="O346" s="7" t="b">
        <f t="array" ref="O346">IF(E346="",FALSE,IFERROR(AND(ISNUMBER(MATCH(E346,Countries!$A$2:$A$72,0)),XLOOKUP(E346,Countries!$A$2:$A$72,Countries!$I$2:$I$72,FALSE)),FALSE))</f>
        <v>0</v>
      </c>
      <c r="P346" s="7" t="b">
        <f t="array" ref="P346">IF(E346="",FALSE,IFERROR(XLOOKUP(E346,Countries!$A$2:$A$72,Countries!$G$2:$G$72,FALSE),FALSE))</f>
        <v>0</v>
      </c>
      <c r="Q346" s="7" t="str">
        <f t="shared" si="2"/>
        <v>⚪</v>
      </c>
    </row>
    <row r="347" ht="15.75" customHeight="1">
      <c r="A347" s="7" t="str">
        <f t="array" ref="A347">IFERROR(IF(INDEX(Entries!$C$2:$C$48,44)="","",INDEX(Entries!$Q$2:$Q$48,44)),"")</f>
        <v/>
      </c>
      <c r="B347" s="7" t="str">
        <f t="array" ref="B347">IF(A347="","",IFERROR(INDEX(Entries!$E$2:$E$48,44),""))</f>
        <v/>
      </c>
      <c r="C347" s="7" t="str">
        <f>IF(A347="","","Tier2_Pick1")</f>
        <v/>
      </c>
      <c r="D347" s="7" t="str">
        <f t="shared" ref="D347:D348" si="89">IF(A347="","",2)</f>
        <v/>
      </c>
      <c r="E347" s="7" t="str">
        <f t="array" ref="E347">IF(A347="","",IFERROR(INDEX(Entries!$M$2:$M$48,44),""))</f>
        <v/>
      </c>
      <c r="F347" s="7" t="str">
        <f>IF(E347="","",IFERROR(_xludf.XLOOKUP(E347,Countries!$A$2:$A$72,Countries!$B$2:$B$72,"???"),"???"))</f>
        <v/>
      </c>
      <c r="G347" s="7">
        <f t="array" ref="G347">IF(E347="",0,IFERROR(XLOOKUP(E347,Countries!$A$2:$A$72,Countries!$E$2:$E$72,0),0))</f>
        <v>0</v>
      </c>
      <c r="H347" s="7">
        <f t="array" ref="H347">IF(E347="",0,IFERROR(XLOOKUP(E347,Medals!$B$2:$B$51,Medals!$D$2:$D$51,0),0))</f>
        <v>0</v>
      </c>
      <c r="I347" s="7">
        <f t="array" ref="I347">IF(E347="",0,IFERROR(XLOOKUP(E347,Medals!$B$2:$B$51,Medals!$E$2:$E$51,0),0))</f>
        <v>0</v>
      </c>
      <c r="J347" s="7">
        <f t="array" ref="J347">IF(E347="",0,IFERROR(XLOOKUP(E347,Medals!$B$2:$B$51,Medals!$F$2:$F$51,0),0))</f>
        <v>0</v>
      </c>
      <c r="K347" s="7">
        <f>H347*GoldPoints*G347</f>
        <v>0</v>
      </c>
      <c r="L347" s="7">
        <f>I347*SilverPoints*G347</f>
        <v>0</v>
      </c>
      <c r="M347" s="7">
        <f>J347*BronzePoints*G347</f>
        <v>0</v>
      </c>
      <c r="N347" s="7">
        <f t="shared" si="1"/>
        <v>0</v>
      </c>
      <c r="O347" s="7" t="b">
        <f t="array" ref="O347">IF(E347="",FALSE,IFERROR(AND(ISNUMBER(MATCH(E347,Countries!$A$2:$A$72,0)),XLOOKUP(E347,Countries!$A$2:$A$72,Countries!$I$2:$I$72,FALSE)),FALSE))</f>
        <v>0</v>
      </c>
      <c r="P347" s="7" t="b">
        <f t="array" ref="P347">IF(E347="",FALSE,IFERROR(XLOOKUP(E347,Countries!$A$2:$A$72,Countries!$G$2:$G$72,FALSE),FALSE))</f>
        <v>0</v>
      </c>
      <c r="Q347" s="7" t="str">
        <f t="shared" si="2"/>
        <v>⚪</v>
      </c>
    </row>
    <row r="348" ht="15.75" customHeight="1">
      <c r="A348" s="7" t="str">
        <f t="array" ref="A348">IFERROR(IF(INDEX(Entries!$C$2:$C$48,44)="","",INDEX(Entries!$Q$2:$Q$48,44)),"")</f>
        <v/>
      </c>
      <c r="B348" s="7" t="str">
        <f t="array" ref="B348">IF(A348="","",IFERROR(INDEX(Entries!$E$2:$E$48,44),""))</f>
        <v/>
      </c>
      <c r="C348" s="7" t="str">
        <f>IF(A348="","","Tier2_Pick2")</f>
        <v/>
      </c>
      <c r="D348" s="7" t="str">
        <f t="shared" si="89"/>
        <v/>
      </c>
      <c r="E348" s="7" t="str">
        <f t="array" ref="E348">IF(A348="","",IFERROR(INDEX(Entries!$N$2:$N$48,44),""))</f>
        <v/>
      </c>
      <c r="F348" s="7" t="str">
        <f>IF(E348="","",IFERROR(_xludf.XLOOKUP(E348,Countries!$A$2:$A$72,Countries!$B$2:$B$72,"???"),"???"))</f>
        <v/>
      </c>
      <c r="G348" s="7">
        <f t="array" ref="G348">IF(E348="",0,IFERROR(XLOOKUP(E348,Countries!$A$2:$A$72,Countries!$E$2:$E$72,0),0))</f>
        <v>0</v>
      </c>
      <c r="H348" s="7">
        <f t="array" ref="H348">IF(E348="",0,IFERROR(XLOOKUP(E348,Medals!$B$2:$B$51,Medals!$D$2:$D$51,0),0))</f>
        <v>0</v>
      </c>
      <c r="I348" s="7">
        <f t="array" ref="I348">IF(E348="",0,IFERROR(XLOOKUP(E348,Medals!$B$2:$B$51,Medals!$E$2:$E$51,0),0))</f>
        <v>0</v>
      </c>
      <c r="J348" s="7">
        <f t="array" ref="J348">IF(E348="",0,IFERROR(XLOOKUP(E348,Medals!$B$2:$B$51,Medals!$F$2:$F$51,0),0))</f>
        <v>0</v>
      </c>
      <c r="K348" s="7">
        <f>H348*GoldPoints*G348</f>
        <v>0</v>
      </c>
      <c r="L348" s="7">
        <f>I348*SilverPoints*G348</f>
        <v>0</v>
      </c>
      <c r="M348" s="7">
        <f>J348*BronzePoints*G348</f>
        <v>0</v>
      </c>
      <c r="N348" s="7">
        <f t="shared" si="1"/>
        <v>0</v>
      </c>
      <c r="O348" s="7" t="b">
        <f t="array" ref="O348">IF(E348="",FALSE,IFERROR(AND(ISNUMBER(MATCH(E348,Countries!$A$2:$A$72,0)),XLOOKUP(E348,Countries!$A$2:$A$72,Countries!$I$2:$I$72,FALSE)),FALSE))</f>
        <v>0</v>
      </c>
      <c r="P348" s="7" t="b">
        <f t="array" ref="P348">IF(E348="",FALSE,IFERROR(XLOOKUP(E348,Countries!$A$2:$A$72,Countries!$G$2:$G$72,FALSE),FALSE))</f>
        <v>0</v>
      </c>
      <c r="Q348" s="7" t="str">
        <f t="shared" si="2"/>
        <v>⚪</v>
      </c>
    </row>
    <row r="349" ht="15.75" customHeight="1">
      <c r="A349" s="7" t="str">
        <f t="array" ref="A349">IFERROR(IF(INDEX(Entries!$C$2:$C$48,44)="","",INDEX(Entries!$Q$2:$Q$48,44)),"")</f>
        <v/>
      </c>
      <c r="B349" s="7" t="str">
        <f t="array" ref="B349">IF(A349="","",IFERROR(INDEX(Entries!$E$2:$E$48,44),""))</f>
        <v/>
      </c>
      <c r="C349" s="7" t="str">
        <f>IF(A349="","","Tier3_Pick1")</f>
        <v/>
      </c>
      <c r="D349" s="7" t="str">
        <f>IF(A349="","",3)</f>
        <v/>
      </c>
      <c r="E349" s="7" t="str">
        <f t="array" ref="E349">IF(A349="","",IFERROR(INDEX(Entries!$H$2:$H$48,44),""))</f>
        <v/>
      </c>
      <c r="F349" s="7" t="str">
        <f>IF(E349="","",IFERROR(_xludf.XLOOKUP(E349,Countries!$A$2:$A$72,Countries!$B$2:$B$72,"???"),"???"))</f>
        <v/>
      </c>
      <c r="G349" s="7">
        <f t="array" ref="G349">IF(E349="",0,IFERROR(XLOOKUP(E349,Countries!$A$2:$A$72,Countries!$E$2:$E$72,0),0))</f>
        <v>0</v>
      </c>
      <c r="H349" s="7">
        <f t="array" ref="H349">IF(E349="",0,IFERROR(XLOOKUP(E349,Medals!$B$2:$B$51,Medals!$D$2:$D$51,0),0))</f>
        <v>0</v>
      </c>
      <c r="I349" s="7">
        <f t="array" ref="I349">IF(E349="",0,IFERROR(XLOOKUP(E349,Medals!$B$2:$B$51,Medals!$E$2:$E$51,0),0))</f>
        <v>0</v>
      </c>
      <c r="J349" s="7">
        <f t="array" ref="J349">IF(E349="",0,IFERROR(XLOOKUP(E349,Medals!$B$2:$B$51,Medals!$F$2:$F$51,0),0))</f>
        <v>0</v>
      </c>
      <c r="K349" s="7">
        <f>H349*GoldPoints*G349</f>
        <v>0</v>
      </c>
      <c r="L349" s="7">
        <f>I349*SilverPoints*G349</f>
        <v>0</v>
      </c>
      <c r="M349" s="7">
        <f>J349*BronzePoints*G349</f>
        <v>0</v>
      </c>
      <c r="N349" s="7">
        <f t="shared" si="1"/>
        <v>0</v>
      </c>
      <c r="O349" s="7" t="b">
        <f t="array" ref="O349">IF(E349="",FALSE,IFERROR(AND(ISNUMBER(MATCH(E349,Countries!$A$2:$A$72,0)),XLOOKUP(E349,Countries!$A$2:$A$72,Countries!$I$2:$I$72,FALSE)),FALSE))</f>
        <v>0</v>
      </c>
      <c r="P349" s="7" t="b">
        <f t="array" ref="P349">IF(E349="",FALSE,IFERROR(XLOOKUP(E349,Countries!$A$2:$A$72,Countries!$G$2:$G$72,FALSE),FALSE))</f>
        <v>0</v>
      </c>
      <c r="Q349" s="7" t="str">
        <f t="shared" si="2"/>
        <v>⚪</v>
      </c>
    </row>
    <row r="350" ht="15.75" customHeight="1">
      <c r="A350" s="7" t="str">
        <f t="array" ref="A350">IFERROR(IF(INDEX(Entries!$C$2:$C$48,44)="","",INDEX(Entries!$Q$2:$Q$48,44)),"")</f>
        <v/>
      </c>
      <c r="B350" s="7" t="str">
        <f t="array" ref="B350">IF(A350="","",IFERROR(INDEX(Entries!$E$2:$E$48,44),""))</f>
        <v/>
      </c>
      <c r="C350" s="7" t="str">
        <f>IF(A350="","","Tier4_Pick1")</f>
        <v/>
      </c>
      <c r="D350" s="7" t="str">
        <f>IF(A350="","",4)</f>
        <v/>
      </c>
      <c r="E350" s="7" t="str">
        <f t="array" ref="E350">IF(A350="","",IFERROR(INDEX(Entries!$I$2:$I$48,44),""))</f>
        <v/>
      </c>
      <c r="F350" s="7" t="str">
        <f>IF(E350="","",IFERROR(_xludf.XLOOKUP(E350,Countries!$A$2:$A$72,Countries!$B$2:$B$72,"???"),"???"))</f>
        <v/>
      </c>
      <c r="G350" s="7">
        <f t="array" ref="G350">IF(E350="",0,IFERROR(XLOOKUP(E350,Countries!$A$2:$A$72,Countries!$E$2:$E$72,0),0))</f>
        <v>0</v>
      </c>
      <c r="H350" s="7">
        <f t="array" ref="H350">IF(E350="",0,IFERROR(XLOOKUP(E350,Medals!$B$2:$B$51,Medals!$D$2:$D$51,0),0))</f>
        <v>0</v>
      </c>
      <c r="I350" s="7">
        <f t="array" ref="I350">IF(E350="",0,IFERROR(XLOOKUP(E350,Medals!$B$2:$B$51,Medals!$E$2:$E$51,0),0))</f>
        <v>0</v>
      </c>
      <c r="J350" s="7">
        <f t="array" ref="J350">IF(E350="",0,IFERROR(XLOOKUP(E350,Medals!$B$2:$B$51,Medals!$F$2:$F$51,0),0))</f>
        <v>0</v>
      </c>
      <c r="K350" s="7">
        <f>H350*GoldPoints*G350</f>
        <v>0</v>
      </c>
      <c r="L350" s="7">
        <f>I350*SilverPoints*G350</f>
        <v>0</v>
      </c>
      <c r="M350" s="7">
        <f>J350*BronzePoints*G350</f>
        <v>0</v>
      </c>
      <c r="N350" s="7">
        <f t="shared" si="1"/>
        <v>0</v>
      </c>
      <c r="O350" s="7" t="b">
        <f t="array" ref="O350">IF(E350="",FALSE,IFERROR(AND(ISNUMBER(MATCH(E350,Countries!$A$2:$A$72,0)),XLOOKUP(E350,Countries!$A$2:$A$72,Countries!$I$2:$I$72,FALSE)),FALSE))</f>
        <v>0</v>
      </c>
      <c r="P350" s="7" t="b">
        <f t="array" ref="P350">IF(E350="",FALSE,IFERROR(XLOOKUP(E350,Countries!$A$2:$A$72,Countries!$G$2:$G$72,FALSE),FALSE))</f>
        <v>0</v>
      </c>
      <c r="Q350" s="7" t="str">
        <f t="shared" si="2"/>
        <v>⚪</v>
      </c>
    </row>
    <row r="351" ht="15.75" customHeight="1">
      <c r="A351" s="7" t="str">
        <f t="array" ref="A351">IFERROR(IF(INDEX(Entries!$C$2:$C$48,44)="","",INDEX(Entries!$Q$2:$Q$48,44)),"")</f>
        <v/>
      </c>
      <c r="B351" s="7" t="str">
        <f t="array" ref="B351">IF(A351="","",IFERROR(INDEX(Entries!$E$2:$E$48,44),""))</f>
        <v/>
      </c>
      <c r="C351" s="7" t="str">
        <f>IF(A351="","","Tier5_Pick1")</f>
        <v/>
      </c>
      <c r="D351" s="7" t="str">
        <f>IF(A351="","",5)</f>
        <v/>
      </c>
      <c r="E351" s="7" t="str">
        <f t="array" ref="E351">IF(A351="","",IFERROR(INDEX(Entries!$J$2:$J$48,44),""))</f>
        <v/>
      </c>
      <c r="F351" s="7" t="str">
        <f>IF(E351="","",IFERROR(_xludf.XLOOKUP(E351,Countries!$A$2:$A$72,Countries!$B$2:$B$72,"???"),"???"))</f>
        <v/>
      </c>
      <c r="G351" s="7">
        <f t="array" ref="G351">IF(E351="",0,IFERROR(XLOOKUP(E351,Countries!$A$2:$A$72,Countries!$E$2:$E$72,0),0))</f>
        <v>0</v>
      </c>
      <c r="H351" s="7">
        <f t="array" ref="H351">IF(E351="",0,IFERROR(XLOOKUP(E351,Medals!$B$2:$B$51,Medals!$D$2:$D$51,0),0))</f>
        <v>0</v>
      </c>
      <c r="I351" s="7">
        <f t="array" ref="I351">IF(E351="",0,IFERROR(XLOOKUP(E351,Medals!$B$2:$B$51,Medals!$E$2:$E$51,0),0))</f>
        <v>0</v>
      </c>
      <c r="J351" s="7">
        <f t="array" ref="J351">IF(E351="",0,IFERROR(XLOOKUP(E351,Medals!$B$2:$B$51,Medals!$F$2:$F$51,0),0))</f>
        <v>0</v>
      </c>
      <c r="K351" s="7">
        <f>H351*GoldPoints*G351</f>
        <v>0</v>
      </c>
      <c r="L351" s="7">
        <f>I351*SilverPoints*G351</f>
        <v>0</v>
      </c>
      <c r="M351" s="7">
        <f>J351*BronzePoints*G351</f>
        <v>0</v>
      </c>
      <c r="N351" s="7">
        <f t="shared" si="1"/>
        <v>0</v>
      </c>
      <c r="O351" s="7" t="b">
        <f t="array" ref="O351">IF(E351="",FALSE,IFERROR(AND(ISNUMBER(MATCH(E351,Countries!$A$2:$A$72,0)),XLOOKUP(E351,Countries!$A$2:$A$72,Countries!$I$2:$I$72,FALSE)),FALSE))</f>
        <v>0</v>
      </c>
      <c r="P351" s="7" t="b">
        <f t="array" ref="P351">IF(E351="",FALSE,IFERROR(XLOOKUP(E351,Countries!$A$2:$A$72,Countries!$G$2:$G$72,FALSE),FALSE))</f>
        <v>0</v>
      </c>
      <c r="Q351" s="7" t="str">
        <f t="shared" si="2"/>
        <v>⚪</v>
      </c>
    </row>
    <row r="352" ht="15.75" customHeight="1">
      <c r="A352" s="7" t="str">
        <f t="array" ref="A352">IFERROR(IF(INDEX(Entries!$C$2:$C$48,44)="","",INDEX(Entries!$Q$2:$Q$48,44)),"")</f>
        <v/>
      </c>
      <c r="B352" s="7" t="str">
        <f t="array" ref="B352">IF(A352="","",IFERROR(INDEX(Entries!$E$2:$E$48,44),""))</f>
        <v/>
      </c>
      <c r="C352" s="7" t="str">
        <f>IF(A352="","","Tier6_Pick1")</f>
        <v/>
      </c>
      <c r="D352" s="7" t="str">
        <f t="shared" ref="D352:D353" si="90">IF(A352="","",6)</f>
        <v/>
      </c>
      <c r="E352" s="7" t="str">
        <f t="array" ref="E352">IF(A352="","",IFERROR(INDEX(Entries!$O$2:$O$48,44),""))</f>
        <v/>
      </c>
      <c r="F352" s="7" t="str">
        <f>IF(E352="","",IFERROR(_xludf.XLOOKUP(E352,Countries!$A$2:$A$72,Countries!$B$2:$B$72,"???"),"???"))</f>
        <v/>
      </c>
      <c r="G352" s="7">
        <f t="array" ref="G352">IF(E352="",0,IFERROR(XLOOKUP(E352,Countries!$A$2:$A$72,Countries!$E$2:$E$72,0),0))</f>
        <v>0</v>
      </c>
      <c r="H352" s="7">
        <f t="array" ref="H352">IF(E352="",0,IFERROR(XLOOKUP(E352,Medals!$B$2:$B$51,Medals!$D$2:$D$51,0),0))</f>
        <v>0</v>
      </c>
      <c r="I352" s="7">
        <f t="array" ref="I352">IF(E352="",0,IFERROR(XLOOKUP(E352,Medals!$B$2:$B$51,Medals!$E$2:$E$51,0),0))</f>
        <v>0</v>
      </c>
      <c r="J352" s="7">
        <f t="array" ref="J352">IF(E352="",0,IFERROR(XLOOKUP(E352,Medals!$B$2:$B$51,Medals!$F$2:$F$51,0),0))</f>
        <v>0</v>
      </c>
      <c r="K352" s="7">
        <f>H352*GoldPoints*G352</f>
        <v>0</v>
      </c>
      <c r="L352" s="7">
        <f>I352*SilverPoints*G352</f>
        <v>0</v>
      </c>
      <c r="M352" s="7">
        <f>J352*BronzePoints*G352</f>
        <v>0</v>
      </c>
      <c r="N352" s="7">
        <f t="shared" si="1"/>
        <v>0</v>
      </c>
      <c r="O352" s="7" t="b">
        <f t="array" ref="O352">IF(E352="",FALSE,IFERROR(AND(ISNUMBER(MATCH(E352,Countries!$A$2:$A$72,0)),XLOOKUP(E352,Countries!$A$2:$A$72,Countries!$I$2:$I$72,FALSE)),FALSE))</f>
        <v>0</v>
      </c>
      <c r="P352" s="7" t="b">
        <f t="array" ref="P352">IF(E352="",FALSE,IFERROR(XLOOKUP(E352,Countries!$A$2:$A$72,Countries!$G$2:$G$72,FALSE),FALSE))</f>
        <v>0</v>
      </c>
      <c r="Q352" s="7" t="str">
        <f t="shared" si="2"/>
        <v>⚪</v>
      </c>
    </row>
    <row r="353" ht="15.75" customHeight="1">
      <c r="A353" s="7" t="str">
        <f t="array" ref="A353">IFERROR(IF(INDEX(Entries!$C$2:$C$48,44)="","",INDEX(Entries!$Q$2:$Q$48,44)),"")</f>
        <v/>
      </c>
      <c r="B353" s="7" t="str">
        <f t="array" ref="B353">IF(A353="","",IFERROR(INDEX(Entries!$E$2:$E$48,44),""))</f>
        <v/>
      </c>
      <c r="C353" s="7" t="str">
        <f>IF(A353="","","Tier6_Pick2")</f>
        <v/>
      </c>
      <c r="D353" s="7" t="str">
        <f t="shared" si="90"/>
        <v/>
      </c>
      <c r="E353" s="7" t="str">
        <f t="array" ref="E353">IF(A353="","",IFERROR(INDEX(Entries!$P$2:$P$48,44),""))</f>
        <v/>
      </c>
      <c r="F353" s="7" t="str">
        <f>IF(E353="","",IFERROR(_xludf.XLOOKUP(E353,Countries!$A$2:$A$72,Countries!$B$2:$B$72,"???"),"???"))</f>
        <v/>
      </c>
      <c r="G353" s="7">
        <f t="array" ref="G353">IF(E353="",0,IFERROR(XLOOKUP(E353,Countries!$A$2:$A$72,Countries!$E$2:$E$72,0),0))</f>
        <v>0</v>
      </c>
      <c r="H353" s="7">
        <f t="array" ref="H353">IF(E353="",0,IFERROR(XLOOKUP(E353,Medals!$B$2:$B$51,Medals!$D$2:$D$51,0),0))</f>
        <v>0</v>
      </c>
      <c r="I353" s="7">
        <f t="array" ref="I353">IF(E353="",0,IFERROR(XLOOKUP(E353,Medals!$B$2:$B$51,Medals!$E$2:$E$51,0),0))</f>
        <v>0</v>
      </c>
      <c r="J353" s="7">
        <f t="array" ref="J353">IF(E353="",0,IFERROR(XLOOKUP(E353,Medals!$B$2:$B$51,Medals!$F$2:$F$51,0),0))</f>
        <v>0</v>
      </c>
      <c r="K353" s="7">
        <f>H353*GoldPoints*G353</f>
        <v>0</v>
      </c>
      <c r="L353" s="7">
        <f>I353*SilverPoints*G353</f>
        <v>0</v>
      </c>
      <c r="M353" s="7">
        <f>J353*BronzePoints*G353</f>
        <v>0</v>
      </c>
      <c r="N353" s="7">
        <f t="shared" si="1"/>
        <v>0</v>
      </c>
      <c r="O353" s="7" t="b">
        <f t="array" ref="O353">IF(E353="",FALSE,IFERROR(AND(ISNUMBER(MATCH(E353,Countries!$A$2:$A$72,0)),XLOOKUP(E353,Countries!$A$2:$A$72,Countries!$I$2:$I$72,FALSE)),FALSE))</f>
        <v>0</v>
      </c>
      <c r="P353" s="7" t="b">
        <f t="array" ref="P353">IF(E353="",FALSE,IFERROR(XLOOKUP(E353,Countries!$A$2:$A$72,Countries!$G$2:$G$72,FALSE),FALSE))</f>
        <v>0</v>
      </c>
      <c r="Q353" s="7" t="str">
        <f t="shared" si="2"/>
        <v>⚪</v>
      </c>
    </row>
    <row r="354" ht="15.75" customHeight="1">
      <c r="A354" s="7" t="str">
        <f t="array" ref="A354">IFERROR(IF(INDEX(Entries!$C$2:$C$48,45)="","",INDEX(Entries!$Q$2:$Q$48,45)),"")</f>
        <v/>
      </c>
      <c r="B354" s="7" t="str">
        <f t="array" ref="B354">IF(A354="","",IFERROR(INDEX(Entries!$E$2:$E$48,45),""))</f>
        <v/>
      </c>
      <c r="C354" s="7" t="str">
        <f>IF(A354="","","Tier1_Pick1")</f>
        <v/>
      </c>
      <c r="D354" s="7" t="str">
        <f>IF(A354="","",1)</f>
        <v/>
      </c>
      <c r="E354" s="7" t="str">
        <f t="array" ref="E354">IF(A354="","",IFERROR(INDEX(Entries!$F$2:$F$48,45),""))</f>
        <v/>
      </c>
      <c r="F354" s="7" t="str">
        <f>IF(E354="","",IFERROR(_xludf.XLOOKUP(E354,Countries!$A$2:$A$72,Countries!$B$2:$B$72,"???"),"???"))</f>
        <v/>
      </c>
      <c r="G354" s="7">
        <f t="array" ref="G354">IF(E354="",0,IFERROR(XLOOKUP(E354,Countries!$A$2:$A$72,Countries!$E$2:$E$72,0),0))</f>
        <v>0</v>
      </c>
      <c r="H354" s="7">
        <f t="array" ref="H354">IF(E354="",0,IFERROR(XLOOKUP(E354,Medals!$B$2:$B$51,Medals!$D$2:$D$51,0),0))</f>
        <v>0</v>
      </c>
      <c r="I354" s="7">
        <f t="array" ref="I354">IF(E354="",0,IFERROR(XLOOKUP(E354,Medals!$B$2:$B$51,Medals!$E$2:$E$51,0),0))</f>
        <v>0</v>
      </c>
      <c r="J354" s="7">
        <f t="array" ref="J354">IF(E354="",0,IFERROR(XLOOKUP(E354,Medals!$B$2:$B$51,Medals!$F$2:$F$51,0),0))</f>
        <v>0</v>
      </c>
      <c r="K354" s="7">
        <f>H354*GoldPoints*G354</f>
        <v>0</v>
      </c>
      <c r="L354" s="7">
        <f>I354*SilverPoints*G354</f>
        <v>0</v>
      </c>
      <c r="M354" s="7">
        <f>J354*BronzePoints*G354</f>
        <v>0</v>
      </c>
      <c r="N354" s="7">
        <f t="shared" si="1"/>
        <v>0</v>
      </c>
      <c r="O354" s="7" t="b">
        <f t="array" ref="O354">IF(E354="",FALSE,IFERROR(AND(ISNUMBER(MATCH(E354,Countries!$A$2:$A$72,0)),XLOOKUP(E354,Countries!$A$2:$A$72,Countries!$I$2:$I$72,FALSE)),FALSE))</f>
        <v>0</v>
      </c>
      <c r="P354" s="7" t="b">
        <f t="array" ref="P354">IF(E354="",FALSE,IFERROR(XLOOKUP(E354,Countries!$A$2:$A$72,Countries!$G$2:$G$72,FALSE),FALSE))</f>
        <v>0</v>
      </c>
      <c r="Q354" s="7" t="str">
        <f t="shared" si="2"/>
        <v>⚪</v>
      </c>
    </row>
    <row r="355" ht="15.75" customHeight="1">
      <c r="A355" s="7" t="str">
        <f t="array" ref="A355">IFERROR(IF(INDEX(Entries!$C$2:$C$48,45)="","",INDEX(Entries!$Q$2:$Q$48,45)),"")</f>
        <v/>
      </c>
      <c r="B355" s="7" t="str">
        <f t="array" ref="B355">IF(A355="","",IFERROR(INDEX(Entries!$E$2:$E$48,45),""))</f>
        <v/>
      </c>
      <c r="C355" s="7" t="str">
        <f>IF(A355="","","Tier2_Pick1")</f>
        <v/>
      </c>
      <c r="D355" s="7" t="str">
        <f t="shared" ref="D355:D356" si="91">IF(A355="","",2)</f>
        <v/>
      </c>
      <c r="E355" s="7" t="str">
        <f t="array" ref="E355">IF(A355="","",IFERROR(INDEX(Entries!$M$2:$M$48,45),""))</f>
        <v/>
      </c>
      <c r="F355" s="7" t="str">
        <f>IF(E355="","",IFERROR(_xludf.XLOOKUP(E355,Countries!$A$2:$A$72,Countries!$B$2:$B$72,"???"),"???"))</f>
        <v/>
      </c>
      <c r="G355" s="7">
        <f t="array" ref="G355">IF(E355="",0,IFERROR(XLOOKUP(E355,Countries!$A$2:$A$72,Countries!$E$2:$E$72,0),0))</f>
        <v>0</v>
      </c>
      <c r="H355" s="7">
        <f t="array" ref="H355">IF(E355="",0,IFERROR(XLOOKUP(E355,Medals!$B$2:$B$51,Medals!$D$2:$D$51,0),0))</f>
        <v>0</v>
      </c>
      <c r="I355" s="7">
        <f t="array" ref="I355">IF(E355="",0,IFERROR(XLOOKUP(E355,Medals!$B$2:$B$51,Medals!$E$2:$E$51,0),0))</f>
        <v>0</v>
      </c>
      <c r="J355" s="7">
        <f t="array" ref="J355">IF(E355="",0,IFERROR(XLOOKUP(E355,Medals!$B$2:$B$51,Medals!$F$2:$F$51,0),0))</f>
        <v>0</v>
      </c>
      <c r="K355" s="7">
        <f>H355*GoldPoints*G355</f>
        <v>0</v>
      </c>
      <c r="L355" s="7">
        <f>I355*SilverPoints*G355</f>
        <v>0</v>
      </c>
      <c r="M355" s="7">
        <f>J355*BronzePoints*G355</f>
        <v>0</v>
      </c>
      <c r="N355" s="7">
        <f t="shared" si="1"/>
        <v>0</v>
      </c>
      <c r="O355" s="7" t="b">
        <f t="array" ref="O355">IF(E355="",FALSE,IFERROR(AND(ISNUMBER(MATCH(E355,Countries!$A$2:$A$72,0)),XLOOKUP(E355,Countries!$A$2:$A$72,Countries!$I$2:$I$72,FALSE)),FALSE))</f>
        <v>0</v>
      </c>
      <c r="P355" s="7" t="b">
        <f t="array" ref="P355">IF(E355="",FALSE,IFERROR(XLOOKUP(E355,Countries!$A$2:$A$72,Countries!$G$2:$G$72,FALSE),FALSE))</f>
        <v>0</v>
      </c>
      <c r="Q355" s="7" t="str">
        <f t="shared" si="2"/>
        <v>⚪</v>
      </c>
    </row>
    <row r="356" ht="15.75" customHeight="1">
      <c r="A356" s="7" t="str">
        <f t="array" ref="A356">IFERROR(IF(INDEX(Entries!$C$2:$C$48,45)="","",INDEX(Entries!$Q$2:$Q$48,45)),"")</f>
        <v/>
      </c>
      <c r="B356" s="7" t="str">
        <f t="array" ref="B356">IF(A356="","",IFERROR(INDEX(Entries!$E$2:$E$48,45),""))</f>
        <v/>
      </c>
      <c r="C356" s="7" t="str">
        <f>IF(A356="","","Tier2_Pick2")</f>
        <v/>
      </c>
      <c r="D356" s="7" t="str">
        <f t="shared" si="91"/>
        <v/>
      </c>
      <c r="E356" s="7" t="str">
        <f t="array" ref="E356">IF(A356="","",IFERROR(INDEX(Entries!$N$2:$N$48,45),""))</f>
        <v/>
      </c>
      <c r="F356" s="7" t="str">
        <f>IF(E356="","",IFERROR(_xludf.XLOOKUP(E356,Countries!$A$2:$A$72,Countries!$B$2:$B$72,"???"),"???"))</f>
        <v/>
      </c>
      <c r="G356" s="7">
        <f t="array" ref="G356">IF(E356="",0,IFERROR(XLOOKUP(E356,Countries!$A$2:$A$72,Countries!$E$2:$E$72,0),0))</f>
        <v>0</v>
      </c>
      <c r="H356" s="7">
        <f t="array" ref="H356">IF(E356="",0,IFERROR(XLOOKUP(E356,Medals!$B$2:$B$51,Medals!$D$2:$D$51,0),0))</f>
        <v>0</v>
      </c>
      <c r="I356" s="7">
        <f t="array" ref="I356">IF(E356="",0,IFERROR(XLOOKUP(E356,Medals!$B$2:$B$51,Medals!$E$2:$E$51,0),0))</f>
        <v>0</v>
      </c>
      <c r="J356" s="7">
        <f t="array" ref="J356">IF(E356="",0,IFERROR(XLOOKUP(E356,Medals!$B$2:$B$51,Medals!$F$2:$F$51,0),0))</f>
        <v>0</v>
      </c>
      <c r="K356" s="7">
        <f>H356*GoldPoints*G356</f>
        <v>0</v>
      </c>
      <c r="L356" s="7">
        <f>I356*SilverPoints*G356</f>
        <v>0</v>
      </c>
      <c r="M356" s="7">
        <f>J356*BronzePoints*G356</f>
        <v>0</v>
      </c>
      <c r="N356" s="7">
        <f t="shared" si="1"/>
        <v>0</v>
      </c>
      <c r="O356" s="7" t="b">
        <f t="array" ref="O356">IF(E356="",FALSE,IFERROR(AND(ISNUMBER(MATCH(E356,Countries!$A$2:$A$72,0)),XLOOKUP(E356,Countries!$A$2:$A$72,Countries!$I$2:$I$72,FALSE)),FALSE))</f>
        <v>0</v>
      </c>
      <c r="P356" s="7" t="b">
        <f t="array" ref="P356">IF(E356="",FALSE,IFERROR(XLOOKUP(E356,Countries!$A$2:$A$72,Countries!$G$2:$G$72,FALSE),FALSE))</f>
        <v>0</v>
      </c>
      <c r="Q356" s="7" t="str">
        <f t="shared" si="2"/>
        <v>⚪</v>
      </c>
    </row>
    <row r="357" ht="15.75" customHeight="1">
      <c r="A357" s="7" t="str">
        <f t="array" ref="A357">IFERROR(IF(INDEX(Entries!$C$2:$C$48,45)="","",INDEX(Entries!$Q$2:$Q$48,45)),"")</f>
        <v/>
      </c>
      <c r="B357" s="7" t="str">
        <f t="array" ref="B357">IF(A357="","",IFERROR(INDEX(Entries!$E$2:$E$48,45),""))</f>
        <v/>
      </c>
      <c r="C357" s="7" t="str">
        <f>IF(A357="","","Tier3_Pick1")</f>
        <v/>
      </c>
      <c r="D357" s="7" t="str">
        <f>IF(A357="","",3)</f>
        <v/>
      </c>
      <c r="E357" s="7" t="str">
        <f t="array" ref="E357">IF(A357="","",IFERROR(INDEX(Entries!$H$2:$H$48,45),""))</f>
        <v/>
      </c>
      <c r="F357" s="7" t="str">
        <f>IF(E357="","",IFERROR(_xludf.XLOOKUP(E357,Countries!$A$2:$A$72,Countries!$B$2:$B$72,"???"),"???"))</f>
        <v/>
      </c>
      <c r="G357" s="7">
        <f t="array" ref="G357">IF(E357="",0,IFERROR(XLOOKUP(E357,Countries!$A$2:$A$72,Countries!$E$2:$E$72,0),0))</f>
        <v>0</v>
      </c>
      <c r="H357" s="7">
        <f t="array" ref="H357">IF(E357="",0,IFERROR(XLOOKUP(E357,Medals!$B$2:$B$51,Medals!$D$2:$D$51,0),0))</f>
        <v>0</v>
      </c>
      <c r="I357" s="7">
        <f t="array" ref="I357">IF(E357="",0,IFERROR(XLOOKUP(E357,Medals!$B$2:$B$51,Medals!$E$2:$E$51,0),0))</f>
        <v>0</v>
      </c>
      <c r="J357" s="7">
        <f t="array" ref="J357">IF(E357="",0,IFERROR(XLOOKUP(E357,Medals!$B$2:$B$51,Medals!$F$2:$F$51,0),0))</f>
        <v>0</v>
      </c>
      <c r="K357" s="7">
        <f>H357*GoldPoints*G357</f>
        <v>0</v>
      </c>
      <c r="L357" s="7">
        <f>I357*SilverPoints*G357</f>
        <v>0</v>
      </c>
      <c r="M357" s="7">
        <f>J357*BronzePoints*G357</f>
        <v>0</v>
      </c>
      <c r="N357" s="7">
        <f t="shared" si="1"/>
        <v>0</v>
      </c>
      <c r="O357" s="7" t="b">
        <f t="array" ref="O357">IF(E357="",FALSE,IFERROR(AND(ISNUMBER(MATCH(E357,Countries!$A$2:$A$72,0)),XLOOKUP(E357,Countries!$A$2:$A$72,Countries!$I$2:$I$72,FALSE)),FALSE))</f>
        <v>0</v>
      </c>
      <c r="P357" s="7" t="b">
        <f t="array" ref="P357">IF(E357="",FALSE,IFERROR(XLOOKUP(E357,Countries!$A$2:$A$72,Countries!$G$2:$G$72,FALSE),FALSE))</f>
        <v>0</v>
      </c>
      <c r="Q357" s="7" t="str">
        <f t="shared" si="2"/>
        <v>⚪</v>
      </c>
    </row>
    <row r="358" ht="15.75" customHeight="1">
      <c r="A358" s="7" t="str">
        <f t="array" ref="A358">IFERROR(IF(INDEX(Entries!$C$2:$C$48,45)="","",INDEX(Entries!$Q$2:$Q$48,45)),"")</f>
        <v/>
      </c>
      <c r="B358" s="7" t="str">
        <f t="array" ref="B358">IF(A358="","",IFERROR(INDEX(Entries!$E$2:$E$48,45),""))</f>
        <v/>
      </c>
      <c r="C358" s="7" t="str">
        <f>IF(A358="","","Tier4_Pick1")</f>
        <v/>
      </c>
      <c r="D358" s="7" t="str">
        <f>IF(A358="","",4)</f>
        <v/>
      </c>
      <c r="E358" s="7" t="str">
        <f t="array" ref="E358">IF(A358="","",IFERROR(INDEX(Entries!$I$2:$I$48,45),""))</f>
        <v/>
      </c>
      <c r="F358" s="7" t="str">
        <f>IF(E358="","",IFERROR(_xludf.XLOOKUP(E358,Countries!$A$2:$A$72,Countries!$B$2:$B$72,"???"),"???"))</f>
        <v/>
      </c>
      <c r="G358" s="7">
        <f t="array" ref="G358">IF(E358="",0,IFERROR(XLOOKUP(E358,Countries!$A$2:$A$72,Countries!$E$2:$E$72,0),0))</f>
        <v>0</v>
      </c>
      <c r="H358" s="7">
        <f t="array" ref="H358">IF(E358="",0,IFERROR(XLOOKUP(E358,Medals!$B$2:$B$51,Medals!$D$2:$D$51,0),0))</f>
        <v>0</v>
      </c>
      <c r="I358" s="7">
        <f t="array" ref="I358">IF(E358="",0,IFERROR(XLOOKUP(E358,Medals!$B$2:$B$51,Medals!$E$2:$E$51,0),0))</f>
        <v>0</v>
      </c>
      <c r="J358" s="7">
        <f t="array" ref="J358">IF(E358="",0,IFERROR(XLOOKUP(E358,Medals!$B$2:$B$51,Medals!$F$2:$F$51,0),0))</f>
        <v>0</v>
      </c>
      <c r="K358" s="7">
        <f>H358*GoldPoints*G358</f>
        <v>0</v>
      </c>
      <c r="L358" s="7">
        <f>I358*SilverPoints*G358</f>
        <v>0</v>
      </c>
      <c r="M358" s="7">
        <f>J358*BronzePoints*G358</f>
        <v>0</v>
      </c>
      <c r="N358" s="7">
        <f t="shared" si="1"/>
        <v>0</v>
      </c>
      <c r="O358" s="7" t="b">
        <f t="array" ref="O358">IF(E358="",FALSE,IFERROR(AND(ISNUMBER(MATCH(E358,Countries!$A$2:$A$72,0)),XLOOKUP(E358,Countries!$A$2:$A$72,Countries!$I$2:$I$72,FALSE)),FALSE))</f>
        <v>0</v>
      </c>
      <c r="P358" s="7" t="b">
        <f t="array" ref="P358">IF(E358="",FALSE,IFERROR(XLOOKUP(E358,Countries!$A$2:$A$72,Countries!$G$2:$G$72,FALSE),FALSE))</f>
        <v>0</v>
      </c>
      <c r="Q358" s="7" t="str">
        <f t="shared" si="2"/>
        <v>⚪</v>
      </c>
    </row>
    <row r="359" ht="15.75" customHeight="1">
      <c r="A359" s="7" t="str">
        <f t="array" ref="A359">IFERROR(IF(INDEX(Entries!$C$2:$C$48,45)="","",INDEX(Entries!$Q$2:$Q$48,45)),"")</f>
        <v/>
      </c>
      <c r="B359" s="7" t="str">
        <f t="array" ref="B359">IF(A359="","",IFERROR(INDEX(Entries!$E$2:$E$48,45),""))</f>
        <v/>
      </c>
      <c r="C359" s="7" t="str">
        <f>IF(A359="","","Tier5_Pick1")</f>
        <v/>
      </c>
      <c r="D359" s="7" t="str">
        <f>IF(A359="","",5)</f>
        <v/>
      </c>
      <c r="E359" s="7" t="str">
        <f t="array" ref="E359">IF(A359="","",IFERROR(INDEX(Entries!$J$2:$J$48,45),""))</f>
        <v/>
      </c>
      <c r="F359" s="7" t="str">
        <f>IF(E359="","",IFERROR(_xludf.XLOOKUP(E359,Countries!$A$2:$A$72,Countries!$B$2:$B$72,"???"),"???"))</f>
        <v/>
      </c>
      <c r="G359" s="7">
        <f t="array" ref="G359">IF(E359="",0,IFERROR(XLOOKUP(E359,Countries!$A$2:$A$72,Countries!$E$2:$E$72,0),0))</f>
        <v>0</v>
      </c>
      <c r="H359" s="7">
        <f t="array" ref="H359">IF(E359="",0,IFERROR(XLOOKUP(E359,Medals!$B$2:$B$51,Medals!$D$2:$D$51,0),0))</f>
        <v>0</v>
      </c>
      <c r="I359" s="7">
        <f t="array" ref="I359">IF(E359="",0,IFERROR(XLOOKUP(E359,Medals!$B$2:$B$51,Medals!$E$2:$E$51,0),0))</f>
        <v>0</v>
      </c>
      <c r="J359" s="7">
        <f t="array" ref="J359">IF(E359="",0,IFERROR(XLOOKUP(E359,Medals!$B$2:$B$51,Medals!$F$2:$F$51,0),0))</f>
        <v>0</v>
      </c>
      <c r="K359" s="7">
        <f>H359*GoldPoints*G359</f>
        <v>0</v>
      </c>
      <c r="L359" s="7">
        <f>I359*SilverPoints*G359</f>
        <v>0</v>
      </c>
      <c r="M359" s="7">
        <f>J359*BronzePoints*G359</f>
        <v>0</v>
      </c>
      <c r="N359" s="7">
        <f t="shared" si="1"/>
        <v>0</v>
      </c>
      <c r="O359" s="7" t="b">
        <f t="array" ref="O359">IF(E359="",FALSE,IFERROR(AND(ISNUMBER(MATCH(E359,Countries!$A$2:$A$72,0)),XLOOKUP(E359,Countries!$A$2:$A$72,Countries!$I$2:$I$72,FALSE)),FALSE))</f>
        <v>0</v>
      </c>
      <c r="P359" s="7" t="b">
        <f t="array" ref="P359">IF(E359="",FALSE,IFERROR(XLOOKUP(E359,Countries!$A$2:$A$72,Countries!$G$2:$G$72,FALSE),FALSE))</f>
        <v>0</v>
      </c>
      <c r="Q359" s="7" t="str">
        <f t="shared" si="2"/>
        <v>⚪</v>
      </c>
    </row>
    <row r="360" ht="15.75" customHeight="1">
      <c r="A360" s="7" t="str">
        <f t="array" ref="A360">IFERROR(IF(INDEX(Entries!$C$2:$C$48,45)="","",INDEX(Entries!$Q$2:$Q$48,45)),"")</f>
        <v/>
      </c>
      <c r="B360" s="7" t="str">
        <f t="array" ref="B360">IF(A360="","",IFERROR(INDEX(Entries!$E$2:$E$48,45),""))</f>
        <v/>
      </c>
      <c r="C360" s="7" t="str">
        <f>IF(A360="","","Tier6_Pick1")</f>
        <v/>
      </c>
      <c r="D360" s="7" t="str">
        <f t="shared" ref="D360:D361" si="92">IF(A360="","",6)</f>
        <v/>
      </c>
      <c r="E360" s="7" t="str">
        <f t="array" ref="E360">IF(A360="","",IFERROR(INDEX(Entries!$O$2:$O$48,45),""))</f>
        <v/>
      </c>
      <c r="F360" s="7" t="str">
        <f>IF(E360="","",IFERROR(_xludf.XLOOKUP(E360,Countries!$A$2:$A$72,Countries!$B$2:$B$72,"???"),"???"))</f>
        <v/>
      </c>
      <c r="G360" s="7">
        <f t="array" ref="G360">IF(E360="",0,IFERROR(XLOOKUP(E360,Countries!$A$2:$A$72,Countries!$E$2:$E$72,0),0))</f>
        <v>0</v>
      </c>
      <c r="H360" s="7">
        <f t="array" ref="H360">IF(E360="",0,IFERROR(XLOOKUP(E360,Medals!$B$2:$B$51,Medals!$D$2:$D$51,0),0))</f>
        <v>0</v>
      </c>
      <c r="I360" s="7">
        <f t="array" ref="I360">IF(E360="",0,IFERROR(XLOOKUP(E360,Medals!$B$2:$B$51,Medals!$E$2:$E$51,0),0))</f>
        <v>0</v>
      </c>
      <c r="J360" s="7">
        <f t="array" ref="J360">IF(E360="",0,IFERROR(XLOOKUP(E360,Medals!$B$2:$B$51,Medals!$F$2:$F$51,0),0))</f>
        <v>0</v>
      </c>
      <c r="K360" s="7">
        <f>H360*GoldPoints*G360</f>
        <v>0</v>
      </c>
      <c r="L360" s="7">
        <f>I360*SilverPoints*G360</f>
        <v>0</v>
      </c>
      <c r="M360" s="7">
        <f>J360*BronzePoints*G360</f>
        <v>0</v>
      </c>
      <c r="N360" s="7">
        <f t="shared" si="1"/>
        <v>0</v>
      </c>
      <c r="O360" s="7" t="b">
        <f t="array" ref="O360">IF(E360="",FALSE,IFERROR(AND(ISNUMBER(MATCH(E360,Countries!$A$2:$A$72,0)),XLOOKUP(E360,Countries!$A$2:$A$72,Countries!$I$2:$I$72,FALSE)),FALSE))</f>
        <v>0</v>
      </c>
      <c r="P360" s="7" t="b">
        <f t="array" ref="P360">IF(E360="",FALSE,IFERROR(XLOOKUP(E360,Countries!$A$2:$A$72,Countries!$G$2:$G$72,FALSE),FALSE))</f>
        <v>0</v>
      </c>
      <c r="Q360" s="7" t="str">
        <f t="shared" si="2"/>
        <v>⚪</v>
      </c>
    </row>
    <row r="361" ht="15.75" customHeight="1">
      <c r="A361" s="7" t="str">
        <f t="array" ref="A361">IFERROR(IF(INDEX(Entries!$C$2:$C$48,45)="","",INDEX(Entries!$Q$2:$Q$48,45)),"")</f>
        <v/>
      </c>
      <c r="B361" s="7" t="str">
        <f t="array" ref="B361">IF(A361="","",IFERROR(INDEX(Entries!$E$2:$E$48,45),""))</f>
        <v/>
      </c>
      <c r="C361" s="7" t="str">
        <f>IF(A361="","","Tier6_Pick2")</f>
        <v/>
      </c>
      <c r="D361" s="7" t="str">
        <f t="shared" si="92"/>
        <v/>
      </c>
      <c r="E361" s="7" t="str">
        <f t="array" ref="E361">IF(A361="","",IFERROR(INDEX(Entries!$P$2:$P$48,45),""))</f>
        <v/>
      </c>
      <c r="F361" s="7" t="str">
        <f>IF(E361="","",IFERROR(_xludf.XLOOKUP(E361,Countries!$A$2:$A$72,Countries!$B$2:$B$72,"???"),"???"))</f>
        <v/>
      </c>
      <c r="G361" s="7">
        <f t="array" ref="G361">IF(E361="",0,IFERROR(XLOOKUP(E361,Countries!$A$2:$A$72,Countries!$E$2:$E$72,0),0))</f>
        <v>0</v>
      </c>
      <c r="H361" s="7">
        <f t="array" ref="H361">IF(E361="",0,IFERROR(XLOOKUP(E361,Medals!$B$2:$B$51,Medals!$D$2:$D$51,0),0))</f>
        <v>0</v>
      </c>
      <c r="I361" s="7">
        <f t="array" ref="I361">IF(E361="",0,IFERROR(XLOOKUP(E361,Medals!$B$2:$B$51,Medals!$E$2:$E$51,0),0))</f>
        <v>0</v>
      </c>
      <c r="J361" s="7">
        <f t="array" ref="J361">IF(E361="",0,IFERROR(XLOOKUP(E361,Medals!$B$2:$B$51,Medals!$F$2:$F$51,0),0))</f>
        <v>0</v>
      </c>
      <c r="K361" s="7">
        <f>H361*GoldPoints*G361</f>
        <v>0</v>
      </c>
      <c r="L361" s="7">
        <f>I361*SilverPoints*G361</f>
        <v>0</v>
      </c>
      <c r="M361" s="7">
        <f>J361*BronzePoints*G361</f>
        <v>0</v>
      </c>
      <c r="N361" s="7">
        <f t="shared" si="1"/>
        <v>0</v>
      </c>
      <c r="O361" s="7" t="b">
        <f t="array" ref="O361">IF(E361="",FALSE,IFERROR(AND(ISNUMBER(MATCH(E361,Countries!$A$2:$A$72,0)),XLOOKUP(E361,Countries!$A$2:$A$72,Countries!$I$2:$I$72,FALSE)),FALSE))</f>
        <v>0</v>
      </c>
      <c r="P361" s="7" t="b">
        <f t="array" ref="P361">IF(E361="",FALSE,IFERROR(XLOOKUP(E361,Countries!$A$2:$A$72,Countries!$G$2:$G$72,FALSE),FALSE))</f>
        <v>0</v>
      </c>
      <c r="Q361" s="7" t="str">
        <f t="shared" si="2"/>
        <v>⚪</v>
      </c>
    </row>
    <row r="362" ht="15.75" customHeight="1">
      <c r="A362" s="7" t="str">
        <f t="array" ref="A362">IFERROR(IF(INDEX(Entries!$C$2:$C$48,46)="","",INDEX(Entries!$Q$2:$Q$48,46)),"")</f>
        <v/>
      </c>
      <c r="B362" s="7" t="str">
        <f t="array" ref="B362">IF(A362="","",IFERROR(INDEX(Entries!$E$2:$E$48,46),""))</f>
        <v/>
      </c>
      <c r="C362" s="7" t="str">
        <f>IF(A362="","","Tier1_Pick1")</f>
        <v/>
      </c>
      <c r="D362" s="7" t="str">
        <f>IF(A362="","",1)</f>
        <v/>
      </c>
      <c r="E362" s="7" t="str">
        <f t="array" ref="E362">IF(A362="","",IFERROR(INDEX(Entries!$F$2:$F$48,46),""))</f>
        <v/>
      </c>
      <c r="F362" s="7" t="str">
        <f>IF(E362="","",IFERROR(_xludf.XLOOKUP(E362,Countries!$A$2:$A$72,Countries!$B$2:$B$72,"???"),"???"))</f>
        <v/>
      </c>
      <c r="G362" s="7">
        <f t="array" ref="G362">IF(E362="",0,IFERROR(XLOOKUP(E362,Countries!$A$2:$A$72,Countries!$E$2:$E$72,0),0))</f>
        <v>0</v>
      </c>
      <c r="H362" s="7">
        <f t="array" ref="H362">IF(E362="",0,IFERROR(XLOOKUP(E362,Medals!$B$2:$B$51,Medals!$D$2:$D$51,0),0))</f>
        <v>0</v>
      </c>
      <c r="I362" s="7">
        <f t="array" ref="I362">IF(E362="",0,IFERROR(XLOOKUP(E362,Medals!$B$2:$B$51,Medals!$E$2:$E$51,0),0))</f>
        <v>0</v>
      </c>
      <c r="J362" s="7">
        <f t="array" ref="J362">IF(E362="",0,IFERROR(XLOOKUP(E362,Medals!$B$2:$B$51,Medals!$F$2:$F$51,0),0))</f>
        <v>0</v>
      </c>
      <c r="K362" s="7">
        <f>H362*GoldPoints*G362</f>
        <v>0</v>
      </c>
      <c r="L362" s="7">
        <f>I362*SilverPoints*G362</f>
        <v>0</v>
      </c>
      <c r="M362" s="7">
        <f>J362*BronzePoints*G362</f>
        <v>0</v>
      </c>
      <c r="N362" s="7">
        <f t="shared" si="1"/>
        <v>0</v>
      </c>
      <c r="O362" s="7" t="b">
        <f t="array" ref="O362">IF(E362="",FALSE,IFERROR(AND(ISNUMBER(MATCH(E362,Countries!$A$2:$A$72,0)),XLOOKUP(E362,Countries!$A$2:$A$72,Countries!$I$2:$I$72,FALSE)),FALSE))</f>
        <v>0</v>
      </c>
      <c r="P362" s="7" t="b">
        <f t="array" ref="P362">IF(E362="",FALSE,IFERROR(XLOOKUP(E362,Countries!$A$2:$A$72,Countries!$G$2:$G$72,FALSE),FALSE))</f>
        <v>0</v>
      </c>
      <c r="Q362" s="7" t="str">
        <f t="shared" si="2"/>
        <v>⚪</v>
      </c>
    </row>
    <row r="363" ht="15.75" customHeight="1">
      <c r="A363" s="7" t="str">
        <f t="array" ref="A363">IFERROR(IF(INDEX(Entries!$C$2:$C$48,46)="","",INDEX(Entries!$Q$2:$Q$48,46)),"")</f>
        <v/>
      </c>
      <c r="B363" s="7" t="str">
        <f t="array" ref="B363">IF(A363="","",IFERROR(INDEX(Entries!$E$2:$E$48,46),""))</f>
        <v/>
      </c>
      <c r="C363" s="7" t="str">
        <f>IF(A363="","","Tier2_Pick1")</f>
        <v/>
      </c>
      <c r="D363" s="7" t="str">
        <f t="shared" ref="D363:D364" si="93">IF(A363="","",2)</f>
        <v/>
      </c>
      <c r="E363" s="7" t="str">
        <f t="array" ref="E363">IF(A363="","",IFERROR(INDEX(Entries!$M$2:$M$48,46),""))</f>
        <v/>
      </c>
      <c r="F363" s="7" t="str">
        <f>IF(E363="","",IFERROR(_xludf.XLOOKUP(E363,Countries!$A$2:$A$72,Countries!$B$2:$B$72,"???"),"???"))</f>
        <v/>
      </c>
      <c r="G363" s="7">
        <f t="array" ref="G363">IF(E363="",0,IFERROR(XLOOKUP(E363,Countries!$A$2:$A$72,Countries!$E$2:$E$72,0),0))</f>
        <v>0</v>
      </c>
      <c r="H363" s="7">
        <f t="array" ref="H363">IF(E363="",0,IFERROR(XLOOKUP(E363,Medals!$B$2:$B$51,Medals!$D$2:$D$51,0),0))</f>
        <v>0</v>
      </c>
      <c r="I363" s="7">
        <f t="array" ref="I363">IF(E363="",0,IFERROR(XLOOKUP(E363,Medals!$B$2:$B$51,Medals!$E$2:$E$51,0),0))</f>
        <v>0</v>
      </c>
      <c r="J363" s="7">
        <f t="array" ref="J363">IF(E363="",0,IFERROR(XLOOKUP(E363,Medals!$B$2:$B$51,Medals!$F$2:$F$51,0),0))</f>
        <v>0</v>
      </c>
      <c r="K363" s="7">
        <f>H363*GoldPoints*G363</f>
        <v>0</v>
      </c>
      <c r="L363" s="7">
        <f>I363*SilverPoints*G363</f>
        <v>0</v>
      </c>
      <c r="M363" s="7">
        <f>J363*BronzePoints*G363</f>
        <v>0</v>
      </c>
      <c r="N363" s="7">
        <f t="shared" si="1"/>
        <v>0</v>
      </c>
      <c r="O363" s="7" t="b">
        <f t="array" ref="O363">IF(E363="",FALSE,IFERROR(AND(ISNUMBER(MATCH(E363,Countries!$A$2:$A$72,0)),XLOOKUP(E363,Countries!$A$2:$A$72,Countries!$I$2:$I$72,FALSE)),FALSE))</f>
        <v>0</v>
      </c>
      <c r="P363" s="7" t="b">
        <f t="array" ref="P363">IF(E363="",FALSE,IFERROR(XLOOKUP(E363,Countries!$A$2:$A$72,Countries!$G$2:$G$72,FALSE),FALSE))</f>
        <v>0</v>
      </c>
      <c r="Q363" s="7" t="str">
        <f t="shared" si="2"/>
        <v>⚪</v>
      </c>
    </row>
    <row r="364" ht="15.75" customHeight="1">
      <c r="A364" s="7" t="str">
        <f t="array" ref="A364">IFERROR(IF(INDEX(Entries!$C$2:$C$48,46)="","",INDEX(Entries!$Q$2:$Q$48,46)),"")</f>
        <v/>
      </c>
      <c r="B364" s="7" t="str">
        <f t="array" ref="B364">IF(A364="","",IFERROR(INDEX(Entries!$E$2:$E$48,46),""))</f>
        <v/>
      </c>
      <c r="C364" s="7" t="str">
        <f>IF(A364="","","Tier2_Pick2")</f>
        <v/>
      </c>
      <c r="D364" s="7" t="str">
        <f t="shared" si="93"/>
        <v/>
      </c>
      <c r="E364" s="7" t="str">
        <f t="array" ref="E364">IF(A364="","",IFERROR(INDEX(Entries!$N$2:$N$48,46),""))</f>
        <v/>
      </c>
      <c r="F364" s="7" t="str">
        <f>IF(E364="","",IFERROR(_xludf.XLOOKUP(E364,Countries!$A$2:$A$72,Countries!$B$2:$B$72,"???"),"???"))</f>
        <v/>
      </c>
      <c r="G364" s="7">
        <f t="array" ref="G364">IF(E364="",0,IFERROR(XLOOKUP(E364,Countries!$A$2:$A$72,Countries!$E$2:$E$72,0),0))</f>
        <v>0</v>
      </c>
      <c r="H364" s="7">
        <f t="array" ref="H364">IF(E364="",0,IFERROR(XLOOKUP(E364,Medals!$B$2:$B$51,Medals!$D$2:$D$51,0),0))</f>
        <v>0</v>
      </c>
      <c r="I364" s="7">
        <f t="array" ref="I364">IF(E364="",0,IFERROR(XLOOKUP(E364,Medals!$B$2:$B$51,Medals!$E$2:$E$51,0),0))</f>
        <v>0</v>
      </c>
      <c r="J364" s="7">
        <f t="array" ref="J364">IF(E364="",0,IFERROR(XLOOKUP(E364,Medals!$B$2:$B$51,Medals!$F$2:$F$51,0),0))</f>
        <v>0</v>
      </c>
      <c r="K364" s="7">
        <f>H364*GoldPoints*G364</f>
        <v>0</v>
      </c>
      <c r="L364" s="7">
        <f>I364*SilverPoints*G364</f>
        <v>0</v>
      </c>
      <c r="M364" s="7">
        <f>J364*BronzePoints*G364</f>
        <v>0</v>
      </c>
      <c r="N364" s="7">
        <f t="shared" si="1"/>
        <v>0</v>
      </c>
      <c r="O364" s="7" t="b">
        <f t="array" ref="O364">IF(E364="",FALSE,IFERROR(AND(ISNUMBER(MATCH(E364,Countries!$A$2:$A$72,0)),XLOOKUP(E364,Countries!$A$2:$A$72,Countries!$I$2:$I$72,FALSE)),FALSE))</f>
        <v>0</v>
      </c>
      <c r="P364" s="7" t="b">
        <f t="array" ref="P364">IF(E364="",FALSE,IFERROR(XLOOKUP(E364,Countries!$A$2:$A$72,Countries!$G$2:$G$72,FALSE),FALSE))</f>
        <v>0</v>
      </c>
      <c r="Q364" s="7" t="str">
        <f t="shared" si="2"/>
        <v>⚪</v>
      </c>
    </row>
    <row r="365" ht="15.75" customHeight="1">
      <c r="A365" s="7" t="str">
        <f t="array" ref="A365">IFERROR(IF(INDEX(Entries!$C$2:$C$48,46)="","",INDEX(Entries!$Q$2:$Q$48,46)),"")</f>
        <v/>
      </c>
      <c r="B365" s="7" t="str">
        <f t="array" ref="B365">IF(A365="","",IFERROR(INDEX(Entries!$E$2:$E$48,46),""))</f>
        <v/>
      </c>
      <c r="C365" s="7" t="str">
        <f>IF(A365="","","Tier3_Pick1")</f>
        <v/>
      </c>
      <c r="D365" s="7" t="str">
        <f>IF(A365="","",3)</f>
        <v/>
      </c>
      <c r="E365" s="7" t="str">
        <f t="array" ref="E365">IF(A365="","",IFERROR(INDEX(Entries!$H$2:$H$48,46),""))</f>
        <v/>
      </c>
      <c r="F365" s="7" t="str">
        <f>IF(E365="","",IFERROR(_xludf.XLOOKUP(E365,Countries!$A$2:$A$72,Countries!$B$2:$B$72,"???"),"???"))</f>
        <v/>
      </c>
      <c r="G365" s="7">
        <f t="array" ref="G365">IF(E365="",0,IFERROR(XLOOKUP(E365,Countries!$A$2:$A$72,Countries!$E$2:$E$72,0),0))</f>
        <v>0</v>
      </c>
      <c r="H365" s="7">
        <f t="array" ref="H365">IF(E365="",0,IFERROR(XLOOKUP(E365,Medals!$B$2:$B$51,Medals!$D$2:$D$51,0),0))</f>
        <v>0</v>
      </c>
      <c r="I365" s="7">
        <f t="array" ref="I365">IF(E365="",0,IFERROR(XLOOKUP(E365,Medals!$B$2:$B$51,Medals!$E$2:$E$51,0),0))</f>
        <v>0</v>
      </c>
      <c r="J365" s="7">
        <f t="array" ref="J365">IF(E365="",0,IFERROR(XLOOKUP(E365,Medals!$B$2:$B$51,Medals!$F$2:$F$51,0),0))</f>
        <v>0</v>
      </c>
      <c r="K365" s="7">
        <f>H365*GoldPoints*G365</f>
        <v>0</v>
      </c>
      <c r="L365" s="7">
        <f>I365*SilverPoints*G365</f>
        <v>0</v>
      </c>
      <c r="M365" s="7">
        <f>J365*BronzePoints*G365</f>
        <v>0</v>
      </c>
      <c r="N365" s="7">
        <f t="shared" si="1"/>
        <v>0</v>
      </c>
      <c r="O365" s="7" t="b">
        <f t="array" ref="O365">IF(E365="",FALSE,IFERROR(AND(ISNUMBER(MATCH(E365,Countries!$A$2:$A$72,0)),XLOOKUP(E365,Countries!$A$2:$A$72,Countries!$I$2:$I$72,FALSE)),FALSE))</f>
        <v>0</v>
      </c>
      <c r="P365" s="7" t="b">
        <f t="array" ref="P365">IF(E365="",FALSE,IFERROR(XLOOKUP(E365,Countries!$A$2:$A$72,Countries!$G$2:$G$72,FALSE),FALSE))</f>
        <v>0</v>
      </c>
      <c r="Q365" s="7" t="str">
        <f t="shared" si="2"/>
        <v>⚪</v>
      </c>
    </row>
    <row r="366" ht="15.75" customHeight="1">
      <c r="A366" s="7" t="str">
        <f t="array" ref="A366">IFERROR(IF(INDEX(Entries!$C$2:$C$48,46)="","",INDEX(Entries!$Q$2:$Q$48,46)),"")</f>
        <v/>
      </c>
      <c r="B366" s="7" t="str">
        <f t="array" ref="B366">IF(A366="","",IFERROR(INDEX(Entries!$E$2:$E$48,46),""))</f>
        <v/>
      </c>
      <c r="C366" s="7" t="str">
        <f>IF(A366="","","Tier4_Pick1")</f>
        <v/>
      </c>
      <c r="D366" s="7" t="str">
        <f>IF(A366="","",4)</f>
        <v/>
      </c>
      <c r="E366" s="7" t="str">
        <f t="array" ref="E366">IF(A366="","",IFERROR(INDEX(Entries!$I$2:$I$48,46),""))</f>
        <v/>
      </c>
      <c r="F366" s="7" t="str">
        <f>IF(E366="","",IFERROR(_xludf.XLOOKUP(E366,Countries!$A$2:$A$72,Countries!$B$2:$B$72,"???"),"???"))</f>
        <v/>
      </c>
      <c r="G366" s="7">
        <f t="array" ref="G366">IF(E366="",0,IFERROR(XLOOKUP(E366,Countries!$A$2:$A$72,Countries!$E$2:$E$72,0),0))</f>
        <v>0</v>
      </c>
      <c r="H366" s="7">
        <f t="array" ref="H366">IF(E366="",0,IFERROR(XLOOKUP(E366,Medals!$B$2:$B$51,Medals!$D$2:$D$51,0),0))</f>
        <v>0</v>
      </c>
      <c r="I366" s="7">
        <f t="array" ref="I366">IF(E366="",0,IFERROR(XLOOKUP(E366,Medals!$B$2:$B$51,Medals!$E$2:$E$51,0),0))</f>
        <v>0</v>
      </c>
      <c r="J366" s="7">
        <f t="array" ref="J366">IF(E366="",0,IFERROR(XLOOKUP(E366,Medals!$B$2:$B$51,Medals!$F$2:$F$51,0),0))</f>
        <v>0</v>
      </c>
      <c r="K366" s="7">
        <f>H366*GoldPoints*G366</f>
        <v>0</v>
      </c>
      <c r="L366" s="7">
        <f>I366*SilverPoints*G366</f>
        <v>0</v>
      </c>
      <c r="M366" s="7">
        <f>J366*BronzePoints*G366</f>
        <v>0</v>
      </c>
      <c r="N366" s="7">
        <f t="shared" si="1"/>
        <v>0</v>
      </c>
      <c r="O366" s="7" t="b">
        <f t="array" ref="O366">IF(E366="",FALSE,IFERROR(AND(ISNUMBER(MATCH(E366,Countries!$A$2:$A$72,0)),XLOOKUP(E366,Countries!$A$2:$A$72,Countries!$I$2:$I$72,FALSE)),FALSE))</f>
        <v>0</v>
      </c>
      <c r="P366" s="7" t="b">
        <f t="array" ref="P366">IF(E366="",FALSE,IFERROR(XLOOKUP(E366,Countries!$A$2:$A$72,Countries!$G$2:$G$72,FALSE),FALSE))</f>
        <v>0</v>
      </c>
      <c r="Q366" s="7" t="str">
        <f t="shared" si="2"/>
        <v>⚪</v>
      </c>
    </row>
    <row r="367" ht="15.75" customHeight="1">
      <c r="A367" s="7" t="str">
        <f t="array" ref="A367">IFERROR(IF(INDEX(Entries!$C$2:$C$48,46)="","",INDEX(Entries!$Q$2:$Q$48,46)),"")</f>
        <v/>
      </c>
      <c r="B367" s="7" t="str">
        <f t="array" ref="B367">IF(A367="","",IFERROR(INDEX(Entries!$E$2:$E$48,46),""))</f>
        <v/>
      </c>
      <c r="C367" s="7" t="str">
        <f>IF(A367="","","Tier5_Pick1")</f>
        <v/>
      </c>
      <c r="D367" s="7" t="str">
        <f>IF(A367="","",5)</f>
        <v/>
      </c>
      <c r="E367" s="7" t="str">
        <f t="array" ref="E367">IF(A367="","",IFERROR(INDEX(Entries!$J$2:$J$48,46),""))</f>
        <v/>
      </c>
      <c r="F367" s="7" t="str">
        <f>IF(E367="","",IFERROR(_xludf.XLOOKUP(E367,Countries!$A$2:$A$72,Countries!$B$2:$B$72,"???"),"???"))</f>
        <v/>
      </c>
      <c r="G367" s="7">
        <f t="array" ref="G367">IF(E367="",0,IFERROR(XLOOKUP(E367,Countries!$A$2:$A$72,Countries!$E$2:$E$72,0),0))</f>
        <v>0</v>
      </c>
      <c r="H367" s="7">
        <f t="array" ref="H367">IF(E367="",0,IFERROR(XLOOKUP(E367,Medals!$B$2:$B$51,Medals!$D$2:$D$51,0),0))</f>
        <v>0</v>
      </c>
      <c r="I367" s="7">
        <f t="array" ref="I367">IF(E367="",0,IFERROR(XLOOKUP(E367,Medals!$B$2:$B$51,Medals!$E$2:$E$51,0),0))</f>
        <v>0</v>
      </c>
      <c r="J367" s="7">
        <f t="array" ref="J367">IF(E367="",0,IFERROR(XLOOKUP(E367,Medals!$B$2:$B$51,Medals!$F$2:$F$51,0),0))</f>
        <v>0</v>
      </c>
      <c r="K367" s="7">
        <f>H367*GoldPoints*G367</f>
        <v>0</v>
      </c>
      <c r="L367" s="7">
        <f>I367*SilverPoints*G367</f>
        <v>0</v>
      </c>
      <c r="M367" s="7">
        <f>J367*BronzePoints*G367</f>
        <v>0</v>
      </c>
      <c r="N367" s="7">
        <f t="shared" si="1"/>
        <v>0</v>
      </c>
      <c r="O367" s="7" t="b">
        <f t="array" ref="O367">IF(E367="",FALSE,IFERROR(AND(ISNUMBER(MATCH(E367,Countries!$A$2:$A$72,0)),XLOOKUP(E367,Countries!$A$2:$A$72,Countries!$I$2:$I$72,FALSE)),FALSE))</f>
        <v>0</v>
      </c>
      <c r="P367" s="7" t="b">
        <f t="array" ref="P367">IF(E367="",FALSE,IFERROR(XLOOKUP(E367,Countries!$A$2:$A$72,Countries!$G$2:$G$72,FALSE),FALSE))</f>
        <v>0</v>
      </c>
      <c r="Q367" s="7" t="str">
        <f t="shared" si="2"/>
        <v>⚪</v>
      </c>
    </row>
    <row r="368" ht="15.75" customHeight="1">
      <c r="A368" s="7" t="str">
        <f t="array" ref="A368">IFERROR(IF(INDEX(Entries!$C$2:$C$48,46)="","",INDEX(Entries!$Q$2:$Q$48,46)),"")</f>
        <v/>
      </c>
      <c r="B368" s="7" t="str">
        <f t="array" ref="B368">IF(A368="","",IFERROR(INDEX(Entries!$E$2:$E$48,46),""))</f>
        <v/>
      </c>
      <c r="C368" s="7" t="str">
        <f>IF(A368="","","Tier6_Pick1")</f>
        <v/>
      </c>
      <c r="D368" s="7" t="str">
        <f t="shared" ref="D368:D369" si="94">IF(A368="","",6)</f>
        <v/>
      </c>
      <c r="E368" s="7" t="str">
        <f t="array" ref="E368">IF(A368="","",IFERROR(INDEX(Entries!$O$2:$O$48,46),""))</f>
        <v/>
      </c>
      <c r="F368" s="7" t="str">
        <f>IF(E368="","",IFERROR(_xludf.XLOOKUP(E368,Countries!$A$2:$A$72,Countries!$B$2:$B$72,"???"),"???"))</f>
        <v/>
      </c>
      <c r="G368" s="7">
        <f t="array" ref="G368">IF(E368="",0,IFERROR(XLOOKUP(E368,Countries!$A$2:$A$72,Countries!$E$2:$E$72,0),0))</f>
        <v>0</v>
      </c>
      <c r="H368" s="7">
        <f t="array" ref="H368">IF(E368="",0,IFERROR(XLOOKUP(E368,Medals!$B$2:$B$51,Medals!$D$2:$D$51,0),0))</f>
        <v>0</v>
      </c>
      <c r="I368" s="7">
        <f t="array" ref="I368">IF(E368="",0,IFERROR(XLOOKUP(E368,Medals!$B$2:$B$51,Medals!$E$2:$E$51,0),0))</f>
        <v>0</v>
      </c>
      <c r="J368" s="7">
        <f t="array" ref="J368">IF(E368="",0,IFERROR(XLOOKUP(E368,Medals!$B$2:$B$51,Medals!$F$2:$F$51,0),0))</f>
        <v>0</v>
      </c>
      <c r="K368" s="7">
        <f>H368*GoldPoints*G368</f>
        <v>0</v>
      </c>
      <c r="L368" s="7">
        <f>I368*SilverPoints*G368</f>
        <v>0</v>
      </c>
      <c r="M368" s="7">
        <f>J368*BronzePoints*G368</f>
        <v>0</v>
      </c>
      <c r="N368" s="7">
        <f t="shared" si="1"/>
        <v>0</v>
      </c>
      <c r="O368" s="7" t="b">
        <f t="array" ref="O368">IF(E368="",FALSE,IFERROR(AND(ISNUMBER(MATCH(E368,Countries!$A$2:$A$72,0)),XLOOKUP(E368,Countries!$A$2:$A$72,Countries!$I$2:$I$72,FALSE)),FALSE))</f>
        <v>0</v>
      </c>
      <c r="P368" s="7" t="b">
        <f t="array" ref="P368">IF(E368="",FALSE,IFERROR(XLOOKUP(E368,Countries!$A$2:$A$72,Countries!$G$2:$G$72,FALSE),FALSE))</f>
        <v>0</v>
      </c>
      <c r="Q368" s="7" t="str">
        <f t="shared" si="2"/>
        <v>⚪</v>
      </c>
    </row>
    <row r="369" ht="15.75" customHeight="1">
      <c r="A369" s="7" t="str">
        <f t="array" ref="A369">IFERROR(IF(INDEX(Entries!$C$2:$C$48,46)="","",INDEX(Entries!$Q$2:$Q$48,46)),"")</f>
        <v/>
      </c>
      <c r="B369" s="7" t="str">
        <f t="array" ref="B369">IF(A369="","",IFERROR(INDEX(Entries!$E$2:$E$48,46),""))</f>
        <v/>
      </c>
      <c r="C369" s="7" t="str">
        <f>IF(A369="","","Tier6_Pick2")</f>
        <v/>
      </c>
      <c r="D369" s="7" t="str">
        <f t="shared" si="94"/>
        <v/>
      </c>
      <c r="E369" s="7" t="str">
        <f t="array" ref="E369">IF(A369="","",IFERROR(INDEX(Entries!$P$2:$P$48,46),""))</f>
        <v/>
      </c>
      <c r="F369" s="7" t="str">
        <f>IF(E369="","",IFERROR(_xludf.XLOOKUP(E369,Countries!$A$2:$A$72,Countries!$B$2:$B$72,"???"),"???"))</f>
        <v/>
      </c>
      <c r="G369" s="7">
        <f t="array" ref="G369">IF(E369="",0,IFERROR(XLOOKUP(E369,Countries!$A$2:$A$72,Countries!$E$2:$E$72,0),0))</f>
        <v>0</v>
      </c>
      <c r="H369" s="7">
        <f t="array" ref="H369">IF(E369="",0,IFERROR(XLOOKUP(E369,Medals!$B$2:$B$51,Medals!$D$2:$D$51,0),0))</f>
        <v>0</v>
      </c>
      <c r="I369" s="7">
        <f t="array" ref="I369">IF(E369="",0,IFERROR(XLOOKUP(E369,Medals!$B$2:$B$51,Medals!$E$2:$E$51,0),0))</f>
        <v>0</v>
      </c>
      <c r="J369" s="7">
        <f t="array" ref="J369">IF(E369="",0,IFERROR(XLOOKUP(E369,Medals!$B$2:$B$51,Medals!$F$2:$F$51,0),0))</f>
        <v>0</v>
      </c>
      <c r="K369" s="7">
        <f>H369*GoldPoints*G369</f>
        <v>0</v>
      </c>
      <c r="L369" s="7">
        <f>I369*SilverPoints*G369</f>
        <v>0</v>
      </c>
      <c r="M369" s="7">
        <f>J369*BronzePoints*G369</f>
        <v>0</v>
      </c>
      <c r="N369" s="7">
        <f t="shared" si="1"/>
        <v>0</v>
      </c>
      <c r="O369" s="7" t="b">
        <f t="array" ref="O369">IF(E369="",FALSE,IFERROR(AND(ISNUMBER(MATCH(E369,Countries!$A$2:$A$72,0)),XLOOKUP(E369,Countries!$A$2:$A$72,Countries!$I$2:$I$72,FALSE)),FALSE))</f>
        <v>0</v>
      </c>
      <c r="P369" s="7" t="b">
        <f t="array" ref="P369">IF(E369="",FALSE,IFERROR(XLOOKUP(E369,Countries!$A$2:$A$72,Countries!$G$2:$G$72,FALSE),FALSE))</f>
        <v>0</v>
      </c>
      <c r="Q369" s="7" t="str">
        <f t="shared" si="2"/>
        <v>⚪</v>
      </c>
    </row>
    <row r="370" ht="15.75" customHeight="1">
      <c r="A370" s="7" t="str">
        <f t="array" ref="A370">IFERROR(IF(INDEX(Entries!$C$2:$C$48,47)="","",INDEX(Entries!$Q$2:$Q$48,47)),"")</f>
        <v/>
      </c>
      <c r="B370" s="7" t="str">
        <f t="array" ref="B370">IF(A370="","",IFERROR(INDEX(Entries!$E$2:$E$48,47),""))</f>
        <v/>
      </c>
      <c r="C370" s="7" t="str">
        <f>IF(A370="","","Tier1_Pick1")</f>
        <v/>
      </c>
      <c r="D370" s="7" t="str">
        <f>IF(A370="","",1)</f>
        <v/>
      </c>
      <c r="E370" s="7" t="str">
        <f t="array" ref="E370">IF(A370="","",IFERROR(INDEX(Entries!$F$2:$F$48,47),""))</f>
        <v/>
      </c>
      <c r="F370" s="7" t="str">
        <f>IF(E370="","",IFERROR(_xludf.XLOOKUP(E370,Countries!$A$2:$A$72,Countries!$B$2:$B$72,"???"),"???"))</f>
        <v/>
      </c>
      <c r="G370" s="7">
        <f t="array" ref="G370">IF(E370="",0,IFERROR(XLOOKUP(E370,Countries!$A$2:$A$72,Countries!$E$2:$E$72,0),0))</f>
        <v>0</v>
      </c>
      <c r="H370" s="7">
        <f t="array" ref="H370">IF(E370="",0,IFERROR(XLOOKUP(E370,Medals!$B$2:$B$51,Medals!$D$2:$D$51,0),0))</f>
        <v>0</v>
      </c>
      <c r="I370" s="7">
        <f t="array" ref="I370">IF(E370="",0,IFERROR(XLOOKUP(E370,Medals!$B$2:$B$51,Medals!$E$2:$E$51,0),0))</f>
        <v>0</v>
      </c>
      <c r="J370" s="7">
        <f t="array" ref="J370">IF(E370="",0,IFERROR(XLOOKUP(E370,Medals!$B$2:$B$51,Medals!$F$2:$F$51,0),0))</f>
        <v>0</v>
      </c>
      <c r="K370" s="7">
        <f>H370*GoldPoints*G370</f>
        <v>0</v>
      </c>
      <c r="L370" s="7">
        <f>I370*SilverPoints*G370</f>
        <v>0</v>
      </c>
      <c r="M370" s="7">
        <f>J370*BronzePoints*G370</f>
        <v>0</v>
      </c>
      <c r="N370" s="7">
        <f t="shared" si="1"/>
        <v>0</v>
      </c>
      <c r="O370" s="7" t="b">
        <f t="array" ref="O370">IF(E370="",FALSE,IFERROR(AND(ISNUMBER(MATCH(E370,Countries!$A$2:$A$72,0)),XLOOKUP(E370,Countries!$A$2:$A$72,Countries!$I$2:$I$72,FALSE)),FALSE))</f>
        <v>0</v>
      </c>
      <c r="P370" s="7" t="b">
        <f t="array" ref="P370">IF(E370="",FALSE,IFERROR(XLOOKUP(E370,Countries!$A$2:$A$72,Countries!$G$2:$G$72,FALSE),FALSE))</f>
        <v>0</v>
      </c>
      <c r="Q370" s="7" t="str">
        <f t="shared" si="2"/>
        <v>⚪</v>
      </c>
    </row>
    <row r="371" ht="15.75" customHeight="1">
      <c r="A371" s="7" t="str">
        <f t="array" ref="A371">IFERROR(IF(INDEX(Entries!$C$2:$C$48,47)="","",INDEX(Entries!$Q$2:$Q$48,47)),"")</f>
        <v/>
      </c>
      <c r="B371" s="7" t="str">
        <f t="array" ref="B371">IF(A371="","",IFERROR(INDEX(Entries!$E$2:$E$48,47),""))</f>
        <v/>
      </c>
      <c r="C371" s="7" t="str">
        <f>IF(A371="","","Tier2_Pick1")</f>
        <v/>
      </c>
      <c r="D371" s="7" t="str">
        <f t="shared" ref="D371:D372" si="95">IF(A371="","",2)</f>
        <v/>
      </c>
      <c r="E371" s="7" t="str">
        <f t="array" ref="E371">IF(A371="","",IFERROR(INDEX(Entries!$M$2:$M$48,47),""))</f>
        <v/>
      </c>
      <c r="F371" s="7" t="str">
        <f>IF(E371="","",IFERROR(_xludf.XLOOKUP(E371,Countries!$A$2:$A$72,Countries!$B$2:$B$72,"???"),"???"))</f>
        <v/>
      </c>
      <c r="G371" s="7">
        <f t="array" ref="G371">IF(E371="",0,IFERROR(XLOOKUP(E371,Countries!$A$2:$A$72,Countries!$E$2:$E$72,0),0))</f>
        <v>0</v>
      </c>
      <c r="H371" s="7">
        <f t="array" ref="H371">IF(E371="",0,IFERROR(XLOOKUP(E371,Medals!$B$2:$B$51,Medals!$D$2:$D$51,0),0))</f>
        <v>0</v>
      </c>
      <c r="I371" s="7">
        <f t="array" ref="I371">IF(E371="",0,IFERROR(XLOOKUP(E371,Medals!$B$2:$B$51,Medals!$E$2:$E$51,0),0))</f>
        <v>0</v>
      </c>
      <c r="J371" s="7">
        <f t="array" ref="J371">IF(E371="",0,IFERROR(XLOOKUP(E371,Medals!$B$2:$B$51,Medals!$F$2:$F$51,0),0))</f>
        <v>0</v>
      </c>
      <c r="K371" s="7">
        <f>H371*GoldPoints*G371</f>
        <v>0</v>
      </c>
      <c r="L371" s="7">
        <f>I371*SilverPoints*G371</f>
        <v>0</v>
      </c>
      <c r="M371" s="7">
        <f>J371*BronzePoints*G371</f>
        <v>0</v>
      </c>
      <c r="N371" s="7">
        <f t="shared" si="1"/>
        <v>0</v>
      </c>
      <c r="O371" s="7" t="b">
        <f t="array" ref="O371">IF(E371="",FALSE,IFERROR(AND(ISNUMBER(MATCH(E371,Countries!$A$2:$A$72,0)),XLOOKUP(E371,Countries!$A$2:$A$72,Countries!$I$2:$I$72,FALSE)),FALSE))</f>
        <v>0</v>
      </c>
      <c r="P371" s="7" t="b">
        <f t="array" ref="P371">IF(E371="",FALSE,IFERROR(XLOOKUP(E371,Countries!$A$2:$A$72,Countries!$G$2:$G$72,FALSE),FALSE))</f>
        <v>0</v>
      </c>
      <c r="Q371" s="7" t="str">
        <f t="shared" si="2"/>
        <v>⚪</v>
      </c>
    </row>
    <row r="372" ht="15.75" customHeight="1">
      <c r="A372" s="7" t="str">
        <f t="array" ref="A372">IFERROR(IF(INDEX(Entries!$C$2:$C$48,47)="","",INDEX(Entries!$Q$2:$Q$48,47)),"")</f>
        <v/>
      </c>
      <c r="B372" s="7" t="str">
        <f t="array" ref="B372">IF(A372="","",IFERROR(INDEX(Entries!$E$2:$E$48,47),""))</f>
        <v/>
      </c>
      <c r="C372" s="7" t="str">
        <f>IF(A372="","","Tier2_Pick2")</f>
        <v/>
      </c>
      <c r="D372" s="7" t="str">
        <f t="shared" si="95"/>
        <v/>
      </c>
      <c r="E372" s="7" t="str">
        <f t="array" ref="E372">IF(A372="","",IFERROR(INDEX(Entries!$N$2:$N$48,47),""))</f>
        <v/>
      </c>
      <c r="F372" s="7" t="str">
        <f>IF(E372="","",IFERROR(_xludf.XLOOKUP(E372,Countries!$A$2:$A$72,Countries!$B$2:$B$72,"???"),"???"))</f>
        <v/>
      </c>
      <c r="G372" s="7">
        <f t="array" ref="G372">IF(E372="",0,IFERROR(XLOOKUP(E372,Countries!$A$2:$A$72,Countries!$E$2:$E$72,0),0))</f>
        <v>0</v>
      </c>
      <c r="H372" s="7">
        <f t="array" ref="H372">IF(E372="",0,IFERROR(XLOOKUP(E372,Medals!$B$2:$B$51,Medals!$D$2:$D$51,0),0))</f>
        <v>0</v>
      </c>
      <c r="I372" s="7">
        <f t="array" ref="I372">IF(E372="",0,IFERROR(XLOOKUP(E372,Medals!$B$2:$B$51,Medals!$E$2:$E$51,0),0))</f>
        <v>0</v>
      </c>
      <c r="J372" s="7">
        <f t="array" ref="J372">IF(E372="",0,IFERROR(XLOOKUP(E372,Medals!$B$2:$B$51,Medals!$F$2:$F$51,0),0))</f>
        <v>0</v>
      </c>
      <c r="K372" s="7">
        <f>H372*GoldPoints*G372</f>
        <v>0</v>
      </c>
      <c r="L372" s="7">
        <f>I372*SilverPoints*G372</f>
        <v>0</v>
      </c>
      <c r="M372" s="7">
        <f>J372*BronzePoints*G372</f>
        <v>0</v>
      </c>
      <c r="N372" s="7">
        <f t="shared" si="1"/>
        <v>0</v>
      </c>
      <c r="O372" s="7" t="b">
        <f t="array" ref="O372">IF(E372="",FALSE,IFERROR(AND(ISNUMBER(MATCH(E372,Countries!$A$2:$A$72,0)),XLOOKUP(E372,Countries!$A$2:$A$72,Countries!$I$2:$I$72,FALSE)),FALSE))</f>
        <v>0</v>
      </c>
      <c r="P372" s="7" t="b">
        <f t="array" ref="P372">IF(E372="",FALSE,IFERROR(XLOOKUP(E372,Countries!$A$2:$A$72,Countries!$G$2:$G$72,FALSE),FALSE))</f>
        <v>0</v>
      </c>
      <c r="Q372" s="7" t="str">
        <f t="shared" si="2"/>
        <v>⚪</v>
      </c>
    </row>
    <row r="373" ht="15.75" customHeight="1">
      <c r="A373" s="7" t="str">
        <f t="array" ref="A373">IFERROR(IF(INDEX(Entries!$C$2:$C$48,47)="","",INDEX(Entries!$Q$2:$Q$48,47)),"")</f>
        <v/>
      </c>
      <c r="B373" s="7" t="str">
        <f t="array" ref="B373">IF(A373="","",IFERROR(INDEX(Entries!$E$2:$E$48,47),""))</f>
        <v/>
      </c>
      <c r="C373" s="7" t="str">
        <f>IF(A373="","","Tier3_Pick1")</f>
        <v/>
      </c>
      <c r="D373" s="7" t="str">
        <f>IF(A373="","",3)</f>
        <v/>
      </c>
      <c r="E373" s="7" t="str">
        <f t="array" ref="E373">IF(A373="","",IFERROR(INDEX(Entries!$H$2:$H$48,47),""))</f>
        <v/>
      </c>
      <c r="F373" s="7" t="str">
        <f>IF(E373="","",IFERROR(_xludf.XLOOKUP(E373,Countries!$A$2:$A$72,Countries!$B$2:$B$72,"???"),"???"))</f>
        <v/>
      </c>
      <c r="G373" s="7">
        <f t="array" ref="G373">IF(E373="",0,IFERROR(XLOOKUP(E373,Countries!$A$2:$A$72,Countries!$E$2:$E$72,0),0))</f>
        <v>0</v>
      </c>
      <c r="H373" s="7">
        <f t="array" ref="H373">IF(E373="",0,IFERROR(XLOOKUP(E373,Medals!$B$2:$B$51,Medals!$D$2:$D$51,0),0))</f>
        <v>0</v>
      </c>
      <c r="I373" s="7">
        <f t="array" ref="I373">IF(E373="",0,IFERROR(XLOOKUP(E373,Medals!$B$2:$B$51,Medals!$E$2:$E$51,0),0))</f>
        <v>0</v>
      </c>
      <c r="J373" s="7">
        <f t="array" ref="J373">IF(E373="",0,IFERROR(XLOOKUP(E373,Medals!$B$2:$B$51,Medals!$F$2:$F$51,0),0))</f>
        <v>0</v>
      </c>
      <c r="K373" s="7">
        <f>H373*GoldPoints*G373</f>
        <v>0</v>
      </c>
      <c r="L373" s="7">
        <f>I373*SilverPoints*G373</f>
        <v>0</v>
      </c>
      <c r="M373" s="7">
        <f>J373*BronzePoints*G373</f>
        <v>0</v>
      </c>
      <c r="N373" s="7">
        <f t="shared" si="1"/>
        <v>0</v>
      </c>
      <c r="O373" s="7" t="b">
        <f t="array" ref="O373">IF(E373="",FALSE,IFERROR(AND(ISNUMBER(MATCH(E373,Countries!$A$2:$A$72,0)),XLOOKUP(E373,Countries!$A$2:$A$72,Countries!$I$2:$I$72,FALSE)),FALSE))</f>
        <v>0</v>
      </c>
      <c r="P373" s="7" t="b">
        <f t="array" ref="P373">IF(E373="",FALSE,IFERROR(XLOOKUP(E373,Countries!$A$2:$A$72,Countries!$G$2:$G$72,FALSE),FALSE))</f>
        <v>0</v>
      </c>
      <c r="Q373" s="7" t="str">
        <f t="shared" si="2"/>
        <v>⚪</v>
      </c>
    </row>
    <row r="374" ht="15.75" customHeight="1">
      <c r="A374" s="7" t="str">
        <f t="array" ref="A374">IFERROR(IF(INDEX(Entries!$C$2:$C$48,47)="","",INDEX(Entries!$Q$2:$Q$48,47)),"")</f>
        <v/>
      </c>
      <c r="B374" s="7" t="str">
        <f t="array" ref="B374">IF(A374="","",IFERROR(INDEX(Entries!$E$2:$E$48,47),""))</f>
        <v/>
      </c>
      <c r="C374" s="7" t="str">
        <f>IF(A374="","","Tier4_Pick1")</f>
        <v/>
      </c>
      <c r="D374" s="7" t="str">
        <f>IF(A374="","",4)</f>
        <v/>
      </c>
      <c r="E374" s="7" t="str">
        <f t="array" ref="E374">IF(A374="","",IFERROR(INDEX(Entries!$I$2:$I$48,47),""))</f>
        <v/>
      </c>
      <c r="F374" s="7" t="str">
        <f>IF(E374="","",IFERROR(_xludf.XLOOKUP(E374,Countries!$A$2:$A$72,Countries!$B$2:$B$72,"???"),"???"))</f>
        <v/>
      </c>
      <c r="G374" s="7">
        <f t="array" ref="G374">IF(E374="",0,IFERROR(XLOOKUP(E374,Countries!$A$2:$A$72,Countries!$E$2:$E$72,0),0))</f>
        <v>0</v>
      </c>
      <c r="H374" s="7">
        <f t="array" ref="H374">IF(E374="",0,IFERROR(XLOOKUP(E374,Medals!$B$2:$B$51,Medals!$D$2:$D$51,0),0))</f>
        <v>0</v>
      </c>
      <c r="I374" s="7">
        <f t="array" ref="I374">IF(E374="",0,IFERROR(XLOOKUP(E374,Medals!$B$2:$B$51,Medals!$E$2:$E$51,0),0))</f>
        <v>0</v>
      </c>
      <c r="J374" s="7">
        <f t="array" ref="J374">IF(E374="",0,IFERROR(XLOOKUP(E374,Medals!$B$2:$B$51,Medals!$F$2:$F$51,0),0))</f>
        <v>0</v>
      </c>
      <c r="K374" s="7">
        <f>H374*GoldPoints*G374</f>
        <v>0</v>
      </c>
      <c r="L374" s="7">
        <f>I374*SilverPoints*G374</f>
        <v>0</v>
      </c>
      <c r="M374" s="7">
        <f>J374*BronzePoints*G374</f>
        <v>0</v>
      </c>
      <c r="N374" s="7">
        <f t="shared" si="1"/>
        <v>0</v>
      </c>
      <c r="O374" s="7" t="b">
        <f t="array" ref="O374">IF(E374="",FALSE,IFERROR(AND(ISNUMBER(MATCH(E374,Countries!$A$2:$A$72,0)),XLOOKUP(E374,Countries!$A$2:$A$72,Countries!$I$2:$I$72,FALSE)),FALSE))</f>
        <v>0</v>
      </c>
      <c r="P374" s="7" t="b">
        <f t="array" ref="P374">IF(E374="",FALSE,IFERROR(XLOOKUP(E374,Countries!$A$2:$A$72,Countries!$G$2:$G$72,FALSE),FALSE))</f>
        <v>0</v>
      </c>
      <c r="Q374" s="7" t="str">
        <f t="shared" si="2"/>
        <v>⚪</v>
      </c>
    </row>
    <row r="375" ht="15.75" customHeight="1">
      <c r="A375" s="7" t="str">
        <f t="array" ref="A375">IFERROR(IF(INDEX(Entries!$C$2:$C$48,47)="","",INDEX(Entries!$Q$2:$Q$48,47)),"")</f>
        <v/>
      </c>
      <c r="B375" s="7" t="str">
        <f t="array" ref="B375">IF(A375="","",IFERROR(INDEX(Entries!$E$2:$E$48,47),""))</f>
        <v/>
      </c>
      <c r="C375" s="7" t="str">
        <f>IF(A375="","","Tier5_Pick1")</f>
        <v/>
      </c>
      <c r="D375" s="7" t="str">
        <f>IF(A375="","",5)</f>
        <v/>
      </c>
      <c r="E375" s="7" t="str">
        <f t="array" ref="E375">IF(A375="","",IFERROR(INDEX(Entries!$J$2:$J$48,47),""))</f>
        <v/>
      </c>
      <c r="F375" s="7" t="str">
        <f>IF(E375="","",IFERROR(_xludf.XLOOKUP(E375,Countries!$A$2:$A$72,Countries!$B$2:$B$72,"???"),"???"))</f>
        <v/>
      </c>
      <c r="G375" s="7">
        <f t="array" ref="G375">IF(E375="",0,IFERROR(XLOOKUP(E375,Countries!$A$2:$A$72,Countries!$E$2:$E$72,0),0))</f>
        <v>0</v>
      </c>
      <c r="H375" s="7">
        <f t="array" ref="H375">IF(E375="",0,IFERROR(XLOOKUP(E375,Medals!$B$2:$B$51,Medals!$D$2:$D$51,0),0))</f>
        <v>0</v>
      </c>
      <c r="I375" s="7">
        <f t="array" ref="I375">IF(E375="",0,IFERROR(XLOOKUP(E375,Medals!$B$2:$B$51,Medals!$E$2:$E$51,0),0))</f>
        <v>0</v>
      </c>
      <c r="J375" s="7">
        <f t="array" ref="J375">IF(E375="",0,IFERROR(XLOOKUP(E375,Medals!$B$2:$B$51,Medals!$F$2:$F$51,0),0))</f>
        <v>0</v>
      </c>
      <c r="K375" s="7">
        <f>H375*GoldPoints*G375</f>
        <v>0</v>
      </c>
      <c r="L375" s="7">
        <f>I375*SilverPoints*G375</f>
        <v>0</v>
      </c>
      <c r="M375" s="7">
        <f>J375*BronzePoints*G375</f>
        <v>0</v>
      </c>
      <c r="N375" s="7">
        <f t="shared" si="1"/>
        <v>0</v>
      </c>
      <c r="O375" s="7" t="b">
        <f t="array" ref="O375">IF(E375="",FALSE,IFERROR(AND(ISNUMBER(MATCH(E375,Countries!$A$2:$A$72,0)),XLOOKUP(E375,Countries!$A$2:$A$72,Countries!$I$2:$I$72,FALSE)),FALSE))</f>
        <v>0</v>
      </c>
      <c r="P375" s="7" t="b">
        <f t="array" ref="P375">IF(E375="",FALSE,IFERROR(XLOOKUP(E375,Countries!$A$2:$A$72,Countries!$G$2:$G$72,FALSE),FALSE))</f>
        <v>0</v>
      </c>
      <c r="Q375" s="7" t="str">
        <f t="shared" si="2"/>
        <v>⚪</v>
      </c>
    </row>
    <row r="376" ht="15.75" customHeight="1">
      <c r="A376" s="7" t="str">
        <f t="array" ref="A376">IFERROR(IF(INDEX(Entries!$C$2:$C$48,47)="","",INDEX(Entries!$Q$2:$Q$48,47)),"")</f>
        <v/>
      </c>
      <c r="B376" s="7" t="str">
        <f t="array" ref="B376">IF(A376="","",IFERROR(INDEX(Entries!$E$2:$E$48,47),""))</f>
        <v/>
      </c>
      <c r="C376" s="7" t="str">
        <f>IF(A376="","","Tier6_Pick1")</f>
        <v/>
      </c>
      <c r="D376" s="7" t="str">
        <f t="shared" ref="D376:D377" si="96">IF(A376="","",6)</f>
        <v/>
      </c>
      <c r="E376" s="7" t="str">
        <f t="array" ref="E376">IF(A376="","",IFERROR(INDEX(Entries!$O$2:$O$48,47),""))</f>
        <v/>
      </c>
      <c r="F376" s="7" t="str">
        <f>IF(E376="","",IFERROR(_xludf.XLOOKUP(E376,Countries!$A$2:$A$72,Countries!$B$2:$B$72,"???"),"???"))</f>
        <v/>
      </c>
      <c r="G376" s="7">
        <f t="array" ref="G376">IF(E376="",0,IFERROR(XLOOKUP(E376,Countries!$A$2:$A$72,Countries!$E$2:$E$72,0),0))</f>
        <v>0</v>
      </c>
      <c r="H376" s="7">
        <f t="array" ref="H376">IF(E376="",0,IFERROR(XLOOKUP(E376,Medals!$B$2:$B$51,Medals!$D$2:$D$51,0),0))</f>
        <v>0</v>
      </c>
      <c r="I376" s="7">
        <f t="array" ref="I376">IF(E376="",0,IFERROR(XLOOKUP(E376,Medals!$B$2:$B$51,Medals!$E$2:$E$51,0),0))</f>
        <v>0</v>
      </c>
      <c r="J376" s="7">
        <f t="array" ref="J376">IF(E376="",0,IFERROR(XLOOKUP(E376,Medals!$B$2:$B$51,Medals!$F$2:$F$51,0),0))</f>
        <v>0</v>
      </c>
      <c r="K376" s="7">
        <f>H376*GoldPoints*G376</f>
        <v>0</v>
      </c>
      <c r="L376" s="7">
        <f>I376*SilverPoints*G376</f>
        <v>0</v>
      </c>
      <c r="M376" s="7">
        <f>J376*BronzePoints*G376</f>
        <v>0</v>
      </c>
      <c r="N376" s="7">
        <f t="shared" si="1"/>
        <v>0</v>
      </c>
      <c r="O376" s="7" t="b">
        <f t="array" ref="O376">IF(E376="",FALSE,IFERROR(AND(ISNUMBER(MATCH(E376,Countries!$A$2:$A$72,0)),XLOOKUP(E376,Countries!$A$2:$A$72,Countries!$I$2:$I$72,FALSE)),FALSE))</f>
        <v>0</v>
      </c>
      <c r="P376" s="7" t="b">
        <f t="array" ref="P376">IF(E376="",FALSE,IFERROR(XLOOKUP(E376,Countries!$A$2:$A$72,Countries!$G$2:$G$72,FALSE),FALSE))</f>
        <v>0</v>
      </c>
      <c r="Q376" s="7" t="str">
        <f t="shared" si="2"/>
        <v>⚪</v>
      </c>
    </row>
    <row r="377" ht="15.75" customHeight="1">
      <c r="A377" s="7" t="str">
        <f t="array" ref="A377">IFERROR(IF(INDEX(Entries!$C$2:$C$48,47)="","",INDEX(Entries!$Q$2:$Q$48,47)),"")</f>
        <v/>
      </c>
      <c r="B377" s="7" t="str">
        <f t="array" ref="B377">IF(A377="","",IFERROR(INDEX(Entries!$E$2:$E$48,47),""))</f>
        <v/>
      </c>
      <c r="C377" s="7" t="str">
        <f>IF(A377="","","Tier6_Pick2")</f>
        <v/>
      </c>
      <c r="D377" s="7" t="str">
        <f t="shared" si="96"/>
        <v/>
      </c>
      <c r="E377" s="7" t="str">
        <f t="array" ref="E377">IF(A377="","",IFERROR(INDEX(Entries!$P$2:$P$48,47),""))</f>
        <v/>
      </c>
      <c r="F377" s="7" t="str">
        <f>IF(E377="","",IFERROR(_xludf.XLOOKUP(E377,Countries!$A$2:$A$72,Countries!$B$2:$B$72,"???"),"???"))</f>
        <v/>
      </c>
      <c r="G377" s="7">
        <f t="array" ref="G377">IF(E377="",0,IFERROR(XLOOKUP(E377,Countries!$A$2:$A$72,Countries!$E$2:$E$72,0),0))</f>
        <v>0</v>
      </c>
      <c r="H377" s="7">
        <f t="array" ref="H377">IF(E377="",0,IFERROR(XLOOKUP(E377,Medals!$B$2:$B$51,Medals!$D$2:$D$51,0),0))</f>
        <v>0</v>
      </c>
      <c r="I377" s="7">
        <f t="array" ref="I377">IF(E377="",0,IFERROR(XLOOKUP(E377,Medals!$B$2:$B$51,Medals!$E$2:$E$51,0),0))</f>
        <v>0</v>
      </c>
      <c r="J377" s="7">
        <f t="array" ref="J377">IF(E377="",0,IFERROR(XLOOKUP(E377,Medals!$B$2:$B$51,Medals!$F$2:$F$51,0),0))</f>
        <v>0</v>
      </c>
      <c r="K377" s="7">
        <f>H377*GoldPoints*G377</f>
        <v>0</v>
      </c>
      <c r="L377" s="7">
        <f>I377*SilverPoints*G377</f>
        <v>0</v>
      </c>
      <c r="M377" s="7">
        <f>J377*BronzePoints*G377</f>
        <v>0</v>
      </c>
      <c r="N377" s="7">
        <f t="shared" si="1"/>
        <v>0</v>
      </c>
      <c r="O377" s="7" t="b">
        <f t="array" ref="O377">IF(E377="",FALSE,IFERROR(AND(ISNUMBER(MATCH(E377,Countries!$A$2:$A$72,0)),XLOOKUP(E377,Countries!$A$2:$A$72,Countries!$I$2:$I$72,FALSE)),FALSE))</f>
        <v>0</v>
      </c>
      <c r="P377" s="7" t="b">
        <f t="array" ref="P377">IF(E377="",FALSE,IFERROR(XLOOKUP(E377,Countries!$A$2:$A$72,Countries!$G$2:$G$72,FALSE),FALSE))</f>
        <v>0</v>
      </c>
      <c r="Q377" s="7" t="str">
        <f t="shared" si="2"/>
        <v>⚪</v>
      </c>
    </row>
    <row r="378" ht="15.75" customHeight="1">
      <c r="A378" s="7" t="str">
        <f t="array" ref="A378">IFERROR(IF(INDEX(Entries!$C$2:$C$48,48)="","",INDEX(Entries!$Q$2:$Q$48,48)),"")</f>
        <v/>
      </c>
      <c r="B378" s="7" t="str">
        <f t="array" ref="B378">IF(A378="","",IFERROR(INDEX(Entries!$E$2:$E$48,48),""))</f>
        <v/>
      </c>
      <c r="C378" s="7" t="str">
        <f>IF(A378="","","Tier1_Pick1")</f>
        <v/>
      </c>
      <c r="D378" s="7" t="str">
        <f>IF(A378="","",1)</f>
        <v/>
      </c>
      <c r="E378" s="7" t="str">
        <f t="array" ref="E378">IF(A378="","",IFERROR(INDEX(Entries!$F$2:$F$48,48),""))</f>
        <v/>
      </c>
      <c r="F378" s="7" t="str">
        <f>IF(E378="","",IFERROR(_xludf.XLOOKUP(E378,Countries!$A$2:$A$72,Countries!$B$2:$B$72,"???"),"???"))</f>
        <v/>
      </c>
      <c r="G378" s="7">
        <f t="array" ref="G378">IF(E378="",0,IFERROR(XLOOKUP(E378,Countries!$A$2:$A$72,Countries!$E$2:$E$72,0),0))</f>
        <v>0</v>
      </c>
      <c r="H378" s="7">
        <f t="array" ref="H378">IF(E378="",0,IFERROR(XLOOKUP(E378,Medals!$B$2:$B$51,Medals!$D$2:$D$51,0),0))</f>
        <v>0</v>
      </c>
      <c r="I378" s="7">
        <f t="array" ref="I378">IF(E378="",0,IFERROR(XLOOKUP(E378,Medals!$B$2:$B$51,Medals!$E$2:$E$51,0),0))</f>
        <v>0</v>
      </c>
      <c r="J378" s="7">
        <f t="array" ref="J378">IF(E378="",0,IFERROR(XLOOKUP(E378,Medals!$B$2:$B$51,Medals!$F$2:$F$51,0),0))</f>
        <v>0</v>
      </c>
      <c r="K378" s="7">
        <f>H378*GoldPoints*G378</f>
        <v>0</v>
      </c>
      <c r="L378" s="7">
        <f>I378*SilverPoints*G378</f>
        <v>0</v>
      </c>
      <c r="M378" s="7">
        <f>J378*BronzePoints*G378</f>
        <v>0</v>
      </c>
      <c r="N378" s="7">
        <f t="shared" si="1"/>
        <v>0</v>
      </c>
      <c r="O378" s="7" t="b">
        <f t="array" ref="O378">IF(E378="",FALSE,IFERROR(AND(ISNUMBER(MATCH(E378,Countries!$A$2:$A$72,0)),XLOOKUP(E378,Countries!$A$2:$A$72,Countries!$I$2:$I$72,FALSE)),FALSE))</f>
        <v>0</v>
      </c>
      <c r="P378" s="7" t="b">
        <f t="array" ref="P378">IF(E378="",FALSE,IFERROR(XLOOKUP(E378,Countries!$A$2:$A$72,Countries!$G$2:$G$72,FALSE),FALSE))</f>
        <v>0</v>
      </c>
      <c r="Q378" s="7" t="str">
        <f t="shared" si="2"/>
        <v>⚪</v>
      </c>
    </row>
    <row r="379" ht="15.75" customHeight="1">
      <c r="A379" s="7" t="str">
        <f t="array" ref="A379">IFERROR(IF(INDEX(Entries!$C$2:$C$48,48)="","",INDEX(Entries!$Q$2:$Q$48,48)),"")</f>
        <v/>
      </c>
      <c r="B379" s="7" t="str">
        <f t="array" ref="B379">IF(A379="","",IFERROR(INDEX(Entries!$E$2:$E$48,48),""))</f>
        <v/>
      </c>
      <c r="C379" s="7" t="str">
        <f>IF(A379="","","Tier2_Pick1")</f>
        <v/>
      </c>
      <c r="D379" s="7" t="str">
        <f t="shared" ref="D379:D380" si="97">IF(A379="","",2)</f>
        <v/>
      </c>
      <c r="E379" s="7" t="str">
        <f t="array" ref="E379">IF(A379="","",IFERROR(INDEX(Entries!$M$2:$M$48,48),""))</f>
        <v/>
      </c>
      <c r="F379" s="7" t="str">
        <f>IF(E379="","",IFERROR(_xludf.XLOOKUP(E379,Countries!$A$2:$A$72,Countries!$B$2:$B$72,"???"),"???"))</f>
        <v/>
      </c>
      <c r="G379" s="7">
        <f t="array" ref="G379">IF(E379="",0,IFERROR(XLOOKUP(E379,Countries!$A$2:$A$72,Countries!$E$2:$E$72,0),0))</f>
        <v>0</v>
      </c>
      <c r="H379" s="7">
        <f t="array" ref="H379">IF(E379="",0,IFERROR(XLOOKUP(E379,Medals!$B$2:$B$51,Medals!$D$2:$D$51,0),0))</f>
        <v>0</v>
      </c>
      <c r="I379" s="7">
        <f t="array" ref="I379">IF(E379="",0,IFERROR(XLOOKUP(E379,Medals!$B$2:$B$51,Medals!$E$2:$E$51,0),0))</f>
        <v>0</v>
      </c>
      <c r="J379" s="7">
        <f t="array" ref="J379">IF(E379="",0,IFERROR(XLOOKUP(E379,Medals!$B$2:$B$51,Medals!$F$2:$F$51,0),0))</f>
        <v>0</v>
      </c>
      <c r="K379" s="7">
        <f>H379*GoldPoints*G379</f>
        <v>0</v>
      </c>
      <c r="L379" s="7">
        <f>I379*SilverPoints*G379</f>
        <v>0</v>
      </c>
      <c r="M379" s="7">
        <f>J379*BronzePoints*G379</f>
        <v>0</v>
      </c>
      <c r="N379" s="7">
        <f t="shared" si="1"/>
        <v>0</v>
      </c>
      <c r="O379" s="7" t="b">
        <f t="array" ref="O379">IF(E379="",FALSE,IFERROR(AND(ISNUMBER(MATCH(E379,Countries!$A$2:$A$72,0)),XLOOKUP(E379,Countries!$A$2:$A$72,Countries!$I$2:$I$72,FALSE)),FALSE))</f>
        <v>0</v>
      </c>
      <c r="P379" s="7" t="b">
        <f t="array" ref="P379">IF(E379="",FALSE,IFERROR(XLOOKUP(E379,Countries!$A$2:$A$72,Countries!$G$2:$G$72,FALSE),FALSE))</f>
        <v>0</v>
      </c>
      <c r="Q379" s="7" t="str">
        <f t="shared" si="2"/>
        <v>⚪</v>
      </c>
    </row>
    <row r="380" ht="15.75" customHeight="1">
      <c r="A380" s="7" t="str">
        <f t="array" ref="A380">IFERROR(IF(INDEX(Entries!$C$2:$C$48,48)="","",INDEX(Entries!$Q$2:$Q$48,48)),"")</f>
        <v/>
      </c>
      <c r="B380" s="7" t="str">
        <f t="array" ref="B380">IF(A380="","",IFERROR(INDEX(Entries!$E$2:$E$48,48),""))</f>
        <v/>
      </c>
      <c r="C380" s="7" t="str">
        <f>IF(A380="","","Tier2_Pick2")</f>
        <v/>
      </c>
      <c r="D380" s="7" t="str">
        <f t="shared" si="97"/>
        <v/>
      </c>
      <c r="E380" s="7" t="str">
        <f t="array" ref="E380">IF(A380="","",IFERROR(INDEX(Entries!$N$2:$N$48,48),""))</f>
        <v/>
      </c>
      <c r="F380" s="7" t="str">
        <f>IF(E380="","",IFERROR(_xludf.XLOOKUP(E380,Countries!$A$2:$A$72,Countries!$B$2:$B$72,"???"),"???"))</f>
        <v/>
      </c>
      <c r="G380" s="7">
        <f t="array" ref="G380">IF(E380="",0,IFERROR(XLOOKUP(E380,Countries!$A$2:$A$72,Countries!$E$2:$E$72,0),0))</f>
        <v>0</v>
      </c>
      <c r="H380" s="7">
        <f t="array" ref="H380">IF(E380="",0,IFERROR(XLOOKUP(E380,Medals!$B$2:$B$51,Medals!$D$2:$D$51,0),0))</f>
        <v>0</v>
      </c>
      <c r="I380" s="7">
        <f t="array" ref="I380">IF(E380="",0,IFERROR(XLOOKUP(E380,Medals!$B$2:$B$51,Medals!$E$2:$E$51,0),0))</f>
        <v>0</v>
      </c>
      <c r="J380" s="7">
        <f t="array" ref="J380">IF(E380="",0,IFERROR(XLOOKUP(E380,Medals!$B$2:$B$51,Medals!$F$2:$F$51,0),0))</f>
        <v>0</v>
      </c>
      <c r="K380" s="7">
        <f>H380*GoldPoints*G380</f>
        <v>0</v>
      </c>
      <c r="L380" s="7">
        <f>I380*SilverPoints*G380</f>
        <v>0</v>
      </c>
      <c r="M380" s="7">
        <f>J380*BronzePoints*G380</f>
        <v>0</v>
      </c>
      <c r="N380" s="7">
        <f t="shared" si="1"/>
        <v>0</v>
      </c>
      <c r="O380" s="7" t="b">
        <f t="array" ref="O380">IF(E380="",FALSE,IFERROR(AND(ISNUMBER(MATCH(E380,Countries!$A$2:$A$72,0)),XLOOKUP(E380,Countries!$A$2:$A$72,Countries!$I$2:$I$72,FALSE)),FALSE))</f>
        <v>0</v>
      </c>
      <c r="P380" s="7" t="b">
        <f t="array" ref="P380">IF(E380="",FALSE,IFERROR(XLOOKUP(E380,Countries!$A$2:$A$72,Countries!$G$2:$G$72,FALSE),FALSE))</f>
        <v>0</v>
      </c>
      <c r="Q380" s="7" t="str">
        <f t="shared" si="2"/>
        <v>⚪</v>
      </c>
    </row>
    <row r="381" ht="15.75" customHeight="1">
      <c r="A381" s="7" t="str">
        <f t="array" ref="A381">IFERROR(IF(INDEX(Entries!$C$2:$C$48,48)="","",INDEX(Entries!$Q$2:$Q$48,48)),"")</f>
        <v/>
      </c>
      <c r="B381" s="7" t="str">
        <f t="array" ref="B381">IF(A381="","",IFERROR(INDEX(Entries!$E$2:$E$48,48),""))</f>
        <v/>
      </c>
      <c r="C381" s="7" t="str">
        <f>IF(A381="","","Tier3_Pick1")</f>
        <v/>
      </c>
      <c r="D381" s="7" t="str">
        <f>IF(A381="","",3)</f>
        <v/>
      </c>
      <c r="E381" s="7" t="str">
        <f t="array" ref="E381">IF(A381="","",IFERROR(INDEX(Entries!$H$2:$H$48,48),""))</f>
        <v/>
      </c>
      <c r="F381" s="7" t="str">
        <f>IF(E381="","",IFERROR(_xludf.XLOOKUP(E381,Countries!$A$2:$A$72,Countries!$B$2:$B$72,"???"),"???"))</f>
        <v/>
      </c>
      <c r="G381" s="7">
        <f t="array" ref="G381">IF(E381="",0,IFERROR(XLOOKUP(E381,Countries!$A$2:$A$72,Countries!$E$2:$E$72,0),0))</f>
        <v>0</v>
      </c>
      <c r="H381" s="7">
        <f t="array" ref="H381">IF(E381="",0,IFERROR(XLOOKUP(E381,Medals!$B$2:$B$51,Medals!$D$2:$D$51,0),0))</f>
        <v>0</v>
      </c>
      <c r="I381" s="7">
        <f t="array" ref="I381">IF(E381="",0,IFERROR(XLOOKUP(E381,Medals!$B$2:$B$51,Medals!$E$2:$E$51,0),0))</f>
        <v>0</v>
      </c>
      <c r="J381" s="7">
        <f t="array" ref="J381">IF(E381="",0,IFERROR(XLOOKUP(E381,Medals!$B$2:$B$51,Medals!$F$2:$F$51,0),0))</f>
        <v>0</v>
      </c>
      <c r="K381" s="7">
        <f>H381*GoldPoints*G381</f>
        <v>0</v>
      </c>
      <c r="L381" s="7">
        <f>I381*SilverPoints*G381</f>
        <v>0</v>
      </c>
      <c r="M381" s="7">
        <f>J381*BronzePoints*G381</f>
        <v>0</v>
      </c>
      <c r="N381" s="7">
        <f t="shared" si="1"/>
        <v>0</v>
      </c>
      <c r="O381" s="7" t="b">
        <f t="array" ref="O381">IF(E381="",FALSE,IFERROR(AND(ISNUMBER(MATCH(E381,Countries!$A$2:$A$72,0)),XLOOKUP(E381,Countries!$A$2:$A$72,Countries!$I$2:$I$72,FALSE)),FALSE))</f>
        <v>0</v>
      </c>
      <c r="P381" s="7" t="b">
        <f t="array" ref="P381">IF(E381="",FALSE,IFERROR(XLOOKUP(E381,Countries!$A$2:$A$72,Countries!$G$2:$G$72,FALSE),FALSE))</f>
        <v>0</v>
      </c>
      <c r="Q381" s="7" t="str">
        <f t="shared" si="2"/>
        <v>⚪</v>
      </c>
    </row>
    <row r="382" ht="15.75" customHeight="1">
      <c r="A382" s="7" t="str">
        <f t="array" ref="A382">IFERROR(IF(INDEX(Entries!$C$2:$C$48,48)="","",INDEX(Entries!$Q$2:$Q$48,48)),"")</f>
        <v/>
      </c>
      <c r="B382" s="7" t="str">
        <f t="array" ref="B382">IF(A382="","",IFERROR(INDEX(Entries!$E$2:$E$48,48),""))</f>
        <v/>
      </c>
      <c r="C382" s="7" t="str">
        <f>IF(A382="","","Tier4_Pick1")</f>
        <v/>
      </c>
      <c r="D382" s="7" t="str">
        <f>IF(A382="","",4)</f>
        <v/>
      </c>
      <c r="E382" s="7" t="str">
        <f t="array" ref="E382">IF(A382="","",IFERROR(INDEX(Entries!$I$2:$I$48,48),""))</f>
        <v/>
      </c>
      <c r="F382" s="7" t="str">
        <f>IF(E382="","",IFERROR(_xludf.XLOOKUP(E382,Countries!$A$2:$A$72,Countries!$B$2:$B$72,"???"),"???"))</f>
        <v/>
      </c>
      <c r="G382" s="7">
        <f t="array" ref="G382">IF(E382="",0,IFERROR(XLOOKUP(E382,Countries!$A$2:$A$72,Countries!$E$2:$E$72,0),0))</f>
        <v>0</v>
      </c>
      <c r="H382" s="7">
        <f t="array" ref="H382">IF(E382="",0,IFERROR(XLOOKUP(E382,Medals!$B$2:$B$51,Medals!$D$2:$D$51,0),0))</f>
        <v>0</v>
      </c>
      <c r="I382" s="7">
        <f t="array" ref="I382">IF(E382="",0,IFERROR(XLOOKUP(E382,Medals!$B$2:$B$51,Medals!$E$2:$E$51,0),0))</f>
        <v>0</v>
      </c>
      <c r="J382" s="7">
        <f t="array" ref="J382">IF(E382="",0,IFERROR(XLOOKUP(E382,Medals!$B$2:$B$51,Medals!$F$2:$F$51,0),0))</f>
        <v>0</v>
      </c>
      <c r="K382" s="7">
        <f>H382*GoldPoints*G382</f>
        <v>0</v>
      </c>
      <c r="L382" s="7">
        <f>I382*SilverPoints*G382</f>
        <v>0</v>
      </c>
      <c r="M382" s="7">
        <f>J382*BronzePoints*G382</f>
        <v>0</v>
      </c>
      <c r="N382" s="7">
        <f t="shared" si="1"/>
        <v>0</v>
      </c>
      <c r="O382" s="7" t="b">
        <f t="array" ref="O382">IF(E382="",FALSE,IFERROR(AND(ISNUMBER(MATCH(E382,Countries!$A$2:$A$72,0)),XLOOKUP(E382,Countries!$A$2:$A$72,Countries!$I$2:$I$72,FALSE)),FALSE))</f>
        <v>0</v>
      </c>
      <c r="P382" s="7" t="b">
        <f t="array" ref="P382">IF(E382="",FALSE,IFERROR(XLOOKUP(E382,Countries!$A$2:$A$72,Countries!$G$2:$G$72,FALSE),FALSE))</f>
        <v>0</v>
      </c>
      <c r="Q382" s="7" t="str">
        <f t="shared" si="2"/>
        <v>⚪</v>
      </c>
    </row>
    <row r="383" ht="15.75" customHeight="1">
      <c r="A383" s="7" t="str">
        <f t="array" ref="A383">IFERROR(IF(INDEX(Entries!$C$2:$C$48,48)="","",INDEX(Entries!$Q$2:$Q$48,48)),"")</f>
        <v/>
      </c>
      <c r="B383" s="7" t="str">
        <f t="array" ref="B383">IF(A383="","",IFERROR(INDEX(Entries!$E$2:$E$48,48),""))</f>
        <v/>
      </c>
      <c r="C383" s="7" t="str">
        <f>IF(A383="","","Tier5_Pick1")</f>
        <v/>
      </c>
      <c r="D383" s="7" t="str">
        <f>IF(A383="","",5)</f>
        <v/>
      </c>
      <c r="E383" s="7" t="str">
        <f t="array" ref="E383">IF(A383="","",IFERROR(INDEX(Entries!$J$2:$J$48,48),""))</f>
        <v/>
      </c>
      <c r="F383" s="7" t="str">
        <f>IF(E383="","",IFERROR(_xludf.XLOOKUP(E383,Countries!$A$2:$A$72,Countries!$B$2:$B$72,"???"),"???"))</f>
        <v/>
      </c>
      <c r="G383" s="7">
        <f t="array" ref="G383">IF(E383="",0,IFERROR(XLOOKUP(E383,Countries!$A$2:$A$72,Countries!$E$2:$E$72,0),0))</f>
        <v>0</v>
      </c>
      <c r="H383" s="7">
        <f t="array" ref="H383">IF(E383="",0,IFERROR(XLOOKUP(E383,Medals!$B$2:$B$51,Medals!$D$2:$D$51,0),0))</f>
        <v>0</v>
      </c>
      <c r="I383" s="7">
        <f t="array" ref="I383">IF(E383="",0,IFERROR(XLOOKUP(E383,Medals!$B$2:$B$51,Medals!$E$2:$E$51,0),0))</f>
        <v>0</v>
      </c>
      <c r="J383" s="7">
        <f t="array" ref="J383">IF(E383="",0,IFERROR(XLOOKUP(E383,Medals!$B$2:$B$51,Medals!$F$2:$F$51,0),0))</f>
        <v>0</v>
      </c>
      <c r="K383" s="7">
        <f>H383*GoldPoints*G383</f>
        <v>0</v>
      </c>
      <c r="L383" s="7">
        <f>I383*SilverPoints*G383</f>
        <v>0</v>
      </c>
      <c r="M383" s="7">
        <f>J383*BronzePoints*G383</f>
        <v>0</v>
      </c>
      <c r="N383" s="7">
        <f t="shared" si="1"/>
        <v>0</v>
      </c>
      <c r="O383" s="7" t="b">
        <f t="array" ref="O383">IF(E383="",FALSE,IFERROR(AND(ISNUMBER(MATCH(E383,Countries!$A$2:$A$72,0)),XLOOKUP(E383,Countries!$A$2:$A$72,Countries!$I$2:$I$72,FALSE)),FALSE))</f>
        <v>0</v>
      </c>
      <c r="P383" s="7" t="b">
        <f t="array" ref="P383">IF(E383="",FALSE,IFERROR(XLOOKUP(E383,Countries!$A$2:$A$72,Countries!$G$2:$G$72,FALSE),FALSE))</f>
        <v>0</v>
      </c>
      <c r="Q383" s="7" t="str">
        <f t="shared" si="2"/>
        <v>⚪</v>
      </c>
    </row>
    <row r="384" ht="15.75" customHeight="1">
      <c r="A384" s="7" t="str">
        <f t="array" ref="A384">IFERROR(IF(INDEX(Entries!$C$2:$C$48,48)="","",INDEX(Entries!$Q$2:$Q$48,48)),"")</f>
        <v/>
      </c>
      <c r="B384" s="7" t="str">
        <f t="array" ref="B384">IF(A384="","",IFERROR(INDEX(Entries!$E$2:$E$48,48),""))</f>
        <v/>
      </c>
      <c r="C384" s="7" t="str">
        <f>IF(A384="","","Tier6_Pick1")</f>
        <v/>
      </c>
      <c r="D384" s="7" t="str">
        <f t="shared" ref="D384:D385" si="98">IF(A384="","",6)</f>
        <v/>
      </c>
      <c r="E384" s="7" t="str">
        <f t="array" ref="E384">IF(A384="","",IFERROR(INDEX(Entries!$O$2:$O$48,48),""))</f>
        <v/>
      </c>
      <c r="F384" s="7" t="str">
        <f>IF(E384="","",IFERROR(_xludf.XLOOKUP(E384,Countries!$A$2:$A$72,Countries!$B$2:$B$72,"???"),"???"))</f>
        <v/>
      </c>
      <c r="G384" s="7">
        <f t="array" ref="G384">IF(E384="",0,IFERROR(XLOOKUP(E384,Countries!$A$2:$A$72,Countries!$E$2:$E$72,0),0))</f>
        <v>0</v>
      </c>
      <c r="H384" s="7">
        <f t="array" ref="H384">IF(E384="",0,IFERROR(XLOOKUP(E384,Medals!$B$2:$B$51,Medals!$D$2:$D$51,0),0))</f>
        <v>0</v>
      </c>
      <c r="I384" s="7">
        <f t="array" ref="I384">IF(E384="",0,IFERROR(XLOOKUP(E384,Medals!$B$2:$B$51,Medals!$E$2:$E$51,0),0))</f>
        <v>0</v>
      </c>
      <c r="J384" s="7">
        <f t="array" ref="J384">IF(E384="",0,IFERROR(XLOOKUP(E384,Medals!$B$2:$B$51,Medals!$F$2:$F$51,0),0))</f>
        <v>0</v>
      </c>
      <c r="K384" s="7">
        <f>H384*GoldPoints*G384</f>
        <v>0</v>
      </c>
      <c r="L384" s="7">
        <f>I384*SilverPoints*G384</f>
        <v>0</v>
      </c>
      <c r="M384" s="7">
        <f>J384*BronzePoints*G384</f>
        <v>0</v>
      </c>
      <c r="N384" s="7">
        <f t="shared" si="1"/>
        <v>0</v>
      </c>
      <c r="O384" s="7" t="b">
        <f t="array" ref="O384">IF(E384="",FALSE,IFERROR(AND(ISNUMBER(MATCH(E384,Countries!$A$2:$A$72,0)),XLOOKUP(E384,Countries!$A$2:$A$72,Countries!$I$2:$I$72,FALSE)),FALSE))</f>
        <v>0</v>
      </c>
      <c r="P384" s="7" t="b">
        <f t="array" ref="P384">IF(E384="",FALSE,IFERROR(XLOOKUP(E384,Countries!$A$2:$A$72,Countries!$G$2:$G$72,FALSE),FALSE))</f>
        <v>0</v>
      </c>
      <c r="Q384" s="7" t="str">
        <f t="shared" si="2"/>
        <v>⚪</v>
      </c>
    </row>
    <row r="385" ht="15.75" customHeight="1">
      <c r="A385" s="7" t="str">
        <f t="array" ref="A385">IFERROR(IF(INDEX(Entries!$C$2:$C$48,48)="","",INDEX(Entries!$Q$2:$Q$48,48)),"")</f>
        <v/>
      </c>
      <c r="B385" s="7" t="str">
        <f t="array" ref="B385">IF(A385="","",IFERROR(INDEX(Entries!$E$2:$E$48,48),""))</f>
        <v/>
      </c>
      <c r="C385" s="7" t="str">
        <f>IF(A385="","","Tier6_Pick2")</f>
        <v/>
      </c>
      <c r="D385" s="7" t="str">
        <f t="shared" si="98"/>
        <v/>
      </c>
      <c r="E385" s="7" t="str">
        <f t="array" ref="E385">IF(A385="","",IFERROR(INDEX(Entries!$P$2:$P$48,48),""))</f>
        <v/>
      </c>
      <c r="F385" s="7" t="str">
        <f>IF(E385="","",IFERROR(_xludf.XLOOKUP(E385,Countries!$A$2:$A$72,Countries!$B$2:$B$72,"???"),"???"))</f>
        <v/>
      </c>
      <c r="G385" s="7">
        <f t="array" ref="G385">IF(E385="",0,IFERROR(XLOOKUP(E385,Countries!$A$2:$A$72,Countries!$E$2:$E$72,0),0))</f>
        <v>0</v>
      </c>
      <c r="H385" s="7">
        <f t="array" ref="H385">IF(E385="",0,IFERROR(XLOOKUP(E385,Medals!$B$2:$B$51,Medals!$D$2:$D$51,0),0))</f>
        <v>0</v>
      </c>
      <c r="I385" s="7">
        <f t="array" ref="I385">IF(E385="",0,IFERROR(XLOOKUP(E385,Medals!$B$2:$B$51,Medals!$E$2:$E$51,0),0))</f>
        <v>0</v>
      </c>
      <c r="J385" s="7">
        <f t="array" ref="J385">IF(E385="",0,IFERROR(XLOOKUP(E385,Medals!$B$2:$B$51,Medals!$F$2:$F$51,0),0))</f>
        <v>0</v>
      </c>
      <c r="K385" s="7">
        <f>H385*GoldPoints*G385</f>
        <v>0</v>
      </c>
      <c r="L385" s="7">
        <f>I385*SilverPoints*G385</f>
        <v>0</v>
      </c>
      <c r="M385" s="7">
        <f>J385*BronzePoints*G385</f>
        <v>0</v>
      </c>
      <c r="N385" s="7">
        <f t="shared" si="1"/>
        <v>0</v>
      </c>
      <c r="O385" s="7" t="b">
        <f t="array" ref="O385">IF(E385="",FALSE,IFERROR(AND(ISNUMBER(MATCH(E385,Countries!$A$2:$A$72,0)),XLOOKUP(E385,Countries!$A$2:$A$72,Countries!$I$2:$I$72,FALSE)),FALSE))</f>
        <v>0</v>
      </c>
      <c r="P385" s="7" t="b">
        <f t="array" ref="P385">IF(E385="",FALSE,IFERROR(XLOOKUP(E385,Countries!$A$2:$A$72,Countries!$G$2:$G$72,FALSE),FALSE))</f>
        <v>0</v>
      </c>
      <c r="Q385" s="7" t="str">
        <f t="shared" si="2"/>
        <v>⚪</v>
      </c>
    </row>
    <row r="386" ht="15.75" customHeight="1">
      <c r="A386" s="7" t="str">
        <f t="array" ref="A386">IFERROR(IF(INDEX(Entries!$C$2:$C$48,49)="","",INDEX(Entries!$Q$2:$Q$48,49)),"")</f>
        <v/>
      </c>
      <c r="B386" s="7" t="str">
        <f t="array" ref="B386">IF(A386="","",IFERROR(INDEX(Entries!$E$2:$E$48,49),""))</f>
        <v/>
      </c>
      <c r="C386" s="7" t="str">
        <f>IF(A386="","","Tier1_Pick1")</f>
        <v/>
      </c>
      <c r="D386" s="7" t="str">
        <f>IF(A386="","",1)</f>
        <v/>
      </c>
      <c r="E386" s="7" t="str">
        <f t="array" ref="E386">IF(A386="","",IFERROR(INDEX(Entries!$F$2:$F$48,49),""))</f>
        <v/>
      </c>
      <c r="F386" s="7" t="str">
        <f>IF(E386="","",IFERROR(_xludf.XLOOKUP(E386,Countries!$A$2:$A$72,Countries!$B$2:$B$72,"???"),"???"))</f>
        <v/>
      </c>
      <c r="G386" s="7">
        <f t="array" ref="G386">IF(E386="",0,IFERROR(XLOOKUP(E386,Countries!$A$2:$A$72,Countries!$E$2:$E$72,0),0))</f>
        <v>0</v>
      </c>
      <c r="H386" s="7">
        <f t="array" ref="H386">IF(E386="",0,IFERROR(XLOOKUP(E386,Medals!$B$2:$B$51,Medals!$D$2:$D$51,0),0))</f>
        <v>0</v>
      </c>
      <c r="I386" s="7">
        <f t="array" ref="I386">IF(E386="",0,IFERROR(XLOOKUP(E386,Medals!$B$2:$B$51,Medals!$E$2:$E$51,0),0))</f>
        <v>0</v>
      </c>
      <c r="J386" s="7">
        <f t="array" ref="J386">IF(E386="",0,IFERROR(XLOOKUP(E386,Medals!$B$2:$B$51,Medals!$F$2:$F$51,0),0))</f>
        <v>0</v>
      </c>
      <c r="K386" s="7">
        <f>H386*GoldPoints*G386</f>
        <v>0</v>
      </c>
      <c r="L386" s="7">
        <f>I386*SilverPoints*G386</f>
        <v>0</v>
      </c>
      <c r="M386" s="7">
        <f>J386*BronzePoints*G386</f>
        <v>0</v>
      </c>
      <c r="N386" s="7">
        <f t="shared" si="1"/>
        <v>0</v>
      </c>
      <c r="O386" s="7" t="b">
        <f t="array" ref="O386">IF(E386="",FALSE,IFERROR(AND(ISNUMBER(MATCH(E386,Countries!$A$2:$A$72,0)),XLOOKUP(E386,Countries!$A$2:$A$72,Countries!$I$2:$I$72,FALSE)),FALSE))</f>
        <v>0</v>
      </c>
      <c r="P386" s="7" t="b">
        <f t="array" ref="P386">IF(E386="",FALSE,IFERROR(XLOOKUP(E386,Countries!$A$2:$A$72,Countries!$G$2:$G$72,FALSE),FALSE))</f>
        <v>0</v>
      </c>
      <c r="Q386" s="7" t="str">
        <f t="shared" si="2"/>
        <v>⚪</v>
      </c>
    </row>
    <row r="387" ht="15.75" customHeight="1">
      <c r="A387" s="7" t="str">
        <f t="array" ref="A387">IFERROR(IF(INDEX(Entries!$C$2:$C$48,49)="","",INDEX(Entries!$Q$2:$Q$48,49)),"")</f>
        <v/>
      </c>
      <c r="B387" s="7" t="str">
        <f t="array" ref="B387">IF(A387="","",IFERROR(INDEX(Entries!$E$2:$E$48,49),""))</f>
        <v/>
      </c>
      <c r="C387" s="7" t="str">
        <f>IF(A387="","","Tier2_Pick1")</f>
        <v/>
      </c>
      <c r="D387" s="7" t="str">
        <f t="shared" ref="D387:D388" si="99">IF(A387="","",2)</f>
        <v/>
      </c>
      <c r="E387" s="7" t="str">
        <f t="array" ref="E387">IF(A387="","",IFERROR(INDEX(Entries!$M$2:$M$48,49),""))</f>
        <v/>
      </c>
      <c r="F387" s="7" t="str">
        <f>IF(E387="","",IFERROR(_xludf.XLOOKUP(E387,Countries!$A$2:$A$72,Countries!$B$2:$B$72,"???"),"???"))</f>
        <v/>
      </c>
      <c r="G387" s="7">
        <f t="array" ref="G387">IF(E387="",0,IFERROR(XLOOKUP(E387,Countries!$A$2:$A$72,Countries!$E$2:$E$72,0),0))</f>
        <v>0</v>
      </c>
      <c r="H387" s="7">
        <f t="array" ref="H387">IF(E387="",0,IFERROR(XLOOKUP(E387,Medals!$B$2:$B$51,Medals!$D$2:$D$51,0),0))</f>
        <v>0</v>
      </c>
      <c r="I387" s="7">
        <f t="array" ref="I387">IF(E387="",0,IFERROR(XLOOKUP(E387,Medals!$B$2:$B$51,Medals!$E$2:$E$51,0),0))</f>
        <v>0</v>
      </c>
      <c r="J387" s="7">
        <f t="array" ref="J387">IF(E387="",0,IFERROR(XLOOKUP(E387,Medals!$B$2:$B$51,Medals!$F$2:$F$51,0),0))</f>
        <v>0</v>
      </c>
      <c r="K387" s="7">
        <f>H387*GoldPoints*G387</f>
        <v>0</v>
      </c>
      <c r="L387" s="7">
        <f>I387*SilverPoints*G387</f>
        <v>0</v>
      </c>
      <c r="M387" s="7">
        <f>J387*BronzePoints*G387</f>
        <v>0</v>
      </c>
      <c r="N387" s="7">
        <f t="shared" si="1"/>
        <v>0</v>
      </c>
      <c r="O387" s="7" t="b">
        <f t="array" ref="O387">IF(E387="",FALSE,IFERROR(AND(ISNUMBER(MATCH(E387,Countries!$A$2:$A$72,0)),XLOOKUP(E387,Countries!$A$2:$A$72,Countries!$I$2:$I$72,FALSE)),FALSE))</f>
        <v>0</v>
      </c>
      <c r="P387" s="7" t="b">
        <f t="array" ref="P387">IF(E387="",FALSE,IFERROR(XLOOKUP(E387,Countries!$A$2:$A$72,Countries!$G$2:$G$72,FALSE),FALSE))</f>
        <v>0</v>
      </c>
      <c r="Q387" s="7" t="str">
        <f t="shared" si="2"/>
        <v>⚪</v>
      </c>
    </row>
    <row r="388" ht="15.75" customHeight="1">
      <c r="A388" s="7" t="str">
        <f t="array" ref="A388">IFERROR(IF(INDEX(Entries!$C$2:$C$48,49)="","",INDEX(Entries!$Q$2:$Q$48,49)),"")</f>
        <v/>
      </c>
      <c r="B388" s="7" t="str">
        <f t="array" ref="B388">IF(A388="","",IFERROR(INDEX(Entries!$E$2:$E$48,49),""))</f>
        <v/>
      </c>
      <c r="C388" s="7" t="str">
        <f>IF(A388="","","Tier2_Pick2")</f>
        <v/>
      </c>
      <c r="D388" s="7" t="str">
        <f t="shared" si="99"/>
        <v/>
      </c>
      <c r="E388" s="7" t="str">
        <f t="array" ref="E388">IF(A388="","",IFERROR(INDEX(Entries!$N$2:$N$48,49),""))</f>
        <v/>
      </c>
      <c r="F388" s="7" t="str">
        <f>IF(E388="","",IFERROR(_xludf.XLOOKUP(E388,Countries!$A$2:$A$72,Countries!$B$2:$B$72,"???"),"???"))</f>
        <v/>
      </c>
      <c r="G388" s="7">
        <f t="array" ref="G388">IF(E388="",0,IFERROR(XLOOKUP(E388,Countries!$A$2:$A$72,Countries!$E$2:$E$72,0),0))</f>
        <v>0</v>
      </c>
      <c r="H388" s="7">
        <f t="array" ref="H388">IF(E388="",0,IFERROR(XLOOKUP(E388,Medals!$B$2:$B$51,Medals!$D$2:$D$51,0),0))</f>
        <v>0</v>
      </c>
      <c r="I388" s="7">
        <f t="array" ref="I388">IF(E388="",0,IFERROR(XLOOKUP(E388,Medals!$B$2:$B$51,Medals!$E$2:$E$51,0),0))</f>
        <v>0</v>
      </c>
      <c r="J388" s="7">
        <f t="array" ref="J388">IF(E388="",0,IFERROR(XLOOKUP(E388,Medals!$B$2:$B$51,Medals!$F$2:$F$51,0),0))</f>
        <v>0</v>
      </c>
      <c r="K388" s="7">
        <f>H388*GoldPoints*G388</f>
        <v>0</v>
      </c>
      <c r="L388" s="7">
        <f>I388*SilverPoints*G388</f>
        <v>0</v>
      </c>
      <c r="M388" s="7">
        <f>J388*BronzePoints*G388</f>
        <v>0</v>
      </c>
      <c r="N388" s="7">
        <f t="shared" si="1"/>
        <v>0</v>
      </c>
      <c r="O388" s="7" t="b">
        <f t="array" ref="O388">IF(E388="",FALSE,IFERROR(AND(ISNUMBER(MATCH(E388,Countries!$A$2:$A$72,0)),XLOOKUP(E388,Countries!$A$2:$A$72,Countries!$I$2:$I$72,FALSE)),FALSE))</f>
        <v>0</v>
      </c>
      <c r="P388" s="7" t="b">
        <f t="array" ref="P388">IF(E388="",FALSE,IFERROR(XLOOKUP(E388,Countries!$A$2:$A$72,Countries!$G$2:$G$72,FALSE),FALSE))</f>
        <v>0</v>
      </c>
      <c r="Q388" s="7" t="str">
        <f t="shared" si="2"/>
        <v>⚪</v>
      </c>
    </row>
    <row r="389" ht="15.75" customHeight="1">
      <c r="A389" s="7" t="str">
        <f t="array" ref="A389">IFERROR(IF(INDEX(Entries!$C$2:$C$48,49)="","",INDEX(Entries!$Q$2:$Q$48,49)),"")</f>
        <v/>
      </c>
      <c r="B389" s="7" t="str">
        <f t="array" ref="B389">IF(A389="","",IFERROR(INDEX(Entries!$E$2:$E$48,49),""))</f>
        <v/>
      </c>
      <c r="C389" s="7" t="str">
        <f>IF(A389="","","Tier3_Pick1")</f>
        <v/>
      </c>
      <c r="D389" s="7" t="str">
        <f>IF(A389="","",3)</f>
        <v/>
      </c>
      <c r="E389" s="7" t="str">
        <f t="array" ref="E389">IF(A389="","",IFERROR(INDEX(Entries!$H$2:$H$48,49),""))</f>
        <v/>
      </c>
      <c r="F389" s="7" t="str">
        <f>IF(E389="","",IFERROR(_xludf.XLOOKUP(E389,Countries!$A$2:$A$72,Countries!$B$2:$B$72,"???"),"???"))</f>
        <v/>
      </c>
      <c r="G389" s="7">
        <f t="array" ref="G389">IF(E389="",0,IFERROR(XLOOKUP(E389,Countries!$A$2:$A$72,Countries!$E$2:$E$72,0),0))</f>
        <v>0</v>
      </c>
      <c r="H389" s="7">
        <f t="array" ref="H389">IF(E389="",0,IFERROR(XLOOKUP(E389,Medals!$B$2:$B$51,Medals!$D$2:$D$51,0),0))</f>
        <v>0</v>
      </c>
      <c r="I389" s="7">
        <f t="array" ref="I389">IF(E389="",0,IFERROR(XLOOKUP(E389,Medals!$B$2:$B$51,Medals!$E$2:$E$51,0),0))</f>
        <v>0</v>
      </c>
      <c r="J389" s="7">
        <f t="array" ref="J389">IF(E389="",0,IFERROR(XLOOKUP(E389,Medals!$B$2:$B$51,Medals!$F$2:$F$51,0),0))</f>
        <v>0</v>
      </c>
      <c r="K389" s="7">
        <f>H389*GoldPoints*G389</f>
        <v>0</v>
      </c>
      <c r="L389" s="7">
        <f>I389*SilverPoints*G389</f>
        <v>0</v>
      </c>
      <c r="M389" s="7">
        <f>J389*BronzePoints*G389</f>
        <v>0</v>
      </c>
      <c r="N389" s="7">
        <f t="shared" si="1"/>
        <v>0</v>
      </c>
      <c r="O389" s="7" t="b">
        <f t="array" ref="O389">IF(E389="",FALSE,IFERROR(AND(ISNUMBER(MATCH(E389,Countries!$A$2:$A$72,0)),XLOOKUP(E389,Countries!$A$2:$A$72,Countries!$I$2:$I$72,FALSE)),FALSE))</f>
        <v>0</v>
      </c>
      <c r="P389" s="7" t="b">
        <f t="array" ref="P389">IF(E389="",FALSE,IFERROR(XLOOKUP(E389,Countries!$A$2:$A$72,Countries!$G$2:$G$72,FALSE),FALSE))</f>
        <v>0</v>
      </c>
      <c r="Q389" s="7" t="str">
        <f t="shared" si="2"/>
        <v>⚪</v>
      </c>
    </row>
    <row r="390" ht="15.75" customHeight="1">
      <c r="A390" s="7" t="str">
        <f t="array" ref="A390">IFERROR(IF(INDEX(Entries!$C$2:$C$48,49)="","",INDEX(Entries!$Q$2:$Q$48,49)),"")</f>
        <v/>
      </c>
      <c r="B390" s="7" t="str">
        <f t="array" ref="B390">IF(A390="","",IFERROR(INDEX(Entries!$E$2:$E$48,49),""))</f>
        <v/>
      </c>
      <c r="C390" s="7" t="str">
        <f>IF(A390="","","Tier4_Pick1")</f>
        <v/>
      </c>
      <c r="D390" s="7" t="str">
        <f>IF(A390="","",4)</f>
        <v/>
      </c>
      <c r="E390" s="7" t="str">
        <f t="array" ref="E390">IF(A390="","",IFERROR(INDEX(Entries!$I$2:$I$48,49),""))</f>
        <v/>
      </c>
      <c r="F390" s="7" t="str">
        <f>IF(E390="","",IFERROR(_xludf.XLOOKUP(E390,Countries!$A$2:$A$72,Countries!$B$2:$B$72,"???"),"???"))</f>
        <v/>
      </c>
      <c r="G390" s="7">
        <f t="array" ref="G390">IF(E390="",0,IFERROR(XLOOKUP(E390,Countries!$A$2:$A$72,Countries!$E$2:$E$72,0),0))</f>
        <v>0</v>
      </c>
      <c r="H390" s="7">
        <f t="array" ref="H390">IF(E390="",0,IFERROR(XLOOKUP(E390,Medals!$B$2:$B$51,Medals!$D$2:$D$51,0),0))</f>
        <v>0</v>
      </c>
      <c r="I390" s="7">
        <f t="array" ref="I390">IF(E390="",0,IFERROR(XLOOKUP(E390,Medals!$B$2:$B$51,Medals!$E$2:$E$51,0),0))</f>
        <v>0</v>
      </c>
      <c r="J390" s="7">
        <f t="array" ref="J390">IF(E390="",0,IFERROR(XLOOKUP(E390,Medals!$B$2:$B$51,Medals!$F$2:$F$51,0),0))</f>
        <v>0</v>
      </c>
      <c r="K390" s="7">
        <f>H390*GoldPoints*G390</f>
        <v>0</v>
      </c>
      <c r="L390" s="7">
        <f>I390*SilverPoints*G390</f>
        <v>0</v>
      </c>
      <c r="M390" s="7">
        <f>J390*BronzePoints*G390</f>
        <v>0</v>
      </c>
      <c r="N390" s="7">
        <f t="shared" si="1"/>
        <v>0</v>
      </c>
      <c r="O390" s="7" t="b">
        <f t="array" ref="O390">IF(E390="",FALSE,IFERROR(AND(ISNUMBER(MATCH(E390,Countries!$A$2:$A$72,0)),XLOOKUP(E390,Countries!$A$2:$A$72,Countries!$I$2:$I$72,FALSE)),FALSE))</f>
        <v>0</v>
      </c>
      <c r="P390" s="7" t="b">
        <f t="array" ref="P390">IF(E390="",FALSE,IFERROR(XLOOKUP(E390,Countries!$A$2:$A$72,Countries!$G$2:$G$72,FALSE),FALSE))</f>
        <v>0</v>
      </c>
      <c r="Q390" s="7" t="str">
        <f t="shared" si="2"/>
        <v>⚪</v>
      </c>
    </row>
    <row r="391" ht="15.75" customHeight="1">
      <c r="A391" s="7" t="str">
        <f t="array" ref="A391">IFERROR(IF(INDEX(Entries!$C$2:$C$48,49)="","",INDEX(Entries!$Q$2:$Q$48,49)),"")</f>
        <v/>
      </c>
      <c r="B391" s="7" t="str">
        <f t="array" ref="B391">IF(A391="","",IFERROR(INDEX(Entries!$E$2:$E$48,49),""))</f>
        <v/>
      </c>
      <c r="C391" s="7" t="str">
        <f>IF(A391="","","Tier5_Pick1")</f>
        <v/>
      </c>
      <c r="D391" s="7" t="str">
        <f>IF(A391="","",5)</f>
        <v/>
      </c>
      <c r="E391" s="7" t="str">
        <f t="array" ref="E391">IF(A391="","",IFERROR(INDEX(Entries!$J$2:$J$48,49),""))</f>
        <v/>
      </c>
      <c r="F391" s="7" t="str">
        <f>IF(E391="","",IFERROR(_xludf.XLOOKUP(E391,Countries!$A$2:$A$72,Countries!$B$2:$B$72,"???"),"???"))</f>
        <v/>
      </c>
      <c r="G391" s="7">
        <f t="array" ref="G391">IF(E391="",0,IFERROR(XLOOKUP(E391,Countries!$A$2:$A$72,Countries!$E$2:$E$72,0),0))</f>
        <v>0</v>
      </c>
      <c r="H391" s="7">
        <f t="array" ref="H391">IF(E391="",0,IFERROR(XLOOKUP(E391,Medals!$B$2:$B$51,Medals!$D$2:$D$51,0),0))</f>
        <v>0</v>
      </c>
      <c r="I391" s="7">
        <f t="array" ref="I391">IF(E391="",0,IFERROR(XLOOKUP(E391,Medals!$B$2:$B$51,Medals!$E$2:$E$51,0),0))</f>
        <v>0</v>
      </c>
      <c r="J391" s="7">
        <f t="array" ref="J391">IF(E391="",0,IFERROR(XLOOKUP(E391,Medals!$B$2:$B$51,Medals!$F$2:$F$51,0),0))</f>
        <v>0</v>
      </c>
      <c r="K391" s="7">
        <f>H391*GoldPoints*G391</f>
        <v>0</v>
      </c>
      <c r="L391" s="7">
        <f>I391*SilverPoints*G391</f>
        <v>0</v>
      </c>
      <c r="M391" s="7">
        <f>J391*BronzePoints*G391</f>
        <v>0</v>
      </c>
      <c r="N391" s="7">
        <f t="shared" si="1"/>
        <v>0</v>
      </c>
      <c r="O391" s="7" t="b">
        <f t="array" ref="O391">IF(E391="",FALSE,IFERROR(AND(ISNUMBER(MATCH(E391,Countries!$A$2:$A$72,0)),XLOOKUP(E391,Countries!$A$2:$A$72,Countries!$I$2:$I$72,FALSE)),FALSE))</f>
        <v>0</v>
      </c>
      <c r="P391" s="7" t="b">
        <f t="array" ref="P391">IF(E391="",FALSE,IFERROR(XLOOKUP(E391,Countries!$A$2:$A$72,Countries!$G$2:$G$72,FALSE),FALSE))</f>
        <v>0</v>
      </c>
      <c r="Q391" s="7" t="str">
        <f t="shared" si="2"/>
        <v>⚪</v>
      </c>
    </row>
    <row r="392" ht="15.75" customHeight="1">
      <c r="A392" s="7" t="str">
        <f t="array" ref="A392">IFERROR(IF(INDEX(Entries!$C$2:$C$48,49)="","",INDEX(Entries!$Q$2:$Q$48,49)),"")</f>
        <v/>
      </c>
      <c r="B392" s="7" t="str">
        <f t="array" ref="B392">IF(A392="","",IFERROR(INDEX(Entries!$E$2:$E$48,49),""))</f>
        <v/>
      </c>
      <c r="C392" s="7" t="str">
        <f>IF(A392="","","Tier6_Pick1")</f>
        <v/>
      </c>
      <c r="D392" s="7" t="str">
        <f t="shared" ref="D392:D393" si="100">IF(A392="","",6)</f>
        <v/>
      </c>
      <c r="E392" s="7" t="str">
        <f t="array" ref="E392">IF(A392="","",IFERROR(INDEX(Entries!$O$2:$O$48,49),""))</f>
        <v/>
      </c>
      <c r="F392" s="7" t="str">
        <f>IF(E392="","",IFERROR(_xludf.XLOOKUP(E392,Countries!$A$2:$A$72,Countries!$B$2:$B$72,"???"),"???"))</f>
        <v/>
      </c>
      <c r="G392" s="7">
        <f t="array" ref="G392">IF(E392="",0,IFERROR(XLOOKUP(E392,Countries!$A$2:$A$72,Countries!$E$2:$E$72,0),0))</f>
        <v>0</v>
      </c>
      <c r="H392" s="7">
        <f t="array" ref="H392">IF(E392="",0,IFERROR(XLOOKUP(E392,Medals!$B$2:$B$51,Medals!$D$2:$D$51,0),0))</f>
        <v>0</v>
      </c>
      <c r="I392" s="7">
        <f t="array" ref="I392">IF(E392="",0,IFERROR(XLOOKUP(E392,Medals!$B$2:$B$51,Medals!$E$2:$E$51,0),0))</f>
        <v>0</v>
      </c>
      <c r="J392" s="7">
        <f t="array" ref="J392">IF(E392="",0,IFERROR(XLOOKUP(E392,Medals!$B$2:$B$51,Medals!$F$2:$F$51,0),0))</f>
        <v>0</v>
      </c>
      <c r="K392" s="7">
        <f>H392*GoldPoints*G392</f>
        <v>0</v>
      </c>
      <c r="L392" s="7">
        <f>I392*SilverPoints*G392</f>
        <v>0</v>
      </c>
      <c r="M392" s="7">
        <f>J392*BronzePoints*G392</f>
        <v>0</v>
      </c>
      <c r="N392" s="7">
        <f t="shared" si="1"/>
        <v>0</v>
      </c>
      <c r="O392" s="7" t="b">
        <f t="array" ref="O392">IF(E392="",FALSE,IFERROR(AND(ISNUMBER(MATCH(E392,Countries!$A$2:$A$72,0)),XLOOKUP(E392,Countries!$A$2:$A$72,Countries!$I$2:$I$72,FALSE)),FALSE))</f>
        <v>0</v>
      </c>
      <c r="P392" s="7" t="b">
        <f t="array" ref="P392">IF(E392="",FALSE,IFERROR(XLOOKUP(E392,Countries!$A$2:$A$72,Countries!$G$2:$G$72,FALSE),FALSE))</f>
        <v>0</v>
      </c>
      <c r="Q392" s="7" t="str">
        <f t="shared" si="2"/>
        <v>⚪</v>
      </c>
    </row>
    <row r="393" ht="15.75" customHeight="1">
      <c r="A393" s="7" t="str">
        <f t="array" ref="A393">IFERROR(IF(INDEX(Entries!$C$2:$C$48,49)="","",INDEX(Entries!$Q$2:$Q$48,49)),"")</f>
        <v/>
      </c>
      <c r="B393" s="7" t="str">
        <f t="array" ref="B393">IF(A393="","",IFERROR(INDEX(Entries!$E$2:$E$48,49),""))</f>
        <v/>
      </c>
      <c r="C393" s="7" t="str">
        <f>IF(A393="","","Tier6_Pick2")</f>
        <v/>
      </c>
      <c r="D393" s="7" t="str">
        <f t="shared" si="100"/>
        <v/>
      </c>
      <c r="E393" s="7" t="str">
        <f t="array" ref="E393">IF(A393="","",IFERROR(INDEX(Entries!$P$2:$P$48,49),""))</f>
        <v/>
      </c>
      <c r="F393" s="7" t="str">
        <f>IF(E393="","",IFERROR(_xludf.XLOOKUP(E393,Countries!$A$2:$A$72,Countries!$B$2:$B$72,"???"),"???"))</f>
        <v/>
      </c>
      <c r="G393" s="7">
        <f t="array" ref="G393">IF(E393="",0,IFERROR(XLOOKUP(E393,Countries!$A$2:$A$72,Countries!$E$2:$E$72,0),0))</f>
        <v>0</v>
      </c>
      <c r="H393" s="7">
        <f t="array" ref="H393">IF(E393="",0,IFERROR(XLOOKUP(E393,Medals!$B$2:$B$51,Medals!$D$2:$D$51,0),0))</f>
        <v>0</v>
      </c>
      <c r="I393" s="7">
        <f t="array" ref="I393">IF(E393="",0,IFERROR(XLOOKUP(E393,Medals!$B$2:$B$51,Medals!$E$2:$E$51,0),0))</f>
        <v>0</v>
      </c>
      <c r="J393" s="7">
        <f t="array" ref="J393">IF(E393="",0,IFERROR(XLOOKUP(E393,Medals!$B$2:$B$51,Medals!$F$2:$F$51,0),0))</f>
        <v>0</v>
      </c>
      <c r="K393" s="7">
        <f>H393*GoldPoints*G393</f>
        <v>0</v>
      </c>
      <c r="L393" s="7">
        <f>I393*SilverPoints*G393</f>
        <v>0</v>
      </c>
      <c r="M393" s="7">
        <f>J393*BronzePoints*G393</f>
        <v>0</v>
      </c>
      <c r="N393" s="7">
        <f t="shared" si="1"/>
        <v>0</v>
      </c>
      <c r="O393" s="7" t="b">
        <f t="array" ref="O393">IF(E393="",FALSE,IFERROR(AND(ISNUMBER(MATCH(E393,Countries!$A$2:$A$72,0)),XLOOKUP(E393,Countries!$A$2:$A$72,Countries!$I$2:$I$72,FALSE)),FALSE))</f>
        <v>0</v>
      </c>
      <c r="P393" s="7" t="b">
        <f t="array" ref="P393">IF(E393="",FALSE,IFERROR(XLOOKUP(E393,Countries!$A$2:$A$72,Countries!$G$2:$G$72,FALSE),FALSE))</f>
        <v>0</v>
      </c>
      <c r="Q393" s="7" t="str">
        <f t="shared" si="2"/>
        <v>⚪</v>
      </c>
    </row>
    <row r="394" ht="15.75" customHeight="1">
      <c r="A394" s="7" t="str">
        <f t="array" ref="A394">IFERROR(IF(INDEX(Entries!$C$2:$C$48,50)="","",INDEX(Entries!$Q$2:$Q$48,50)),"")</f>
        <v/>
      </c>
      <c r="B394" s="7" t="str">
        <f t="array" ref="B394">IF(A394="","",IFERROR(INDEX(Entries!$E$2:$E$48,50),""))</f>
        <v/>
      </c>
      <c r="C394" s="7" t="str">
        <f>IF(A394="","","Tier1_Pick1")</f>
        <v/>
      </c>
      <c r="D394" s="7" t="str">
        <f>IF(A394="","",1)</f>
        <v/>
      </c>
      <c r="E394" s="7" t="str">
        <f t="array" ref="E394">IF(A394="","",IFERROR(INDEX(Entries!$F$2:$F$48,50),""))</f>
        <v/>
      </c>
      <c r="F394" s="7" t="str">
        <f>IF(E394="","",IFERROR(_xludf.XLOOKUP(E394,Countries!$A$2:$A$72,Countries!$B$2:$B$72,"???"),"???"))</f>
        <v/>
      </c>
      <c r="G394" s="7">
        <f t="array" ref="G394">IF(E394="",0,IFERROR(XLOOKUP(E394,Countries!$A$2:$A$72,Countries!$E$2:$E$72,0),0))</f>
        <v>0</v>
      </c>
      <c r="H394" s="7">
        <f t="array" ref="H394">IF(E394="",0,IFERROR(XLOOKUP(E394,Medals!$B$2:$B$51,Medals!$D$2:$D$51,0),0))</f>
        <v>0</v>
      </c>
      <c r="I394" s="7">
        <f t="array" ref="I394">IF(E394="",0,IFERROR(XLOOKUP(E394,Medals!$B$2:$B$51,Medals!$E$2:$E$51,0),0))</f>
        <v>0</v>
      </c>
      <c r="J394" s="7">
        <f t="array" ref="J394">IF(E394="",0,IFERROR(XLOOKUP(E394,Medals!$B$2:$B$51,Medals!$F$2:$F$51,0),0))</f>
        <v>0</v>
      </c>
      <c r="K394" s="7">
        <f>H394*GoldPoints*G394</f>
        <v>0</v>
      </c>
      <c r="L394" s="7">
        <f>I394*SilverPoints*G394</f>
        <v>0</v>
      </c>
      <c r="M394" s="7">
        <f>J394*BronzePoints*G394</f>
        <v>0</v>
      </c>
      <c r="N394" s="7">
        <f t="shared" si="1"/>
        <v>0</v>
      </c>
      <c r="O394" s="7" t="b">
        <f t="array" ref="O394">IF(E394="",FALSE,IFERROR(AND(ISNUMBER(MATCH(E394,Countries!$A$2:$A$72,0)),XLOOKUP(E394,Countries!$A$2:$A$72,Countries!$I$2:$I$72,FALSE)),FALSE))</f>
        <v>0</v>
      </c>
      <c r="P394" s="7" t="b">
        <f t="array" ref="P394">IF(E394="",FALSE,IFERROR(XLOOKUP(E394,Countries!$A$2:$A$72,Countries!$G$2:$G$72,FALSE),FALSE))</f>
        <v>0</v>
      </c>
      <c r="Q394" s="7" t="str">
        <f t="shared" si="2"/>
        <v>⚪</v>
      </c>
    </row>
    <row r="395" ht="15.75" customHeight="1">
      <c r="A395" s="7" t="str">
        <f t="array" ref="A395">IFERROR(IF(INDEX(Entries!$C$2:$C$48,50)="","",INDEX(Entries!$Q$2:$Q$48,50)),"")</f>
        <v/>
      </c>
      <c r="B395" s="7" t="str">
        <f t="array" ref="B395">IF(A395="","",IFERROR(INDEX(Entries!$E$2:$E$48,50),""))</f>
        <v/>
      </c>
      <c r="C395" s="7" t="str">
        <f>IF(A395="","","Tier2_Pick1")</f>
        <v/>
      </c>
      <c r="D395" s="7" t="str">
        <f t="shared" ref="D395:D396" si="101">IF(A395="","",2)</f>
        <v/>
      </c>
      <c r="E395" s="7" t="str">
        <f t="array" ref="E395">IF(A395="","",IFERROR(INDEX(Entries!$M$2:$M$48,50),""))</f>
        <v/>
      </c>
      <c r="F395" s="7" t="str">
        <f>IF(E395="","",IFERROR(_xludf.XLOOKUP(E395,Countries!$A$2:$A$72,Countries!$B$2:$B$72,"???"),"???"))</f>
        <v/>
      </c>
      <c r="G395" s="7">
        <f t="array" ref="G395">IF(E395="",0,IFERROR(XLOOKUP(E395,Countries!$A$2:$A$72,Countries!$E$2:$E$72,0),0))</f>
        <v>0</v>
      </c>
      <c r="H395" s="7">
        <f t="array" ref="H395">IF(E395="",0,IFERROR(XLOOKUP(E395,Medals!$B$2:$B$51,Medals!$D$2:$D$51,0),0))</f>
        <v>0</v>
      </c>
      <c r="I395" s="7">
        <f t="array" ref="I395">IF(E395="",0,IFERROR(XLOOKUP(E395,Medals!$B$2:$B$51,Medals!$E$2:$E$51,0),0))</f>
        <v>0</v>
      </c>
      <c r="J395" s="7">
        <f t="array" ref="J395">IF(E395="",0,IFERROR(XLOOKUP(E395,Medals!$B$2:$B$51,Medals!$F$2:$F$51,0),0))</f>
        <v>0</v>
      </c>
      <c r="K395" s="7">
        <f>H395*GoldPoints*G395</f>
        <v>0</v>
      </c>
      <c r="L395" s="7">
        <f>I395*SilverPoints*G395</f>
        <v>0</v>
      </c>
      <c r="M395" s="7">
        <f>J395*BronzePoints*G395</f>
        <v>0</v>
      </c>
      <c r="N395" s="7">
        <f t="shared" si="1"/>
        <v>0</v>
      </c>
      <c r="O395" s="7" t="b">
        <f t="array" ref="O395">IF(E395="",FALSE,IFERROR(AND(ISNUMBER(MATCH(E395,Countries!$A$2:$A$72,0)),XLOOKUP(E395,Countries!$A$2:$A$72,Countries!$I$2:$I$72,FALSE)),FALSE))</f>
        <v>0</v>
      </c>
      <c r="P395" s="7" t="b">
        <f t="array" ref="P395">IF(E395="",FALSE,IFERROR(XLOOKUP(E395,Countries!$A$2:$A$72,Countries!$G$2:$G$72,FALSE),FALSE))</f>
        <v>0</v>
      </c>
      <c r="Q395" s="7" t="str">
        <f t="shared" si="2"/>
        <v>⚪</v>
      </c>
    </row>
    <row r="396" ht="15.75" customHeight="1">
      <c r="A396" s="7" t="str">
        <f t="array" ref="A396">IFERROR(IF(INDEX(Entries!$C$2:$C$48,50)="","",INDEX(Entries!$Q$2:$Q$48,50)),"")</f>
        <v/>
      </c>
      <c r="B396" s="7" t="str">
        <f t="array" ref="B396">IF(A396="","",IFERROR(INDEX(Entries!$E$2:$E$48,50),""))</f>
        <v/>
      </c>
      <c r="C396" s="7" t="str">
        <f>IF(A396="","","Tier2_Pick2")</f>
        <v/>
      </c>
      <c r="D396" s="7" t="str">
        <f t="shared" si="101"/>
        <v/>
      </c>
      <c r="E396" s="7" t="str">
        <f t="array" ref="E396">IF(A396="","",IFERROR(INDEX(Entries!$N$2:$N$48,50),""))</f>
        <v/>
      </c>
      <c r="F396" s="7" t="str">
        <f>IF(E396="","",IFERROR(_xludf.XLOOKUP(E396,Countries!$A$2:$A$72,Countries!$B$2:$B$72,"???"),"???"))</f>
        <v/>
      </c>
      <c r="G396" s="7">
        <f t="array" ref="G396">IF(E396="",0,IFERROR(XLOOKUP(E396,Countries!$A$2:$A$72,Countries!$E$2:$E$72,0),0))</f>
        <v>0</v>
      </c>
      <c r="H396" s="7">
        <f t="array" ref="H396">IF(E396="",0,IFERROR(XLOOKUP(E396,Medals!$B$2:$B$51,Medals!$D$2:$D$51,0),0))</f>
        <v>0</v>
      </c>
      <c r="I396" s="7">
        <f t="array" ref="I396">IF(E396="",0,IFERROR(XLOOKUP(E396,Medals!$B$2:$B$51,Medals!$E$2:$E$51,0),0))</f>
        <v>0</v>
      </c>
      <c r="J396" s="7">
        <f t="array" ref="J396">IF(E396="",0,IFERROR(XLOOKUP(E396,Medals!$B$2:$B$51,Medals!$F$2:$F$51,0),0))</f>
        <v>0</v>
      </c>
      <c r="K396" s="7">
        <f>H396*GoldPoints*G396</f>
        <v>0</v>
      </c>
      <c r="L396" s="7">
        <f>I396*SilverPoints*G396</f>
        <v>0</v>
      </c>
      <c r="M396" s="7">
        <f>J396*BronzePoints*G396</f>
        <v>0</v>
      </c>
      <c r="N396" s="7">
        <f t="shared" si="1"/>
        <v>0</v>
      </c>
      <c r="O396" s="7" t="b">
        <f t="array" ref="O396">IF(E396="",FALSE,IFERROR(AND(ISNUMBER(MATCH(E396,Countries!$A$2:$A$72,0)),XLOOKUP(E396,Countries!$A$2:$A$72,Countries!$I$2:$I$72,FALSE)),FALSE))</f>
        <v>0</v>
      </c>
      <c r="P396" s="7" t="b">
        <f t="array" ref="P396">IF(E396="",FALSE,IFERROR(XLOOKUP(E396,Countries!$A$2:$A$72,Countries!$G$2:$G$72,FALSE),FALSE))</f>
        <v>0</v>
      </c>
      <c r="Q396" s="7" t="str">
        <f t="shared" si="2"/>
        <v>⚪</v>
      </c>
    </row>
    <row r="397" ht="15.75" customHeight="1">
      <c r="A397" s="7" t="str">
        <f t="array" ref="A397">IFERROR(IF(INDEX(Entries!$C$2:$C$48,50)="","",INDEX(Entries!$Q$2:$Q$48,50)),"")</f>
        <v/>
      </c>
      <c r="B397" s="7" t="str">
        <f t="array" ref="B397">IF(A397="","",IFERROR(INDEX(Entries!$E$2:$E$48,50),""))</f>
        <v/>
      </c>
      <c r="C397" s="7" t="str">
        <f>IF(A397="","","Tier3_Pick1")</f>
        <v/>
      </c>
      <c r="D397" s="7" t="str">
        <f>IF(A397="","",3)</f>
        <v/>
      </c>
      <c r="E397" s="7" t="str">
        <f t="array" ref="E397">IF(A397="","",IFERROR(INDEX(Entries!$H$2:$H$48,50),""))</f>
        <v/>
      </c>
      <c r="F397" s="7" t="str">
        <f>IF(E397="","",IFERROR(_xludf.XLOOKUP(E397,Countries!$A$2:$A$72,Countries!$B$2:$B$72,"???"),"???"))</f>
        <v/>
      </c>
      <c r="G397" s="7">
        <f t="array" ref="G397">IF(E397="",0,IFERROR(XLOOKUP(E397,Countries!$A$2:$A$72,Countries!$E$2:$E$72,0),0))</f>
        <v>0</v>
      </c>
      <c r="H397" s="7">
        <f t="array" ref="H397">IF(E397="",0,IFERROR(XLOOKUP(E397,Medals!$B$2:$B$51,Medals!$D$2:$D$51,0),0))</f>
        <v>0</v>
      </c>
      <c r="I397" s="7">
        <f t="array" ref="I397">IF(E397="",0,IFERROR(XLOOKUP(E397,Medals!$B$2:$B$51,Medals!$E$2:$E$51,0),0))</f>
        <v>0</v>
      </c>
      <c r="J397" s="7">
        <f t="array" ref="J397">IF(E397="",0,IFERROR(XLOOKUP(E397,Medals!$B$2:$B$51,Medals!$F$2:$F$51,0),0))</f>
        <v>0</v>
      </c>
      <c r="K397" s="7">
        <f>H397*GoldPoints*G397</f>
        <v>0</v>
      </c>
      <c r="L397" s="7">
        <f>I397*SilverPoints*G397</f>
        <v>0</v>
      </c>
      <c r="M397" s="7">
        <f>J397*BronzePoints*G397</f>
        <v>0</v>
      </c>
      <c r="N397" s="7">
        <f t="shared" si="1"/>
        <v>0</v>
      </c>
      <c r="O397" s="7" t="b">
        <f t="array" ref="O397">IF(E397="",FALSE,IFERROR(AND(ISNUMBER(MATCH(E397,Countries!$A$2:$A$72,0)),XLOOKUP(E397,Countries!$A$2:$A$72,Countries!$I$2:$I$72,FALSE)),FALSE))</f>
        <v>0</v>
      </c>
      <c r="P397" s="7" t="b">
        <f t="array" ref="P397">IF(E397="",FALSE,IFERROR(XLOOKUP(E397,Countries!$A$2:$A$72,Countries!$G$2:$G$72,FALSE),FALSE))</f>
        <v>0</v>
      </c>
      <c r="Q397" s="7" t="str">
        <f t="shared" si="2"/>
        <v>⚪</v>
      </c>
    </row>
    <row r="398" ht="15.75" customHeight="1">
      <c r="A398" s="7" t="str">
        <f t="array" ref="A398">IFERROR(IF(INDEX(Entries!$C$2:$C$48,50)="","",INDEX(Entries!$Q$2:$Q$48,50)),"")</f>
        <v/>
      </c>
      <c r="B398" s="7" t="str">
        <f t="array" ref="B398">IF(A398="","",IFERROR(INDEX(Entries!$E$2:$E$48,50),""))</f>
        <v/>
      </c>
      <c r="C398" s="7" t="str">
        <f>IF(A398="","","Tier4_Pick1")</f>
        <v/>
      </c>
      <c r="D398" s="7" t="str">
        <f>IF(A398="","",4)</f>
        <v/>
      </c>
      <c r="E398" s="7" t="str">
        <f t="array" ref="E398">IF(A398="","",IFERROR(INDEX(Entries!$I$2:$I$48,50),""))</f>
        <v/>
      </c>
      <c r="F398" s="7" t="str">
        <f>IF(E398="","",IFERROR(_xludf.XLOOKUP(E398,Countries!$A$2:$A$72,Countries!$B$2:$B$72,"???"),"???"))</f>
        <v/>
      </c>
      <c r="G398" s="7">
        <f t="array" ref="G398">IF(E398="",0,IFERROR(XLOOKUP(E398,Countries!$A$2:$A$72,Countries!$E$2:$E$72,0),0))</f>
        <v>0</v>
      </c>
      <c r="H398" s="7">
        <f t="array" ref="H398">IF(E398="",0,IFERROR(XLOOKUP(E398,Medals!$B$2:$B$51,Medals!$D$2:$D$51,0),0))</f>
        <v>0</v>
      </c>
      <c r="I398" s="7">
        <f t="array" ref="I398">IF(E398="",0,IFERROR(XLOOKUP(E398,Medals!$B$2:$B$51,Medals!$E$2:$E$51,0),0))</f>
        <v>0</v>
      </c>
      <c r="J398" s="7">
        <f t="array" ref="J398">IF(E398="",0,IFERROR(XLOOKUP(E398,Medals!$B$2:$B$51,Medals!$F$2:$F$51,0),0))</f>
        <v>0</v>
      </c>
      <c r="K398" s="7">
        <f>H398*GoldPoints*G398</f>
        <v>0</v>
      </c>
      <c r="L398" s="7">
        <f>I398*SilverPoints*G398</f>
        <v>0</v>
      </c>
      <c r="M398" s="7">
        <f>J398*BronzePoints*G398</f>
        <v>0</v>
      </c>
      <c r="N398" s="7">
        <f t="shared" si="1"/>
        <v>0</v>
      </c>
      <c r="O398" s="7" t="b">
        <f t="array" ref="O398">IF(E398="",FALSE,IFERROR(AND(ISNUMBER(MATCH(E398,Countries!$A$2:$A$72,0)),XLOOKUP(E398,Countries!$A$2:$A$72,Countries!$I$2:$I$72,FALSE)),FALSE))</f>
        <v>0</v>
      </c>
      <c r="P398" s="7" t="b">
        <f t="array" ref="P398">IF(E398="",FALSE,IFERROR(XLOOKUP(E398,Countries!$A$2:$A$72,Countries!$G$2:$G$72,FALSE),FALSE))</f>
        <v>0</v>
      </c>
      <c r="Q398" s="7" t="str">
        <f t="shared" si="2"/>
        <v>⚪</v>
      </c>
    </row>
    <row r="399" ht="15.75" customHeight="1">
      <c r="A399" s="7" t="str">
        <f t="array" ref="A399">IFERROR(IF(INDEX(Entries!$C$2:$C$48,50)="","",INDEX(Entries!$Q$2:$Q$48,50)),"")</f>
        <v/>
      </c>
      <c r="B399" s="7" t="str">
        <f t="array" ref="B399">IF(A399="","",IFERROR(INDEX(Entries!$E$2:$E$48,50),""))</f>
        <v/>
      </c>
      <c r="C399" s="7" t="str">
        <f>IF(A399="","","Tier5_Pick1")</f>
        <v/>
      </c>
      <c r="D399" s="7" t="str">
        <f>IF(A399="","",5)</f>
        <v/>
      </c>
      <c r="E399" s="7" t="str">
        <f t="array" ref="E399">IF(A399="","",IFERROR(INDEX(Entries!$J$2:$J$48,50),""))</f>
        <v/>
      </c>
      <c r="F399" s="7" t="str">
        <f>IF(E399="","",IFERROR(_xludf.XLOOKUP(E399,Countries!$A$2:$A$72,Countries!$B$2:$B$72,"???"),"???"))</f>
        <v/>
      </c>
      <c r="G399" s="7">
        <f t="array" ref="G399">IF(E399="",0,IFERROR(XLOOKUP(E399,Countries!$A$2:$A$72,Countries!$E$2:$E$72,0),0))</f>
        <v>0</v>
      </c>
      <c r="H399" s="7">
        <f t="array" ref="H399">IF(E399="",0,IFERROR(XLOOKUP(E399,Medals!$B$2:$B$51,Medals!$D$2:$D$51,0),0))</f>
        <v>0</v>
      </c>
      <c r="I399" s="7">
        <f t="array" ref="I399">IF(E399="",0,IFERROR(XLOOKUP(E399,Medals!$B$2:$B$51,Medals!$E$2:$E$51,0),0))</f>
        <v>0</v>
      </c>
      <c r="J399" s="7">
        <f t="array" ref="J399">IF(E399="",0,IFERROR(XLOOKUP(E399,Medals!$B$2:$B$51,Medals!$F$2:$F$51,0),0))</f>
        <v>0</v>
      </c>
      <c r="K399" s="7">
        <f>H399*GoldPoints*G399</f>
        <v>0</v>
      </c>
      <c r="L399" s="7">
        <f>I399*SilverPoints*G399</f>
        <v>0</v>
      </c>
      <c r="M399" s="7">
        <f>J399*BronzePoints*G399</f>
        <v>0</v>
      </c>
      <c r="N399" s="7">
        <f t="shared" si="1"/>
        <v>0</v>
      </c>
      <c r="O399" s="7" t="b">
        <f t="array" ref="O399">IF(E399="",FALSE,IFERROR(AND(ISNUMBER(MATCH(E399,Countries!$A$2:$A$72,0)),XLOOKUP(E399,Countries!$A$2:$A$72,Countries!$I$2:$I$72,FALSE)),FALSE))</f>
        <v>0</v>
      </c>
      <c r="P399" s="7" t="b">
        <f t="array" ref="P399">IF(E399="",FALSE,IFERROR(XLOOKUP(E399,Countries!$A$2:$A$72,Countries!$G$2:$G$72,FALSE),FALSE))</f>
        <v>0</v>
      </c>
      <c r="Q399" s="7" t="str">
        <f t="shared" si="2"/>
        <v>⚪</v>
      </c>
    </row>
    <row r="400" ht="15.75" customHeight="1">
      <c r="A400" s="7" t="str">
        <f t="array" ref="A400">IFERROR(IF(INDEX(Entries!$C$2:$C$48,50)="","",INDEX(Entries!$Q$2:$Q$48,50)),"")</f>
        <v/>
      </c>
      <c r="B400" s="7" t="str">
        <f t="array" ref="B400">IF(A400="","",IFERROR(INDEX(Entries!$E$2:$E$48,50),""))</f>
        <v/>
      </c>
      <c r="C400" s="7" t="str">
        <f>IF(A400="","","Tier6_Pick1")</f>
        <v/>
      </c>
      <c r="D400" s="7" t="str">
        <f t="shared" ref="D400:D401" si="102">IF(A400="","",6)</f>
        <v/>
      </c>
      <c r="E400" s="7" t="str">
        <f t="array" ref="E400">IF(A400="","",IFERROR(INDEX(Entries!$O$2:$O$48,50),""))</f>
        <v/>
      </c>
      <c r="F400" s="7" t="str">
        <f>IF(E400="","",IFERROR(_xludf.XLOOKUP(E400,Countries!$A$2:$A$72,Countries!$B$2:$B$72,"???"),"???"))</f>
        <v/>
      </c>
      <c r="G400" s="7">
        <f t="array" ref="G400">IF(E400="",0,IFERROR(XLOOKUP(E400,Countries!$A$2:$A$72,Countries!$E$2:$E$72,0),0))</f>
        <v>0</v>
      </c>
      <c r="H400" s="7">
        <f t="array" ref="H400">IF(E400="",0,IFERROR(XLOOKUP(E400,Medals!$B$2:$B$51,Medals!$D$2:$D$51,0),0))</f>
        <v>0</v>
      </c>
      <c r="I400" s="7">
        <f t="array" ref="I400">IF(E400="",0,IFERROR(XLOOKUP(E400,Medals!$B$2:$B$51,Medals!$E$2:$E$51,0),0))</f>
        <v>0</v>
      </c>
      <c r="J400" s="7">
        <f t="array" ref="J400">IF(E400="",0,IFERROR(XLOOKUP(E400,Medals!$B$2:$B$51,Medals!$F$2:$F$51,0),0))</f>
        <v>0</v>
      </c>
      <c r="K400" s="7">
        <f>H400*GoldPoints*G400</f>
        <v>0</v>
      </c>
      <c r="L400" s="7">
        <f>I400*SilverPoints*G400</f>
        <v>0</v>
      </c>
      <c r="M400" s="7">
        <f>J400*BronzePoints*G400</f>
        <v>0</v>
      </c>
      <c r="N400" s="7">
        <f t="shared" si="1"/>
        <v>0</v>
      </c>
      <c r="O400" s="7" t="b">
        <f t="array" ref="O400">IF(E400="",FALSE,IFERROR(AND(ISNUMBER(MATCH(E400,Countries!$A$2:$A$72,0)),XLOOKUP(E400,Countries!$A$2:$A$72,Countries!$I$2:$I$72,FALSE)),FALSE))</f>
        <v>0</v>
      </c>
      <c r="P400" s="7" t="b">
        <f t="array" ref="P400">IF(E400="",FALSE,IFERROR(XLOOKUP(E400,Countries!$A$2:$A$72,Countries!$G$2:$G$72,FALSE),FALSE))</f>
        <v>0</v>
      </c>
      <c r="Q400" s="7" t="str">
        <f t="shared" si="2"/>
        <v>⚪</v>
      </c>
    </row>
    <row r="401" ht="15.75" customHeight="1">
      <c r="A401" s="7" t="str">
        <f t="array" ref="A401">IFERROR(IF(INDEX(Entries!$C$2:$C$48,50)="","",INDEX(Entries!$Q$2:$Q$48,50)),"")</f>
        <v/>
      </c>
      <c r="B401" s="7" t="str">
        <f t="array" ref="B401">IF(A401="","",IFERROR(INDEX(Entries!$E$2:$E$48,50),""))</f>
        <v/>
      </c>
      <c r="C401" s="7" t="str">
        <f>IF(A401="","","Tier6_Pick2")</f>
        <v/>
      </c>
      <c r="D401" s="7" t="str">
        <f t="shared" si="102"/>
        <v/>
      </c>
      <c r="E401" s="7" t="str">
        <f t="array" ref="E401">IF(A401="","",IFERROR(INDEX(Entries!$P$2:$P$48,50),""))</f>
        <v/>
      </c>
      <c r="F401" s="7" t="str">
        <f>IF(E401="","",IFERROR(_xludf.XLOOKUP(E401,Countries!$A$2:$A$72,Countries!$B$2:$B$72,"???"),"???"))</f>
        <v/>
      </c>
      <c r="G401" s="7">
        <f t="array" ref="G401">IF(E401="",0,IFERROR(XLOOKUP(E401,Countries!$A$2:$A$72,Countries!$E$2:$E$72,0),0))</f>
        <v>0</v>
      </c>
      <c r="H401" s="7">
        <f t="array" ref="H401">IF(E401="",0,IFERROR(XLOOKUP(E401,Medals!$B$2:$B$51,Medals!$D$2:$D$51,0),0))</f>
        <v>0</v>
      </c>
      <c r="I401" s="7">
        <f t="array" ref="I401">IF(E401="",0,IFERROR(XLOOKUP(E401,Medals!$B$2:$B$51,Medals!$E$2:$E$51,0),0))</f>
        <v>0</v>
      </c>
      <c r="J401" s="7">
        <f t="array" ref="J401">IF(E401="",0,IFERROR(XLOOKUP(E401,Medals!$B$2:$B$51,Medals!$F$2:$F$51,0),0))</f>
        <v>0</v>
      </c>
      <c r="K401" s="7">
        <f>H401*GoldPoints*G401</f>
        <v>0</v>
      </c>
      <c r="L401" s="7">
        <f>I401*SilverPoints*G401</f>
        <v>0</v>
      </c>
      <c r="M401" s="7">
        <f>J401*BronzePoints*G401</f>
        <v>0</v>
      </c>
      <c r="N401" s="7">
        <f t="shared" si="1"/>
        <v>0</v>
      </c>
      <c r="O401" s="7" t="b">
        <f t="array" ref="O401">IF(E401="",FALSE,IFERROR(AND(ISNUMBER(MATCH(E401,Countries!$A$2:$A$72,0)),XLOOKUP(E401,Countries!$A$2:$A$72,Countries!$I$2:$I$72,FALSE)),FALSE))</f>
        <v>0</v>
      </c>
      <c r="P401" s="7" t="b">
        <f t="array" ref="P401">IF(E401="",FALSE,IFERROR(XLOOKUP(E401,Countries!$A$2:$A$72,Countries!$G$2:$G$72,FALSE),FALSE))</f>
        <v>0</v>
      </c>
      <c r="Q401" s="7" t="str">
        <f t="shared" si="2"/>
        <v>⚪</v>
      </c>
    </row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8.0"/>
    <col customWidth="1" min="3" max="3" width="6.0"/>
    <col customWidth="1" min="4" max="4" width="14.0"/>
    <col customWidth="1" min="5" max="7" width="12.0"/>
    <col customWidth="1" min="8" max="8" width="14.0"/>
    <col customWidth="1" min="9" max="9" width="10.0"/>
    <col customWidth="1" min="10" max="10" width="28.0"/>
    <col customWidth="1" min="11" max="26" width="8.71"/>
  </cols>
  <sheetData>
    <row r="1">
      <c r="A1" s="6" t="s">
        <v>47</v>
      </c>
      <c r="B1" s="6" t="s">
        <v>10</v>
      </c>
      <c r="C1" s="6" t="s">
        <v>46</v>
      </c>
      <c r="D1" s="6" t="s">
        <v>56</v>
      </c>
      <c r="E1" s="6" t="s">
        <v>48</v>
      </c>
      <c r="F1" s="6" t="s">
        <v>57</v>
      </c>
      <c r="G1" s="6" t="s">
        <v>54</v>
      </c>
      <c r="H1" s="6" t="s">
        <v>55</v>
      </c>
      <c r="I1" s="6" t="s">
        <v>58</v>
      </c>
      <c r="J1" s="6" t="s">
        <v>59</v>
      </c>
    </row>
    <row r="2">
      <c r="A2" s="7" t="s">
        <v>60</v>
      </c>
      <c r="B2" s="7" t="s">
        <v>61</v>
      </c>
      <c r="C2" s="7">
        <v>1.0</v>
      </c>
      <c r="D2" s="7" t="s">
        <v>62</v>
      </c>
      <c r="E2" s="7">
        <v>1.0</v>
      </c>
      <c r="F2" s="7">
        <v>1.0</v>
      </c>
      <c r="G2" s="7" t="b">
        <v>1</v>
      </c>
      <c r="H2" s="7" t="str">
        <f t="shared" ref="H2:H72" si="1">IF(G2,"","⚪")</f>
        <v/>
      </c>
      <c r="I2" s="7" t="b">
        <v>1</v>
      </c>
      <c r="J2" s="7" t="str">
        <f t="shared" ref="J2:J72" si="2">IF(AND(C2=6,NOT(G2)),A2&amp;" ⚪",A2)</f>
        <v>Norway</v>
      </c>
    </row>
    <row r="3">
      <c r="A3" s="7" t="s">
        <v>63</v>
      </c>
      <c r="B3" s="7" t="s">
        <v>64</v>
      </c>
      <c r="C3" s="7">
        <v>1.0</v>
      </c>
      <c r="D3" s="7" t="s">
        <v>62</v>
      </c>
      <c r="E3" s="7">
        <v>1.0</v>
      </c>
      <c r="F3" s="7">
        <v>1.0</v>
      </c>
      <c r="G3" s="7" t="b">
        <v>1</v>
      </c>
      <c r="H3" s="7" t="str">
        <f t="shared" si="1"/>
        <v/>
      </c>
      <c r="I3" s="7" t="b">
        <v>1</v>
      </c>
      <c r="J3" s="7" t="str">
        <f t="shared" si="2"/>
        <v>Germany</v>
      </c>
    </row>
    <row r="4">
      <c r="A4" s="7" t="s">
        <v>39</v>
      </c>
      <c r="B4" s="7" t="s">
        <v>65</v>
      </c>
      <c r="C4" s="7">
        <v>1.0</v>
      </c>
      <c r="D4" s="7" t="s">
        <v>62</v>
      </c>
      <c r="E4" s="7">
        <v>1.0</v>
      </c>
      <c r="F4" s="7">
        <v>1.0</v>
      </c>
      <c r="G4" s="7" t="b">
        <v>1</v>
      </c>
      <c r="H4" s="7" t="str">
        <f t="shared" si="1"/>
        <v/>
      </c>
      <c r="I4" s="7" t="b">
        <v>1</v>
      </c>
      <c r="J4" s="7" t="str">
        <f t="shared" si="2"/>
        <v>United States</v>
      </c>
    </row>
    <row r="5">
      <c r="A5" s="7" t="s">
        <v>66</v>
      </c>
      <c r="B5" s="7" t="s">
        <v>67</v>
      </c>
      <c r="C5" s="7">
        <v>1.0</v>
      </c>
      <c r="D5" s="7" t="s">
        <v>62</v>
      </c>
      <c r="E5" s="7">
        <v>1.0</v>
      </c>
      <c r="F5" s="7">
        <v>1.0</v>
      </c>
      <c r="G5" s="7" t="b">
        <v>1</v>
      </c>
      <c r="H5" s="7" t="str">
        <f t="shared" si="1"/>
        <v/>
      </c>
      <c r="I5" s="7" t="b">
        <v>1</v>
      </c>
      <c r="J5" s="7" t="str">
        <f t="shared" si="2"/>
        <v>Canada</v>
      </c>
    </row>
    <row r="6">
      <c r="A6" s="7" t="s">
        <v>68</v>
      </c>
      <c r="B6" s="7" t="s">
        <v>69</v>
      </c>
      <c r="C6" s="7">
        <v>2.0</v>
      </c>
      <c r="D6" s="7" t="s">
        <v>70</v>
      </c>
      <c r="E6" s="7">
        <v>2.0</v>
      </c>
      <c r="F6" s="7">
        <v>2.0</v>
      </c>
      <c r="G6" s="7" t="b">
        <v>1</v>
      </c>
      <c r="H6" s="7" t="str">
        <f t="shared" si="1"/>
        <v/>
      </c>
      <c r="I6" s="7" t="b">
        <v>1</v>
      </c>
      <c r="J6" s="7" t="str">
        <f t="shared" si="2"/>
        <v>Netherlands</v>
      </c>
    </row>
    <row r="7">
      <c r="A7" s="7" t="s">
        <v>71</v>
      </c>
      <c r="B7" s="7" t="s">
        <v>72</v>
      </c>
      <c r="C7" s="7">
        <v>2.0</v>
      </c>
      <c r="D7" s="7" t="s">
        <v>70</v>
      </c>
      <c r="E7" s="7">
        <v>2.0</v>
      </c>
      <c r="F7" s="7">
        <v>2.0</v>
      </c>
      <c r="G7" s="7" t="b">
        <v>1</v>
      </c>
      <c r="H7" s="7" t="str">
        <f t="shared" si="1"/>
        <v/>
      </c>
      <c r="I7" s="7" t="b">
        <v>1</v>
      </c>
      <c r="J7" s="7" t="str">
        <f t="shared" si="2"/>
        <v>Austria</v>
      </c>
    </row>
    <row r="8">
      <c r="A8" s="7" t="s">
        <v>73</v>
      </c>
      <c r="B8" s="7" t="s">
        <v>74</v>
      </c>
      <c r="C8" s="7">
        <v>2.0</v>
      </c>
      <c r="D8" s="7" t="s">
        <v>70</v>
      </c>
      <c r="E8" s="7">
        <v>2.0</v>
      </c>
      <c r="F8" s="7">
        <v>2.0</v>
      </c>
      <c r="G8" s="7" t="b">
        <v>1</v>
      </c>
      <c r="H8" s="7" t="str">
        <f t="shared" si="1"/>
        <v/>
      </c>
      <c r="I8" s="7" t="b">
        <v>1</v>
      </c>
      <c r="J8" s="7" t="str">
        <f t="shared" si="2"/>
        <v>Sweden</v>
      </c>
    </row>
    <row r="9">
      <c r="A9" s="7" t="s">
        <v>75</v>
      </c>
      <c r="B9" s="7" t="s">
        <v>76</v>
      </c>
      <c r="C9" s="7">
        <v>2.0</v>
      </c>
      <c r="D9" s="7" t="s">
        <v>70</v>
      </c>
      <c r="E9" s="7">
        <v>2.0</v>
      </c>
      <c r="F9" s="7">
        <v>2.0</v>
      </c>
      <c r="G9" s="7" t="b">
        <v>1</v>
      </c>
      <c r="H9" s="7" t="str">
        <f t="shared" si="1"/>
        <v/>
      </c>
      <c r="I9" s="7" t="b">
        <v>1</v>
      </c>
      <c r="J9" s="7" t="str">
        <f t="shared" si="2"/>
        <v>France</v>
      </c>
    </row>
    <row r="10">
      <c r="A10" s="7" t="s">
        <v>77</v>
      </c>
      <c r="B10" s="7" t="s">
        <v>78</v>
      </c>
      <c r="C10" s="7">
        <v>2.0</v>
      </c>
      <c r="D10" s="7" t="s">
        <v>70</v>
      </c>
      <c r="E10" s="7">
        <v>2.0</v>
      </c>
      <c r="F10" s="7">
        <v>2.0</v>
      </c>
      <c r="G10" s="7" t="b">
        <v>1</v>
      </c>
      <c r="H10" s="7" t="str">
        <f t="shared" si="1"/>
        <v/>
      </c>
      <c r="I10" s="7" t="b">
        <v>1</v>
      </c>
      <c r="J10" s="7" t="str">
        <f t="shared" si="2"/>
        <v>Switzerland</v>
      </c>
    </row>
    <row r="11">
      <c r="A11" s="7" t="s">
        <v>79</v>
      </c>
      <c r="B11" s="7" t="s">
        <v>80</v>
      </c>
      <c r="C11" s="7">
        <v>2.0</v>
      </c>
      <c r="D11" s="7" t="s">
        <v>70</v>
      </c>
      <c r="E11" s="7">
        <v>2.0</v>
      </c>
      <c r="F11" s="7">
        <v>2.0</v>
      </c>
      <c r="G11" s="7" t="b">
        <v>1</v>
      </c>
      <c r="H11" s="7" t="str">
        <f t="shared" si="1"/>
        <v/>
      </c>
      <c r="I11" s="7" t="b">
        <v>1</v>
      </c>
      <c r="J11" s="7" t="str">
        <f t="shared" si="2"/>
        <v>South Korea</v>
      </c>
    </row>
    <row r="12">
      <c r="A12" s="7" t="s">
        <v>41</v>
      </c>
      <c r="B12" s="7" t="s">
        <v>81</v>
      </c>
      <c r="C12" s="7">
        <v>3.0</v>
      </c>
      <c r="D12" s="7" t="s">
        <v>82</v>
      </c>
      <c r="E12" s="7">
        <v>3.0</v>
      </c>
      <c r="F12" s="7">
        <v>1.0</v>
      </c>
      <c r="G12" s="7" t="b">
        <v>1</v>
      </c>
      <c r="H12" s="7" t="str">
        <f t="shared" si="1"/>
        <v/>
      </c>
      <c r="I12" s="7" t="b">
        <v>1</v>
      </c>
      <c r="J12" s="7" t="str">
        <f t="shared" si="2"/>
        <v>China</v>
      </c>
    </row>
    <row r="13">
      <c r="A13" s="7" t="s">
        <v>83</v>
      </c>
      <c r="B13" s="7" t="s">
        <v>84</v>
      </c>
      <c r="C13" s="7">
        <v>3.0</v>
      </c>
      <c r="D13" s="7" t="s">
        <v>82</v>
      </c>
      <c r="E13" s="7">
        <v>3.0</v>
      </c>
      <c r="F13" s="7">
        <v>1.0</v>
      </c>
      <c r="G13" s="7" t="b">
        <v>1</v>
      </c>
      <c r="H13" s="7" t="str">
        <f t="shared" si="1"/>
        <v/>
      </c>
      <c r="I13" s="7" t="b">
        <v>1</v>
      </c>
      <c r="J13" s="7" t="str">
        <f t="shared" si="2"/>
        <v>Japan</v>
      </c>
    </row>
    <row r="14">
      <c r="A14" s="7" t="s">
        <v>85</v>
      </c>
      <c r="B14" s="7" t="s">
        <v>86</v>
      </c>
      <c r="C14" s="7">
        <v>3.0</v>
      </c>
      <c r="D14" s="7" t="s">
        <v>82</v>
      </c>
      <c r="E14" s="7">
        <v>3.0</v>
      </c>
      <c r="F14" s="7">
        <v>1.0</v>
      </c>
      <c r="G14" s="7" t="b">
        <v>1</v>
      </c>
      <c r="H14" s="7" t="str">
        <f t="shared" si="1"/>
        <v/>
      </c>
      <c r="I14" s="7" t="b">
        <v>1</v>
      </c>
      <c r="J14" s="7" t="str">
        <f t="shared" si="2"/>
        <v>Italy</v>
      </c>
    </row>
    <row r="15">
      <c r="A15" s="7" t="s">
        <v>42</v>
      </c>
      <c r="B15" s="7" t="s">
        <v>87</v>
      </c>
      <c r="C15" s="7">
        <v>4.0</v>
      </c>
      <c r="D15" s="7" t="s">
        <v>88</v>
      </c>
      <c r="E15" s="7">
        <v>6.0</v>
      </c>
      <c r="F15" s="7">
        <v>1.0</v>
      </c>
      <c r="G15" s="7" t="b">
        <v>1</v>
      </c>
      <c r="H15" s="7" t="str">
        <f t="shared" si="1"/>
        <v/>
      </c>
      <c r="I15" s="7" t="b">
        <v>1</v>
      </c>
      <c r="J15" s="7" t="str">
        <f t="shared" si="2"/>
        <v>Finland</v>
      </c>
    </row>
    <row r="16">
      <c r="A16" s="7" t="s">
        <v>89</v>
      </c>
      <c r="B16" s="7" t="s">
        <v>90</v>
      </c>
      <c r="C16" s="7">
        <v>4.0</v>
      </c>
      <c r="D16" s="7" t="s">
        <v>88</v>
      </c>
      <c r="E16" s="7">
        <v>6.0</v>
      </c>
      <c r="F16" s="7">
        <v>1.0</v>
      </c>
      <c r="G16" s="7" t="b">
        <v>1</v>
      </c>
      <c r="H16" s="7" t="str">
        <f t="shared" si="1"/>
        <v/>
      </c>
      <c r="I16" s="7" t="b">
        <v>1</v>
      </c>
      <c r="J16" s="7" t="str">
        <f t="shared" si="2"/>
        <v>Czech Republic</v>
      </c>
    </row>
    <row r="17">
      <c r="A17" s="7" t="s">
        <v>91</v>
      </c>
      <c r="B17" s="7" t="s">
        <v>92</v>
      </c>
      <c r="C17" s="7">
        <v>4.0</v>
      </c>
      <c r="D17" s="7" t="s">
        <v>88</v>
      </c>
      <c r="E17" s="7">
        <v>6.0</v>
      </c>
      <c r="F17" s="7">
        <v>1.0</v>
      </c>
      <c r="G17" s="7" t="b">
        <v>1</v>
      </c>
      <c r="H17" s="7" t="str">
        <f t="shared" si="1"/>
        <v/>
      </c>
      <c r="I17" s="7" t="b">
        <v>1</v>
      </c>
      <c r="J17" s="7" t="str">
        <f t="shared" si="2"/>
        <v>Slovenia</v>
      </c>
    </row>
    <row r="18">
      <c r="A18" s="7" t="s">
        <v>93</v>
      </c>
      <c r="B18" s="7" t="s">
        <v>94</v>
      </c>
      <c r="C18" s="7">
        <v>5.0</v>
      </c>
      <c r="D18" s="7" t="s">
        <v>95</v>
      </c>
      <c r="E18" s="7">
        <v>10.0</v>
      </c>
      <c r="F18" s="7">
        <v>1.0</v>
      </c>
      <c r="G18" s="7" t="b">
        <v>1</v>
      </c>
      <c r="H18" s="7" t="str">
        <f t="shared" si="1"/>
        <v/>
      </c>
      <c r="I18" s="7" t="b">
        <v>1</v>
      </c>
      <c r="J18" s="7" t="str">
        <f t="shared" si="2"/>
        <v>Poland</v>
      </c>
    </row>
    <row r="19">
      <c r="A19" s="7" t="s">
        <v>43</v>
      </c>
      <c r="B19" s="7" t="s">
        <v>96</v>
      </c>
      <c r="C19" s="7">
        <v>5.0</v>
      </c>
      <c r="D19" s="7" t="s">
        <v>95</v>
      </c>
      <c r="E19" s="7">
        <v>10.0</v>
      </c>
      <c r="F19" s="7">
        <v>1.0</v>
      </c>
      <c r="G19" s="7" t="b">
        <v>1</v>
      </c>
      <c r="H19" s="7" t="str">
        <f t="shared" si="1"/>
        <v/>
      </c>
      <c r="I19" s="7" t="b">
        <v>1</v>
      </c>
      <c r="J19" s="7" t="str">
        <f t="shared" si="2"/>
        <v>Great Britain</v>
      </c>
    </row>
    <row r="20">
      <c r="A20" s="7" t="s">
        <v>97</v>
      </c>
      <c r="B20" s="7" t="s">
        <v>98</v>
      </c>
      <c r="C20" s="7">
        <v>5.0</v>
      </c>
      <c r="D20" s="7" t="s">
        <v>95</v>
      </c>
      <c r="E20" s="7">
        <v>10.0</v>
      </c>
      <c r="F20" s="7">
        <v>1.0</v>
      </c>
      <c r="G20" s="7" t="b">
        <v>1</v>
      </c>
      <c r="H20" s="7" t="str">
        <f t="shared" si="1"/>
        <v/>
      </c>
      <c r="I20" s="7" t="b">
        <v>1</v>
      </c>
      <c r="J20" s="7" t="str">
        <f t="shared" si="2"/>
        <v>Australia</v>
      </c>
    </row>
    <row r="21" ht="15.75" customHeight="1">
      <c r="A21" s="7" t="s">
        <v>99</v>
      </c>
      <c r="B21" s="7" t="s">
        <v>100</v>
      </c>
      <c r="C21" s="7">
        <v>5.0</v>
      </c>
      <c r="D21" s="7" t="s">
        <v>95</v>
      </c>
      <c r="E21" s="7">
        <v>10.0</v>
      </c>
      <c r="F21" s="7">
        <v>1.0</v>
      </c>
      <c r="G21" s="7" t="b">
        <v>1</v>
      </c>
      <c r="H21" s="7" t="str">
        <f t="shared" si="1"/>
        <v/>
      </c>
      <c r="I21" s="7" t="b">
        <v>1</v>
      </c>
      <c r="J21" s="7" t="str">
        <f t="shared" si="2"/>
        <v>Slovakia</v>
      </c>
    </row>
    <row r="22" ht="15.75" customHeight="1">
      <c r="A22" s="7" t="s">
        <v>101</v>
      </c>
      <c r="B22" s="7" t="s">
        <v>102</v>
      </c>
      <c r="C22" s="7">
        <v>5.0</v>
      </c>
      <c r="D22" s="7" t="s">
        <v>95</v>
      </c>
      <c r="E22" s="7">
        <v>10.0</v>
      </c>
      <c r="F22" s="7">
        <v>1.0</v>
      </c>
      <c r="G22" s="7" t="b">
        <v>1</v>
      </c>
      <c r="H22" s="7" t="str">
        <f t="shared" si="1"/>
        <v/>
      </c>
      <c r="I22" s="7" t="b">
        <v>1</v>
      </c>
      <c r="J22" s="7" t="str">
        <f t="shared" si="2"/>
        <v>Latvia</v>
      </c>
    </row>
    <row r="23" ht="15.75" customHeight="1">
      <c r="A23" s="7" t="s">
        <v>103</v>
      </c>
      <c r="B23" s="7" t="s">
        <v>104</v>
      </c>
      <c r="C23" s="7">
        <v>6.0</v>
      </c>
      <c r="D23" s="7" t="s">
        <v>105</v>
      </c>
      <c r="E23" s="7">
        <v>20.0</v>
      </c>
      <c r="F23" s="7">
        <v>2.0</v>
      </c>
      <c r="G23" s="7" t="b">
        <v>1</v>
      </c>
      <c r="H23" s="7" t="str">
        <f t="shared" si="1"/>
        <v/>
      </c>
      <c r="I23" s="7" t="b">
        <v>1</v>
      </c>
      <c r="J23" s="7" t="str">
        <f t="shared" si="2"/>
        <v>New Zealand</v>
      </c>
    </row>
    <row r="24" ht="15.75" customHeight="1">
      <c r="A24" s="7" t="s">
        <v>106</v>
      </c>
      <c r="B24" s="7" t="s">
        <v>107</v>
      </c>
      <c r="C24" s="7">
        <v>6.0</v>
      </c>
      <c r="D24" s="7" t="s">
        <v>105</v>
      </c>
      <c r="E24" s="7">
        <v>20.0</v>
      </c>
      <c r="F24" s="7">
        <v>2.0</v>
      </c>
      <c r="G24" s="7" t="b">
        <v>1</v>
      </c>
      <c r="H24" s="7" t="str">
        <f t="shared" si="1"/>
        <v/>
      </c>
      <c r="I24" s="7" t="b">
        <v>1</v>
      </c>
      <c r="J24" s="7" t="str">
        <f t="shared" si="2"/>
        <v>Ukraine</v>
      </c>
    </row>
    <row r="25" ht="15.75" customHeight="1">
      <c r="A25" s="7" t="s">
        <v>108</v>
      </c>
      <c r="B25" s="7" t="s">
        <v>109</v>
      </c>
      <c r="C25" s="7">
        <v>6.0</v>
      </c>
      <c r="D25" s="7" t="s">
        <v>105</v>
      </c>
      <c r="E25" s="7">
        <v>20.0</v>
      </c>
      <c r="F25" s="7">
        <v>2.0</v>
      </c>
      <c r="G25" s="7" t="b">
        <v>1</v>
      </c>
      <c r="H25" s="7" t="str">
        <f t="shared" si="1"/>
        <v/>
      </c>
      <c r="I25" s="7" t="b">
        <v>1</v>
      </c>
      <c r="J25" s="7" t="str">
        <f t="shared" si="2"/>
        <v>Hungary</v>
      </c>
    </row>
    <row r="26" ht="15.75" customHeight="1">
      <c r="A26" s="7" t="s">
        <v>110</v>
      </c>
      <c r="B26" s="7" t="s">
        <v>111</v>
      </c>
      <c r="C26" s="7">
        <v>6.0</v>
      </c>
      <c r="D26" s="7" t="s">
        <v>105</v>
      </c>
      <c r="E26" s="7">
        <v>20.0</v>
      </c>
      <c r="F26" s="7">
        <v>2.0</v>
      </c>
      <c r="G26" s="7" t="b">
        <v>1</v>
      </c>
      <c r="H26" s="7" t="str">
        <f t="shared" si="1"/>
        <v/>
      </c>
      <c r="I26" s="7" t="b">
        <v>1</v>
      </c>
      <c r="J26" s="7" t="str">
        <f t="shared" si="2"/>
        <v>Kazakhstan</v>
      </c>
    </row>
    <row r="27" ht="15.75" customHeight="1">
      <c r="A27" s="7" t="s">
        <v>112</v>
      </c>
      <c r="B27" s="7" t="s">
        <v>113</v>
      </c>
      <c r="C27" s="7">
        <v>6.0</v>
      </c>
      <c r="D27" s="7" t="s">
        <v>105</v>
      </c>
      <c r="E27" s="7">
        <v>20.0</v>
      </c>
      <c r="F27" s="7">
        <v>2.0</v>
      </c>
      <c r="G27" s="7" t="b">
        <v>1</v>
      </c>
      <c r="H27" s="7" t="str">
        <f t="shared" si="1"/>
        <v/>
      </c>
      <c r="I27" s="7" t="b">
        <v>1</v>
      </c>
      <c r="J27" s="7" t="str">
        <f t="shared" si="2"/>
        <v>Croatia</v>
      </c>
    </row>
    <row r="28" ht="15.75" customHeight="1">
      <c r="A28" s="7" t="s">
        <v>114</v>
      </c>
      <c r="B28" s="7" t="s">
        <v>115</v>
      </c>
      <c r="C28" s="7">
        <v>6.0</v>
      </c>
      <c r="D28" s="7" t="s">
        <v>105</v>
      </c>
      <c r="E28" s="7">
        <v>20.0</v>
      </c>
      <c r="F28" s="7">
        <v>2.0</v>
      </c>
      <c r="G28" s="7" t="b">
        <v>1</v>
      </c>
      <c r="H28" s="7" t="str">
        <f t="shared" si="1"/>
        <v/>
      </c>
      <c r="I28" s="7" t="b">
        <v>1</v>
      </c>
      <c r="J28" s="7" t="str">
        <f t="shared" si="2"/>
        <v>Belgium</v>
      </c>
    </row>
    <row r="29" ht="15.75" customHeight="1">
      <c r="A29" s="7" t="s">
        <v>116</v>
      </c>
      <c r="B29" s="7" t="s">
        <v>117</v>
      </c>
      <c r="C29" s="7">
        <v>6.0</v>
      </c>
      <c r="D29" s="7" t="s">
        <v>105</v>
      </c>
      <c r="E29" s="7">
        <v>20.0</v>
      </c>
      <c r="F29" s="7">
        <v>2.0</v>
      </c>
      <c r="G29" s="7" t="b">
        <v>1</v>
      </c>
      <c r="H29" s="7" t="str">
        <f t="shared" si="1"/>
        <v/>
      </c>
      <c r="I29" s="7" t="b">
        <v>1</v>
      </c>
      <c r="J29" s="7" t="str">
        <f t="shared" si="2"/>
        <v>Spain</v>
      </c>
    </row>
    <row r="30" ht="15.75" customHeight="1">
      <c r="A30" s="7" t="s">
        <v>118</v>
      </c>
      <c r="B30" s="7" t="s">
        <v>119</v>
      </c>
      <c r="C30" s="7">
        <v>6.0</v>
      </c>
      <c r="D30" s="7" t="s">
        <v>105</v>
      </c>
      <c r="E30" s="7">
        <v>20.0</v>
      </c>
      <c r="F30" s="7">
        <v>2.0</v>
      </c>
      <c r="G30" s="7" t="b">
        <v>1</v>
      </c>
      <c r="H30" s="7" t="str">
        <f t="shared" si="1"/>
        <v/>
      </c>
      <c r="I30" s="7" t="b">
        <v>1</v>
      </c>
      <c r="J30" s="7" t="str">
        <f t="shared" si="2"/>
        <v>Estonia</v>
      </c>
    </row>
    <row r="31" ht="15.75" customHeight="1">
      <c r="A31" s="7" t="s">
        <v>120</v>
      </c>
      <c r="B31" s="7" t="s">
        <v>121</v>
      </c>
      <c r="C31" s="7">
        <v>6.0</v>
      </c>
      <c r="D31" s="7" t="s">
        <v>105</v>
      </c>
      <c r="E31" s="7">
        <v>20.0</v>
      </c>
      <c r="F31" s="7">
        <v>2.0</v>
      </c>
      <c r="G31" s="7" t="b">
        <v>1</v>
      </c>
      <c r="H31" s="7" t="str">
        <f t="shared" si="1"/>
        <v/>
      </c>
      <c r="I31" s="7" t="b">
        <v>1</v>
      </c>
      <c r="J31" s="7" t="str">
        <f t="shared" si="2"/>
        <v>Liechtenstein</v>
      </c>
    </row>
    <row r="32" ht="15.75" customHeight="1">
      <c r="A32" s="7" t="s">
        <v>122</v>
      </c>
      <c r="B32" s="7" t="s">
        <v>123</v>
      </c>
      <c r="C32" s="7">
        <v>6.0</v>
      </c>
      <c r="D32" s="7" t="s">
        <v>105</v>
      </c>
      <c r="E32" s="7">
        <v>20.0</v>
      </c>
      <c r="F32" s="7">
        <v>2.0</v>
      </c>
      <c r="G32" s="7" t="b">
        <v>0</v>
      </c>
      <c r="H32" s="7" t="str">
        <f t="shared" si="1"/>
        <v>⚪</v>
      </c>
      <c r="I32" s="7" t="b">
        <v>1</v>
      </c>
      <c r="J32" s="7" t="str">
        <f t="shared" si="2"/>
        <v>Andorra ⚪</v>
      </c>
    </row>
    <row r="33" ht="15.75" customHeight="1">
      <c r="A33" s="7" t="s">
        <v>124</v>
      </c>
      <c r="B33" s="7" t="s">
        <v>125</v>
      </c>
      <c r="C33" s="7">
        <v>6.0</v>
      </c>
      <c r="D33" s="7" t="s">
        <v>105</v>
      </c>
      <c r="E33" s="7">
        <v>20.0</v>
      </c>
      <c r="F33" s="7">
        <v>2.0</v>
      </c>
      <c r="G33" s="7" t="b">
        <v>0</v>
      </c>
      <c r="H33" s="7" t="str">
        <f t="shared" si="1"/>
        <v>⚪</v>
      </c>
      <c r="I33" s="7" t="b">
        <v>1</v>
      </c>
      <c r="J33" s="7" t="str">
        <f t="shared" si="2"/>
        <v>Argentina ⚪</v>
      </c>
    </row>
    <row r="34" ht="15.75" customHeight="1">
      <c r="A34" s="7" t="s">
        <v>126</v>
      </c>
      <c r="B34" s="7" t="s">
        <v>127</v>
      </c>
      <c r="C34" s="7">
        <v>6.0</v>
      </c>
      <c r="D34" s="7" t="s">
        <v>105</v>
      </c>
      <c r="E34" s="7">
        <v>20.0</v>
      </c>
      <c r="F34" s="7">
        <v>2.0</v>
      </c>
      <c r="G34" s="7" t="b">
        <v>0</v>
      </c>
      <c r="H34" s="7" t="str">
        <f t="shared" si="1"/>
        <v>⚪</v>
      </c>
      <c r="I34" s="7" t="b">
        <v>1</v>
      </c>
      <c r="J34" s="7" t="str">
        <f t="shared" si="2"/>
        <v>Armenia ⚪</v>
      </c>
    </row>
    <row r="35" ht="15.75" customHeight="1">
      <c r="A35" s="7" t="s">
        <v>128</v>
      </c>
      <c r="B35" s="7" t="s">
        <v>129</v>
      </c>
      <c r="C35" s="7">
        <v>6.0</v>
      </c>
      <c r="D35" s="7" t="s">
        <v>105</v>
      </c>
      <c r="E35" s="7">
        <v>20.0</v>
      </c>
      <c r="F35" s="7">
        <v>2.0</v>
      </c>
      <c r="G35" s="7" t="b">
        <v>0</v>
      </c>
      <c r="H35" s="7" t="str">
        <f t="shared" si="1"/>
        <v>⚪</v>
      </c>
      <c r="I35" s="7" t="b">
        <v>1</v>
      </c>
      <c r="J35" s="7" t="str">
        <f t="shared" si="2"/>
        <v>Azerbaijan ⚪</v>
      </c>
    </row>
    <row r="36" ht="15.75" customHeight="1">
      <c r="A36" s="7" t="s">
        <v>130</v>
      </c>
      <c r="B36" s="7" t="s">
        <v>131</v>
      </c>
      <c r="C36" s="7">
        <v>6.0</v>
      </c>
      <c r="D36" s="7" t="s">
        <v>105</v>
      </c>
      <c r="E36" s="7">
        <v>20.0</v>
      </c>
      <c r="F36" s="7">
        <v>2.0</v>
      </c>
      <c r="G36" s="7" t="b">
        <v>0</v>
      </c>
      <c r="H36" s="7" t="str">
        <f t="shared" si="1"/>
        <v>⚪</v>
      </c>
      <c r="I36" s="7" t="b">
        <v>1</v>
      </c>
      <c r="J36" s="7" t="str">
        <f t="shared" si="2"/>
        <v>Bosnia and Herzegovina ⚪</v>
      </c>
    </row>
    <row r="37" ht="15.75" customHeight="1">
      <c r="A37" s="7" t="s">
        <v>132</v>
      </c>
      <c r="B37" s="7" t="s">
        <v>133</v>
      </c>
      <c r="C37" s="7">
        <v>6.0</v>
      </c>
      <c r="D37" s="7" t="s">
        <v>105</v>
      </c>
      <c r="E37" s="7">
        <v>20.0</v>
      </c>
      <c r="F37" s="7">
        <v>2.0</v>
      </c>
      <c r="G37" s="7" t="b">
        <v>0</v>
      </c>
      <c r="H37" s="7" t="str">
        <f t="shared" si="1"/>
        <v>⚪</v>
      </c>
      <c r="I37" s="7" t="b">
        <v>1</v>
      </c>
      <c r="J37" s="7" t="str">
        <f t="shared" si="2"/>
        <v>Brazil ⚪</v>
      </c>
    </row>
    <row r="38" ht="15.75" customHeight="1">
      <c r="A38" s="7" t="s">
        <v>134</v>
      </c>
      <c r="B38" s="7" t="s">
        <v>135</v>
      </c>
      <c r="C38" s="7">
        <v>6.0</v>
      </c>
      <c r="D38" s="7" t="s">
        <v>105</v>
      </c>
      <c r="E38" s="7">
        <v>20.0</v>
      </c>
      <c r="F38" s="7">
        <v>2.0</v>
      </c>
      <c r="G38" s="7" t="b">
        <v>0</v>
      </c>
      <c r="H38" s="7" t="str">
        <f t="shared" si="1"/>
        <v>⚪</v>
      </c>
      <c r="I38" s="7" t="b">
        <v>1</v>
      </c>
      <c r="J38" s="7" t="str">
        <f t="shared" si="2"/>
        <v>Bulgaria ⚪</v>
      </c>
    </row>
    <row r="39" ht="15.75" customHeight="1">
      <c r="A39" s="7" t="s">
        <v>136</v>
      </c>
      <c r="B39" s="7" t="s">
        <v>137</v>
      </c>
      <c r="C39" s="7">
        <v>6.0</v>
      </c>
      <c r="D39" s="7" t="s">
        <v>105</v>
      </c>
      <c r="E39" s="7">
        <v>20.0</v>
      </c>
      <c r="F39" s="7">
        <v>2.0</v>
      </c>
      <c r="G39" s="7" t="b">
        <v>0</v>
      </c>
      <c r="H39" s="7" t="str">
        <f t="shared" si="1"/>
        <v>⚪</v>
      </c>
      <c r="I39" s="7" t="b">
        <v>1</v>
      </c>
      <c r="J39" s="7" t="str">
        <f t="shared" si="2"/>
        <v>Chile ⚪</v>
      </c>
    </row>
    <row r="40" ht="15.75" customHeight="1">
      <c r="A40" s="7" t="s">
        <v>138</v>
      </c>
      <c r="B40" s="7" t="s">
        <v>139</v>
      </c>
      <c r="C40" s="7">
        <v>6.0</v>
      </c>
      <c r="D40" s="7" t="s">
        <v>105</v>
      </c>
      <c r="E40" s="7">
        <v>20.0</v>
      </c>
      <c r="F40" s="7">
        <v>2.0</v>
      </c>
      <c r="G40" s="7" t="b">
        <v>0</v>
      </c>
      <c r="H40" s="7" t="str">
        <f t="shared" si="1"/>
        <v>⚪</v>
      </c>
      <c r="I40" s="7" t="b">
        <v>1</v>
      </c>
      <c r="J40" s="7" t="str">
        <f t="shared" si="2"/>
        <v>Colombia ⚪</v>
      </c>
    </row>
    <row r="41" ht="15.75" customHeight="1">
      <c r="A41" s="7" t="s">
        <v>140</v>
      </c>
      <c r="B41" s="7" t="s">
        <v>141</v>
      </c>
      <c r="C41" s="7">
        <v>6.0</v>
      </c>
      <c r="D41" s="7" t="s">
        <v>105</v>
      </c>
      <c r="E41" s="7">
        <v>20.0</v>
      </c>
      <c r="F41" s="7">
        <v>2.0</v>
      </c>
      <c r="G41" s="7" t="b">
        <v>0</v>
      </c>
      <c r="H41" s="7" t="str">
        <f t="shared" si="1"/>
        <v>⚪</v>
      </c>
      <c r="I41" s="7" t="b">
        <v>1</v>
      </c>
      <c r="J41" s="7" t="str">
        <f t="shared" si="2"/>
        <v>Cyprus ⚪</v>
      </c>
    </row>
    <row r="42" ht="15.75" customHeight="1">
      <c r="A42" s="7" t="s">
        <v>142</v>
      </c>
      <c r="B42" s="7" t="s">
        <v>143</v>
      </c>
      <c r="C42" s="7">
        <v>6.0</v>
      </c>
      <c r="D42" s="7" t="s">
        <v>105</v>
      </c>
      <c r="E42" s="7">
        <v>20.0</v>
      </c>
      <c r="F42" s="7">
        <v>2.0</v>
      </c>
      <c r="G42" s="7" t="b">
        <v>0</v>
      </c>
      <c r="H42" s="7" t="str">
        <f t="shared" si="1"/>
        <v>⚪</v>
      </c>
      <c r="I42" s="7" t="b">
        <v>1</v>
      </c>
      <c r="J42" s="7" t="str">
        <f t="shared" si="2"/>
        <v>Denmark ⚪</v>
      </c>
    </row>
    <row r="43" ht="15.75" customHeight="1">
      <c r="A43" s="7" t="s">
        <v>144</v>
      </c>
      <c r="B43" s="7" t="s">
        <v>145</v>
      </c>
      <c r="C43" s="7">
        <v>6.0</v>
      </c>
      <c r="D43" s="7" t="s">
        <v>105</v>
      </c>
      <c r="E43" s="7">
        <v>20.0</v>
      </c>
      <c r="F43" s="7">
        <v>2.0</v>
      </c>
      <c r="G43" s="7" t="b">
        <v>0</v>
      </c>
      <c r="H43" s="7" t="str">
        <f t="shared" si="1"/>
        <v>⚪</v>
      </c>
      <c r="I43" s="7" t="b">
        <v>1</v>
      </c>
      <c r="J43" s="7" t="str">
        <f t="shared" si="2"/>
        <v>Georgia ⚪</v>
      </c>
    </row>
    <row r="44" ht="15.75" customHeight="1">
      <c r="A44" s="7" t="s">
        <v>146</v>
      </c>
      <c r="B44" s="7" t="s">
        <v>147</v>
      </c>
      <c r="C44" s="7">
        <v>6.0</v>
      </c>
      <c r="D44" s="7" t="s">
        <v>105</v>
      </c>
      <c r="E44" s="7">
        <v>20.0</v>
      </c>
      <c r="F44" s="7">
        <v>2.0</v>
      </c>
      <c r="G44" s="7" t="b">
        <v>0</v>
      </c>
      <c r="H44" s="7" t="str">
        <f t="shared" si="1"/>
        <v>⚪</v>
      </c>
      <c r="I44" s="7" t="b">
        <v>1</v>
      </c>
      <c r="J44" s="7" t="str">
        <f t="shared" si="2"/>
        <v>Greece ⚪</v>
      </c>
    </row>
    <row r="45" ht="15.75" customHeight="1">
      <c r="A45" s="7" t="s">
        <v>148</v>
      </c>
      <c r="B45" s="7" t="s">
        <v>149</v>
      </c>
      <c r="C45" s="7">
        <v>6.0</v>
      </c>
      <c r="D45" s="7" t="s">
        <v>105</v>
      </c>
      <c r="E45" s="7">
        <v>20.0</v>
      </c>
      <c r="F45" s="7">
        <v>2.0</v>
      </c>
      <c r="G45" s="7" t="b">
        <v>0</v>
      </c>
      <c r="H45" s="7" t="str">
        <f t="shared" si="1"/>
        <v>⚪</v>
      </c>
      <c r="I45" s="7" t="b">
        <v>1</v>
      </c>
      <c r="J45" s="7" t="str">
        <f t="shared" si="2"/>
        <v>Hong Kong ⚪</v>
      </c>
    </row>
    <row r="46" ht="15.75" customHeight="1">
      <c r="A46" s="7" t="s">
        <v>150</v>
      </c>
      <c r="B46" s="7" t="s">
        <v>151</v>
      </c>
      <c r="C46" s="7">
        <v>6.0</v>
      </c>
      <c r="D46" s="7" t="s">
        <v>105</v>
      </c>
      <c r="E46" s="7">
        <v>20.0</v>
      </c>
      <c r="F46" s="7">
        <v>2.0</v>
      </c>
      <c r="G46" s="7" t="b">
        <v>0</v>
      </c>
      <c r="H46" s="7" t="str">
        <f t="shared" si="1"/>
        <v>⚪</v>
      </c>
      <c r="I46" s="7" t="b">
        <v>1</v>
      </c>
      <c r="J46" s="7" t="str">
        <f t="shared" si="2"/>
        <v>India ⚪</v>
      </c>
    </row>
    <row r="47" ht="15.75" customHeight="1">
      <c r="A47" s="7" t="s">
        <v>152</v>
      </c>
      <c r="B47" s="7" t="s">
        <v>153</v>
      </c>
      <c r="C47" s="7">
        <v>6.0</v>
      </c>
      <c r="D47" s="7" t="s">
        <v>105</v>
      </c>
      <c r="E47" s="7">
        <v>20.0</v>
      </c>
      <c r="F47" s="7">
        <v>2.0</v>
      </c>
      <c r="G47" s="7" t="b">
        <v>0</v>
      </c>
      <c r="H47" s="7" t="str">
        <f t="shared" si="1"/>
        <v>⚪</v>
      </c>
      <c r="I47" s="7" t="b">
        <v>1</v>
      </c>
      <c r="J47" s="7" t="str">
        <f t="shared" si="2"/>
        <v>Iran ⚪</v>
      </c>
    </row>
    <row r="48" ht="15.75" customHeight="1">
      <c r="A48" s="7" t="s">
        <v>154</v>
      </c>
      <c r="B48" s="7" t="s">
        <v>155</v>
      </c>
      <c r="C48" s="7">
        <v>6.0</v>
      </c>
      <c r="D48" s="7" t="s">
        <v>105</v>
      </c>
      <c r="E48" s="7">
        <v>20.0</v>
      </c>
      <c r="F48" s="7">
        <v>2.0</v>
      </c>
      <c r="G48" s="7" t="b">
        <v>0</v>
      </c>
      <c r="H48" s="7" t="str">
        <f t="shared" si="1"/>
        <v>⚪</v>
      </c>
      <c r="I48" s="7" t="b">
        <v>1</v>
      </c>
      <c r="J48" s="7" t="str">
        <f t="shared" si="2"/>
        <v>Ireland ⚪</v>
      </c>
    </row>
    <row r="49" ht="15.75" customHeight="1">
      <c r="A49" s="7" t="s">
        <v>156</v>
      </c>
      <c r="B49" s="7" t="s">
        <v>157</v>
      </c>
      <c r="C49" s="7">
        <v>6.0</v>
      </c>
      <c r="D49" s="7" t="s">
        <v>105</v>
      </c>
      <c r="E49" s="7">
        <v>20.0</v>
      </c>
      <c r="F49" s="7">
        <v>2.0</v>
      </c>
      <c r="G49" s="7" t="b">
        <v>0</v>
      </c>
      <c r="H49" s="7" t="str">
        <f t="shared" si="1"/>
        <v>⚪</v>
      </c>
      <c r="I49" s="7" t="b">
        <v>1</v>
      </c>
      <c r="J49" s="7" t="str">
        <f t="shared" si="2"/>
        <v>Israel ⚪</v>
      </c>
    </row>
    <row r="50" ht="15.75" customHeight="1">
      <c r="A50" s="7" t="s">
        <v>158</v>
      </c>
      <c r="B50" s="7" t="s">
        <v>159</v>
      </c>
      <c r="C50" s="7">
        <v>6.0</v>
      </c>
      <c r="D50" s="7" t="s">
        <v>105</v>
      </c>
      <c r="E50" s="7">
        <v>20.0</v>
      </c>
      <c r="F50" s="7">
        <v>2.0</v>
      </c>
      <c r="G50" s="7" t="b">
        <v>0</v>
      </c>
      <c r="H50" s="7" t="str">
        <f t="shared" si="1"/>
        <v>⚪</v>
      </c>
      <c r="I50" s="7" t="b">
        <v>1</v>
      </c>
      <c r="J50" s="7" t="str">
        <f t="shared" si="2"/>
        <v>Jamaica ⚪</v>
      </c>
    </row>
    <row r="51" ht="15.75" customHeight="1">
      <c r="A51" s="7" t="s">
        <v>160</v>
      </c>
      <c r="B51" s="7" t="s">
        <v>161</v>
      </c>
      <c r="C51" s="7">
        <v>6.0</v>
      </c>
      <c r="D51" s="7" t="s">
        <v>105</v>
      </c>
      <c r="E51" s="7">
        <v>20.0</v>
      </c>
      <c r="F51" s="7">
        <v>2.0</v>
      </c>
      <c r="G51" s="7" t="b">
        <v>0</v>
      </c>
      <c r="H51" s="7" t="str">
        <f t="shared" si="1"/>
        <v>⚪</v>
      </c>
      <c r="I51" s="7" t="b">
        <v>1</v>
      </c>
      <c r="J51" s="7" t="str">
        <f t="shared" si="2"/>
        <v>Kyrgyzstan ⚪</v>
      </c>
    </row>
    <row r="52" ht="15.75" customHeight="1">
      <c r="A52" s="7" t="s">
        <v>162</v>
      </c>
      <c r="B52" s="7" t="s">
        <v>163</v>
      </c>
      <c r="C52" s="7">
        <v>6.0</v>
      </c>
      <c r="D52" s="7" t="s">
        <v>105</v>
      </c>
      <c r="E52" s="7">
        <v>20.0</v>
      </c>
      <c r="F52" s="7">
        <v>2.0</v>
      </c>
      <c r="G52" s="7" t="b">
        <v>0</v>
      </c>
      <c r="H52" s="7" t="str">
        <f t="shared" si="1"/>
        <v>⚪</v>
      </c>
      <c r="I52" s="7" t="b">
        <v>1</v>
      </c>
      <c r="J52" s="7" t="str">
        <f t="shared" si="2"/>
        <v>Lebanon ⚪</v>
      </c>
    </row>
    <row r="53" ht="15.75" customHeight="1">
      <c r="A53" s="7" t="s">
        <v>164</v>
      </c>
      <c r="B53" s="7" t="s">
        <v>165</v>
      </c>
      <c r="C53" s="7">
        <v>6.0</v>
      </c>
      <c r="D53" s="7" t="s">
        <v>105</v>
      </c>
      <c r="E53" s="7">
        <v>20.0</v>
      </c>
      <c r="F53" s="7">
        <v>2.0</v>
      </c>
      <c r="G53" s="7" t="b">
        <v>0</v>
      </c>
      <c r="H53" s="7" t="str">
        <f t="shared" si="1"/>
        <v>⚪</v>
      </c>
      <c r="I53" s="7" t="b">
        <v>1</v>
      </c>
      <c r="J53" s="7" t="str">
        <f t="shared" si="2"/>
        <v>Lithuania ⚪</v>
      </c>
    </row>
    <row r="54" ht="15.75" customHeight="1">
      <c r="A54" s="7" t="s">
        <v>166</v>
      </c>
      <c r="B54" s="7" t="s">
        <v>167</v>
      </c>
      <c r="C54" s="7">
        <v>6.0</v>
      </c>
      <c r="D54" s="7" t="s">
        <v>105</v>
      </c>
      <c r="E54" s="7">
        <v>20.0</v>
      </c>
      <c r="F54" s="7">
        <v>2.0</v>
      </c>
      <c r="G54" s="7" t="b">
        <v>0</v>
      </c>
      <c r="H54" s="7" t="str">
        <f t="shared" si="1"/>
        <v>⚪</v>
      </c>
      <c r="I54" s="7" t="b">
        <v>1</v>
      </c>
      <c r="J54" s="7" t="str">
        <f t="shared" si="2"/>
        <v>Luxembourg ⚪</v>
      </c>
    </row>
    <row r="55" ht="15.75" customHeight="1">
      <c r="A55" s="7" t="s">
        <v>168</v>
      </c>
      <c r="B55" s="7" t="s">
        <v>169</v>
      </c>
      <c r="C55" s="7">
        <v>6.0</v>
      </c>
      <c r="D55" s="7" t="s">
        <v>105</v>
      </c>
      <c r="E55" s="7">
        <v>20.0</v>
      </c>
      <c r="F55" s="7">
        <v>2.0</v>
      </c>
      <c r="G55" s="7" t="b">
        <v>0</v>
      </c>
      <c r="H55" s="7" t="str">
        <f t="shared" si="1"/>
        <v>⚪</v>
      </c>
      <c r="I55" s="7" t="b">
        <v>1</v>
      </c>
      <c r="J55" s="7" t="str">
        <f t="shared" si="2"/>
        <v>Mexico ⚪</v>
      </c>
    </row>
    <row r="56" ht="15.75" customHeight="1">
      <c r="A56" s="7" t="s">
        <v>170</v>
      </c>
      <c r="B56" s="7" t="s">
        <v>171</v>
      </c>
      <c r="C56" s="7">
        <v>6.0</v>
      </c>
      <c r="D56" s="7" t="s">
        <v>105</v>
      </c>
      <c r="E56" s="7">
        <v>20.0</v>
      </c>
      <c r="F56" s="7">
        <v>2.0</v>
      </c>
      <c r="G56" s="7" t="b">
        <v>0</v>
      </c>
      <c r="H56" s="7" t="str">
        <f t="shared" si="1"/>
        <v>⚪</v>
      </c>
      <c r="I56" s="7" t="b">
        <v>1</v>
      </c>
      <c r="J56" s="7" t="str">
        <f t="shared" si="2"/>
        <v>Moldova ⚪</v>
      </c>
    </row>
    <row r="57" ht="15.75" customHeight="1">
      <c r="A57" s="7" t="s">
        <v>172</v>
      </c>
      <c r="B57" s="7" t="s">
        <v>173</v>
      </c>
      <c r="C57" s="7">
        <v>6.0</v>
      </c>
      <c r="D57" s="7" t="s">
        <v>105</v>
      </c>
      <c r="E57" s="7">
        <v>20.0</v>
      </c>
      <c r="F57" s="7">
        <v>2.0</v>
      </c>
      <c r="G57" s="7" t="b">
        <v>0</v>
      </c>
      <c r="H57" s="7" t="str">
        <f t="shared" si="1"/>
        <v>⚪</v>
      </c>
      <c r="I57" s="7" t="b">
        <v>1</v>
      </c>
      <c r="J57" s="7" t="str">
        <f t="shared" si="2"/>
        <v>Mongolia ⚪</v>
      </c>
    </row>
    <row r="58" ht="15.75" customHeight="1">
      <c r="A58" s="7" t="s">
        <v>174</v>
      </c>
      <c r="B58" s="7" t="s">
        <v>175</v>
      </c>
      <c r="C58" s="7">
        <v>6.0</v>
      </c>
      <c r="D58" s="7" t="s">
        <v>105</v>
      </c>
      <c r="E58" s="7">
        <v>20.0</v>
      </c>
      <c r="F58" s="7">
        <v>2.0</v>
      </c>
      <c r="G58" s="7" t="b">
        <v>0</v>
      </c>
      <c r="H58" s="7" t="str">
        <f t="shared" si="1"/>
        <v>⚪</v>
      </c>
      <c r="I58" s="7" t="b">
        <v>1</v>
      </c>
      <c r="J58" s="7" t="str">
        <f t="shared" si="2"/>
        <v>Montenegro ⚪</v>
      </c>
    </row>
    <row r="59" ht="15.75" customHeight="1">
      <c r="A59" s="7" t="s">
        <v>176</v>
      </c>
      <c r="B59" s="7" t="s">
        <v>177</v>
      </c>
      <c r="C59" s="7">
        <v>6.0</v>
      </c>
      <c r="D59" s="7" t="s">
        <v>105</v>
      </c>
      <c r="E59" s="7">
        <v>20.0</v>
      </c>
      <c r="F59" s="7">
        <v>2.0</v>
      </c>
      <c r="G59" s="7" t="b">
        <v>0</v>
      </c>
      <c r="H59" s="7" t="str">
        <f t="shared" si="1"/>
        <v>⚪</v>
      </c>
      <c r="I59" s="7" t="b">
        <v>1</v>
      </c>
      <c r="J59" s="7" t="str">
        <f t="shared" si="2"/>
        <v>Morocco ⚪</v>
      </c>
    </row>
    <row r="60" ht="15.75" customHeight="1">
      <c r="A60" s="7" t="s">
        <v>178</v>
      </c>
      <c r="B60" s="7" t="s">
        <v>179</v>
      </c>
      <c r="C60" s="7">
        <v>6.0</v>
      </c>
      <c r="D60" s="7" t="s">
        <v>105</v>
      </c>
      <c r="E60" s="7">
        <v>20.0</v>
      </c>
      <c r="F60" s="7">
        <v>2.0</v>
      </c>
      <c r="G60" s="7" t="b">
        <v>0</v>
      </c>
      <c r="H60" s="7" t="str">
        <f t="shared" si="1"/>
        <v>⚪</v>
      </c>
      <c r="I60" s="7" t="b">
        <v>1</v>
      </c>
      <c r="J60" s="7" t="str">
        <f t="shared" si="2"/>
        <v>North Macedonia ⚪</v>
      </c>
    </row>
    <row r="61" ht="15.75" customHeight="1">
      <c r="A61" s="7" t="s">
        <v>180</v>
      </c>
      <c r="B61" s="7" t="s">
        <v>181</v>
      </c>
      <c r="C61" s="7">
        <v>6.0</v>
      </c>
      <c r="D61" s="7" t="s">
        <v>105</v>
      </c>
      <c r="E61" s="7">
        <v>20.0</v>
      </c>
      <c r="F61" s="7">
        <v>2.0</v>
      </c>
      <c r="G61" s="7" t="b">
        <v>0</v>
      </c>
      <c r="H61" s="7" t="str">
        <f t="shared" si="1"/>
        <v>⚪</v>
      </c>
      <c r="I61" s="7" t="b">
        <v>1</v>
      </c>
      <c r="J61" s="7" t="str">
        <f t="shared" si="2"/>
        <v>Pakistan ⚪</v>
      </c>
    </row>
    <row r="62" ht="15.75" customHeight="1">
      <c r="A62" s="7" t="s">
        <v>182</v>
      </c>
      <c r="B62" s="7" t="s">
        <v>183</v>
      </c>
      <c r="C62" s="7">
        <v>6.0</v>
      </c>
      <c r="D62" s="7" t="s">
        <v>105</v>
      </c>
      <c r="E62" s="7">
        <v>20.0</v>
      </c>
      <c r="F62" s="7">
        <v>2.0</v>
      </c>
      <c r="G62" s="7" t="b">
        <v>0</v>
      </c>
      <c r="H62" s="7" t="str">
        <f t="shared" si="1"/>
        <v>⚪</v>
      </c>
      <c r="I62" s="7" t="b">
        <v>1</v>
      </c>
      <c r="J62" s="7" t="str">
        <f t="shared" si="2"/>
        <v>Peru ⚪</v>
      </c>
    </row>
    <row r="63" ht="15.75" customHeight="1">
      <c r="A63" s="7" t="s">
        <v>184</v>
      </c>
      <c r="B63" s="7" t="s">
        <v>185</v>
      </c>
      <c r="C63" s="7">
        <v>6.0</v>
      </c>
      <c r="D63" s="7" t="s">
        <v>105</v>
      </c>
      <c r="E63" s="7">
        <v>20.0</v>
      </c>
      <c r="F63" s="7">
        <v>2.0</v>
      </c>
      <c r="G63" s="7" t="b">
        <v>0</v>
      </c>
      <c r="H63" s="7" t="str">
        <f t="shared" si="1"/>
        <v>⚪</v>
      </c>
      <c r="I63" s="7" t="b">
        <v>1</v>
      </c>
      <c r="J63" s="7" t="str">
        <f t="shared" si="2"/>
        <v>Philippines ⚪</v>
      </c>
    </row>
    <row r="64" ht="15.75" customHeight="1">
      <c r="A64" s="7" t="s">
        <v>186</v>
      </c>
      <c r="B64" s="7" t="s">
        <v>187</v>
      </c>
      <c r="C64" s="7">
        <v>6.0</v>
      </c>
      <c r="D64" s="7" t="s">
        <v>105</v>
      </c>
      <c r="E64" s="7">
        <v>20.0</v>
      </c>
      <c r="F64" s="7">
        <v>2.0</v>
      </c>
      <c r="G64" s="7" t="b">
        <v>0</v>
      </c>
      <c r="H64" s="7" t="str">
        <f t="shared" si="1"/>
        <v>⚪</v>
      </c>
      <c r="I64" s="7" t="b">
        <v>1</v>
      </c>
      <c r="J64" s="7" t="str">
        <f t="shared" si="2"/>
        <v>Portugal ⚪</v>
      </c>
    </row>
    <row r="65" ht="15.75" customHeight="1">
      <c r="A65" s="7" t="s">
        <v>188</v>
      </c>
      <c r="B65" s="7" t="s">
        <v>189</v>
      </c>
      <c r="C65" s="7">
        <v>6.0</v>
      </c>
      <c r="D65" s="7" t="s">
        <v>105</v>
      </c>
      <c r="E65" s="7">
        <v>20.0</v>
      </c>
      <c r="F65" s="7">
        <v>2.0</v>
      </c>
      <c r="G65" s="7" t="b">
        <v>0</v>
      </c>
      <c r="H65" s="7" t="str">
        <f t="shared" si="1"/>
        <v>⚪</v>
      </c>
      <c r="I65" s="7" t="b">
        <v>1</v>
      </c>
      <c r="J65" s="7" t="str">
        <f t="shared" si="2"/>
        <v>Romania ⚪</v>
      </c>
    </row>
    <row r="66" ht="15.75" customHeight="1">
      <c r="A66" s="7" t="s">
        <v>190</v>
      </c>
      <c r="B66" s="7" t="s">
        <v>191</v>
      </c>
      <c r="C66" s="7">
        <v>6.0</v>
      </c>
      <c r="D66" s="7" t="s">
        <v>105</v>
      </c>
      <c r="E66" s="7">
        <v>20.0</v>
      </c>
      <c r="F66" s="7">
        <v>2.0</v>
      </c>
      <c r="G66" s="7" t="b">
        <v>0</v>
      </c>
      <c r="H66" s="7" t="str">
        <f t="shared" si="1"/>
        <v>⚪</v>
      </c>
      <c r="I66" s="7" t="b">
        <v>1</v>
      </c>
      <c r="J66" s="7" t="str">
        <f t="shared" si="2"/>
        <v>San Marino ⚪</v>
      </c>
    </row>
    <row r="67" ht="15.75" customHeight="1">
      <c r="A67" s="7" t="s">
        <v>192</v>
      </c>
      <c r="B67" s="7" t="s">
        <v>193</v>
      </c>
      <c r="C67" s="7">
        <v>6.0</v>
      </c>
      <c r="D67" s="7" t="s">
        <v>105</v>
      </c>
      <c r="E67" s="7">
        <v>20.0</v>
      </c>
      <c r="F67" s="7">
        <v>2.0</v>
      </c>
      <c r="G67" s="7" t="b">
        <v>0</v>
      </c>
      <c r="H67" s="7" t="str">
        <f t="shared" si="1"/>
        <v>⚪</v>
      </c>
      <c r="I67" s="7" t="b">
        <v>1</v>
      </c>
      <c r="J67" s="7" t="str">
        <f t="shared" si="2"/>
        <v>Serbia ⚪</v>
      </c>
    </row>
    <row r="68" ht="15.75" customHeight="1">
      <c r="A68" s="7" t="s">
        <v>194</v>
      </c>
      <c r="B68" s="7" t="s">
        <v>195</v>
      </c>
      <c r="C68" s="7">
        <v>6.0</v>
      </c>
      <c r="D68" s="7" t="s">
        <v>105</v>
      </c>
      <c r="E68" s="7">
        <v>20.0</v>
      </c>
      <c r="F68" s="7">
        <v>2.0</v>
      </c>
      <c r="G68" s="7" t="b">
        <v>0</v>
      </c>
      <c r="H68" s="7" t="str">
        <f t="shared" si="1"/>
        <v>⚪</v>
      </c>
      <c r="I68" s="7" t="b">
        <v>1</v>
      </c>
      <c r="J68" s="7" t="str">
        <f t="shared" si="2"/>
        <v>South Africa ⚪</v>
      </c>
    </row>
    <row r="69" ht="15.75" customHeight="1">
      <c r="A69" s="7" t="s">
        <v>196</v>
      </c>
      <c r="B69" s="7" t="s">
        <v>197</v>
      </c>
      <c r="C69" s="7">
        <v>6.0</v>
      </c>
      <c r="D69" s="7" t="s">
        <v>105</v>
      </c>
      <c r="E69" s="7">
        <v>20.0</v>
      </c>
      <c r="F69" s="7">
        <v>2.0</v>
      </c>
      <c r="G69" s="7" t="b">
        <v>0</v>
      </c>
      <c r="H69" s="7" t="str">
        <f t="shared" si="1"/>
        <v>⚪</v>
      </c>
      <c r="I69" s="7" t="b">
        <v>1</v>
      </c>
      <c r="J69" s="7" t="str">
        <f t="shared" si="2"/>
        <v>Chinese Taipei ⚪</v>
      </c>
    </row>
    <row r="70" ht="15.75" customHeight="1">
      <c r="A70" s="7" t="s">
        <v>198</v>
      </c>
      <c r="B70" s="7" t="s">
        <v>199</v>
      </c>
      <c r="C70" s="7">
        <v>6.0</v>
      </c>
      <c r="D70" s="7" t="s">
        <v>105</v>
      </c>
      <c r="E70" s="7">
        <v>20.0</v>
      </c>
      <c r="F70" s="7">
        <v>2.0</v>
      </c>
      <c r="G70" s="7" t="b">
        <v>0</v>
      </c>
      <c r="H70" s="7" t="str">
        <f t="shared" si="1"/>
        <v>⚪</v>
      </c>
      <c r="I70" s="7" t="b">
        <v>1</v>
      </c>
      <c r="J70" s="7" t="str">
        <f t="shared" si="2"/>
        <v>Thailand ⚪</v>
      </c>
    </row>
    <row r="71" ht="15.75" customHeight="1">
      <c r="A71" s="7" t="s">
        <v>200</v>
      </c>
      <c r="B71" s="7" t="s">
        <v>201</v>
      </c>
      <c r="C71" s="7">
        <v>6.0</v>
      </c>
      <c r="D71" s="7" t="s">
        <v>105</v>
      </c>
      <c r="E71" s="7">
        <v>20.0</v>
      </c>
      <c r="F71" s="7">
        <v>2.0</v>
      </c>
      <c r="G71" s="7" t="b">
        <v>0</v>
      </c>
      <c r="H71" s="7" t="str">
        <f t="shared" si="1"/>
        <v>⚪</v>
      </c>
      <c r="I71" s="7" t="b">
        <v>1</v>
      </c>
      <c r="J71" s="7" t="str">
        <f t="shared" si="2"/>
        <v>Turkey ⚪</v>
      </c>
    </row>
    <row r="72" ht="15.75" customHeight="1">
      <c r="A72" s="7" t="s">
        <v>202</v>
      </c>
      <c r="B72" s="7" t="s">
        <v>203</v>
      </c>
      <c r="C72" s="7">
        <v>6.0</v>
      </c>
      <c r="D72" s="7" t="s">
        <v>105</v>
      </c>
      <c r="E72" s="7">
        <v>20.0</v>
      </c>
      <c r="F72" s="7">
        <v>2.0</v>
      </c>
      <c r="G72" s="7" t="b">
        <v>0</v>
      </c>
      <c r="H72" s="7" t="str">
        <f t="shared" si="1"/>
        <v>⚪</v>
      </c>
      <c r="I72" s="7" t="b">
        <v>1</v>
      </c>
      <c r="J72" s="7" t="str">
        <f t="shared" si="2"/>
        <v>Uzbekistan ⚪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5.0"/>
    <col customWidth="1" min="3" max="3" width="8.0"/>
    <col customWidth="1" min="4" max="4" width="10.0"/>
    <col customWidth="1" min="5" max="26" width="8.71"/>
  </cols>
  <sheetData>
    <row r="1">
      <c r="A1" s="6" t="s">
        <v>204</v>
      </c>
      <c r="B1" s="6" t="s">
        <v>9</v>
      </c>
      <c r="C1" s="6" t="s">
        <v>10</v>
      </c>
      <c r="D1" s="6" t="s">
        <v>205</v>
      </c>
    </row>
    <row r="2">
      <c r="A2" s="7" t="s">
        <v>39</v>
      </c>
      <c r="B2" s="7" t="s">
        <v>39</v>
      </c>
      <c r="C2" s="7" t="s">
        <v>65</v>
      </c>
      <c r="D2" s="7" t="b">
        <v>0</v>
      </c>
    </row>
    <row r="3">
      <c r="A3" s="7" t="s">
        <v>65</v>
      </c>
      <c r="B3" s="7" t="s">
        <v>39</v>
      </c>
      <c r="C3" s="7" t="s">
        <v>65</v>
      </c>
      <c r="D3" s="7" t="b">
        <v>0</v>
      </c>
    </row>
    <row r="4">
      <c r="A4" s="7" t="s">
        <v>206</v>
      </c>
      <c r="B4" s="7" t="s">
        <v>39</v>
      </c>
      <c r="C4" s="7" t="s">
        <v>65</v>
      </c>
      <c r="D4" s="7" t="b">
        <v>0</v>
      </c>
    </row>
    <row r="5">
      <c r="A5" s="7" t="s">
        <v>63</v>
      </c>
      <c r="B5" s="7" t="s">
        <v>63</v>
      </c>
      <c r="C5" s="7" t="s">
        <v>64</v>
      </c>
      <c r="D5" s="7" t="b">
        <v>0</v>
      </c>
    </row>
    <row r="6">
      <c r="A6" s="7" t="s">
        <v>60</v>
      </c>
      <c r="B6" s="7" t="s">
        <v>60</v>
      </c>
      <c r="C6" s="7" t="s">
        <v>61</v>
      </c>
      <c r="D6" s="7" t="b">
        <v>0</v>
      </c>
    </row>
    <row r="7">
      <c r="A7" s="7" t="s">
        <v>66</v>
      </c>
      <c r="B7" s="7" t="s">
        <v>66</v>
      </c>
      <c r="C7" s="7" t="s">
        <v>67</v>
      </c>
      <c r="D7" s="7" t="b">
        <v>0</v>
      </c>
    </row>
    <row r="8">
      <c r="A8" s="7" t="s">
        <v>68</v>
      </c>
      <c r="B8" s="7" t="s">
        <v>68</v>
      </c>
      <c r="C8" s="7" t="s">
        <v>69</v>
      </c>
      <c r="D8" s="7" t="b">
        <v>0</v>
      </c>
    </row>
    <row r="9">
      <c r="A9" s="7" t="s">
        <v>207</v>
      </c>
      <c r="B9" s="7" t="s">
        <v>68</v>
      </c>
      <c r="C9" s="7" t="s">
        <v>69</v>
      </c>
      <c r="D9" s="7" t="b">
        <v>0</v>
      </c>
    </row>
    <row r="10">
      <c r="A10" s="7" t="s">
        <v>208</v>
      </c>
      <c r="B10" s="7" t="s">
        <v>68</v>
      </c>
      <c r="C10" s="7" t="s">
        <v>69</v>
      </c>
      <c r="D10" s="7" t="b">
        <v>0</v>
      </c>
    </row>
    <row r="11">
      <c r="A11" s="7" t="s">
        <v>71</v>
      </c>
      <c r="B11" s="7" t="s">
        <v>71</v>
      </c>
      <c r="C11" s="7" t="s">
        <v>72</v>
      </c>
      <c r="D11" s="7" t="b">
        <v>0</v>
      </c>
    </row>
    <row r="12">
      <c r="A12" s="7" t="s">
        <v>73</v>
      </c>
      <c r="B12" s="7" t="s">
        <v>73</v>
      </c>
      <c r="C12" s="7" t="s">
        <v>74</v>
      </c>
      <c r="D12" s="7" t="b">
        <v>0</v>
      </c>
    </row>
    <row r="13">
      <c r="A13" s="7" t="s">
        <v>75</v>
      </c>
      <c r="B13" s="7" t="s">
        <v>75</v>
      </c>
      <c r="C13" s="7" t="s">
        <v>76</v>
      </c>
      <c r="D13" s="7" t="b">
        <v>0</v>
      </c>
    </row>
    <row r="14">
      <c r="A14" s="7" t="s">
        <v>77</v>
      </c>
      <c r="B14" s="7" t="s">
        <v>77</v>
      </c>
      <c r="C14" s="7" t="s">
        <v>78</v>
      </c>
      <c r="D14" s="7" t="b">
        <v>0</v>
      </c>
    </row>
    <row r="15">
      <c r="A15" s="7" t="s">
        <v>79</v>
      </c>
      <c r="B15" s="7" t="s">
        <v>79</v>
      </c>
      <c r="C15" s="7" t="s">
        <v>80</v>
      </c>
      <c r="D15" s="7" t="b">
        <v>0</v>
      </c>
    </row>
    <row r="16">
      <c r="A16" s="7" t="s">
        <v>209</v>
      </c>
      <c r="B16" s="7" t="s">
        <v>79</v>
      </c>
      <c r="C16" s="7" t="s">
        <v>80</v>
      </c>
      <c r="D16" s="7" t="b">
        <v>0</v>
      </c>
    </row>
    <row r="17">
      <c r="A17" s="7" t="s">
        <v>210</v>
      </c>
      <c r="B17" s="7" t="s">
        <v>79</v>
      </c>
      <c r="C17" s="7" t="s">
        <v>80</v>
      </c>
      <c r="D17" s="7" t="b">
        <v>0</v>
      </c>
    </row>
    <row r="18">
      <c r="A18" s="7" t="s">
        <v>41</v>
      </c>
      <c r="B18" s="7" t="s">
        <v>41</v>
      </c>
      <c r="C18" s="7" t="s">
        <v>81</v>
      </c>
      <c r="D18" s="7" t="b">
        <v>0</v>
      </c>
    </row>
    <row r="19">
      <c r="A19" s="7" t="s">
        <v>211</v>
      </c>
      <c r="B19" s="7" t="s">
        <v>41</v>
      </c>
      <c r="C19" s="7" t="s">
        <v>81</v>
      </c>
      <c r="D19" s="7" t="b">
        <v>0</v>
      </c>
    </row>
    <row r="20">
      <c r="A20" s="7" t="s">
        <v>83</v>
      </c>
      <c r="B20" s="7" t="s">
        <v>83</v>
      </c>
      <c r="C20" s="7" t="s">
        <v>84</v>
      </c>
      <c r="D20" s="7" t="b">
        <v>0</v>
      </c>
    </row>
    <row r="21" ht="15.75" customHeight="1">
      <c r="A21" s="7" t="s">
        <v>85</v>
      </c>
      <c r="B21" s="7" t="s">
        <v>85</v>
      </c>
      <c r="C21" s="7" t="s">
        <v>86</v>
      </c>
      <c r="D21" s="7" t="b">
        <v>0</v>
      </c>
    </row>
    <row r="22" ht="15.75" customHeight="1">
      <c r="A22" s="7" t="s">
        <v>42</v>
      </c>
      <c r="B22" s="7" t="s">
        <v>42</v>
      </c>
      <c r="C22" s="7" t="s">
        <v>87</v>
      </c>
      <c r="D22" s="7" t="b">
        <v>0</v>
      </c>
    </row>
    <row r="23" ht="15.75" customHeight="1">
      <c r="A23" s="7" t="s">
        <v>89</v>
      </c>
      <c r="B23" s="7" t="s">
        <v>89</v>
      </c>
      <c r="C23" s="7" t="s">
        <v>90</v>
      </c>
      <c r="D23" s="7" t="b">
        <v>0</v>
      </c>
    </row>
    <row r="24" ht="15.75" customHeight="1">
      <c r="A24" s="7" t="s">
        <v>212</v>
      </c>
      <c r="B24" s="7" t="s">
        <v>89</v>
      </c>
      <c r="C24" s="7" t="s">
        <v>90</v>
      </c>
      <c r="D24" s="7" t="b">
        <v>0</v>
      </c>
    </row>
    <row r="25" ht="15.75" customHeight="1">
      <c r="A25" s="7" t="s">
        <v>91</v>
      </c>
      <c r="B25" s="7" t="s">
        <v>91</v>
      </c>
      <c r="C25" s="7" t="s">
        <v>92</v>
      </c>
      <c r="D25" s="7" t="b">
        <v>0</v>
      </c>
    </row>
    <row r="26" ht="15.75" customHeight="1">
      <c r="A26" s="7" t="s">
        <v>93</v>
      </c>
      <c r="B26" s="7" t="s">
        <v>93</v>
      </c>
      <c r="C26" s="7" t="s">
        <v>94</v>
      </c>
      <c r="D26" s="7" t="b">
        <v>0</v>
      </c>
    </row>
    <row r="27" ht="15.75" customHeight="1">
      <c r="A27" s="7" t="s">
        <v>43</v>
      </c>
      <c r="B27" s="7" t="s">
        <v>43</v>
      </c>
      <c r="C27" s="7" t="s">
        <v>96</v>
      </c>
      <c r="D27" s="7" t="b">
        <v>0</v>
      </c>
    </row>
    <row r="28" ht="15.75" customHeight="1">
      <c r="A28" s="7" t="s">
        <v>213</v>
      </c>
      <c r="B28" s="7" t="s">
        <v>43</v>
      </c>
      <c r="C28" s="7" t="s">
        <v>96</v>
      </c>
      <c r="D28" s="7" t="b">
        <v>0</v>
      </c>
    </row>
    <row r="29" ht="15.75" customHeight="1">
      <c r="A29" s="7" t="s">
        <v>214</v>
      </c>
      <c r="B29" s="7" t="s">
        <v>43</v>
      </c>
      <c r="C29" s="7" t="s">
        <v>96</v>
      </c>
      <c r="D29" s="7" t="b">
        <v>0</v>
      </c>
    </row>
    <row r="30" ht="15.75" customHeight="1">
      <c r="A30" s="7" t="s">
        <v>97</v>
      </c>
      <c r="B30" s="7" t="s">
        <v>97</v>
      </c>
      <c r="C30" s="7" t="s">
        <v>98</v>
      </c>
      <c r="D30" s="7" t="b">
        <v>0</v>
      </c>
    </row>
    <row r="31" ht="15.75" customHeight="1">
      <c r="A31" s="7" t="s">
        <v>99</v>
      </c>
      <c r="B31" s="7" t="s">
        <v>99</v>
      </c>
      <c r="C31" s="7" t="s">
        <v>100</v>
      </c>
      <c r="D31" s="7" t="b">
        <v>0</v>
      </c>
    </row>
    <row r="32" ht="15.75" customHeight="1">
      <c r="A32" s="7" t="s">
        <v>101</v>
      </c>
      <c r="B32" s="7" t="s">
        <v>101</v>
      </c>
      <c r="C32" s="7" t="s">
        <v>102</v>
      </c>
      <c r="D32" s="7" t="b">
        <v>0</v>
      </c>
    </row>
    <row r="33" ht="15.75" customHeight="1">
      <c r="A33" s="7" t="s">
        <v>103</v>
      </c>
      <c r="B33" s="7" t="s">
        <v>103</v>
      </c>
      <c r="C33" s="7" t="s">
        <v>104</v>
      </c>
      <c r="D33" s="7" t="b">
        <v>0</v>
      </c>
    </row>
    <row r="34" ht="15.75" customHeight="1">
      <c r="A34" s="7" t="s">
        <v>106</v>
      </c>
      <c r="B34" s="7" t="s">
        <v>106</v>
      </c>
      <c r="C34" s="7" t="s">
        <v>107</v>
      </c>
      <c r="D34" s="7" t="b">
        <v>0</v>
      </c>
    </row>
    <row r="35" ht="15.75" customHeight="1">
      <c r="A35" s="7" t="s">
        <v>108</v>
      </c>
      <c r="B35" s="7" t="s">
        <v>108</v>
      </c>
      <c r="C35" s="7" t="s">
        <v>109</v>
      </c>
      <c r="D35" s="7" t="b">
        <v>0</v>
      </c>
    </row>
    <row r="36" ht="15.75" customHeight="1">
      <c r="A36" s="7" t="s">
        <v>110</v>
      </c>
      <c r="B36" s="7" t="s">
        <v>110</v>
      </c>
      <c r="C36" s="7" t="s">
        <v>111</v>
      </c>
      <c r="D36" s="7" t="b">
        <v>0</v>
      </c>
    </row>
    <row r="37" ht="15.75" customHeight="1">
      <c r="A37" s="7" t="s">
        <v>112</v>
      </c>
      <c r="B37" s="7" t="s">
        <v>112</v>
      </c>
      <c r="C37" s="7" t="s">
        <v>113</v>
      </c>
      <c r="D37" s="7" t="b">
        <v>0</v>
      </c>
    </row>
    <row r="38" ht="15.75" customHeight="1">
      <c r="A38" s="7" t="s">
        <v>114</v>
      </c>
      <c r="B38" s="7" t="s">
        <v>114</v>
      </c>
      <c r="C38" s="7" t="s">
        <v>115</v>
      </c>
      <c r="D38" s="7" t="b">
        <v>0</v>
      </c>
    </row>
    <row r="39" ht="15.75" customHeight="1">
      <c r="A39" s="7" t="s">
        <v>116</v>
      </c>
      <c r="B39" s="7" t="s">
        <v>116</v>
      </c>
      <c r="C39" s="7" t="s">
        <v>117</v>
      </c>
      <c r="D39" s="7" t="b">
        <v>0</v>
      </c>
    </row>
    <row r="40" ht="15.75" customHeight="1">
      <c r="A40" s="7" t="s">
        <v>118</v>
      </c>
      <c r="B40" s="7" t="s">
        <v>118</v>
      </c>
      <c r="C40" s="7" t="s">
        <v>119</v>
      </c>
      <c r="D40" s="7" t="b">
        <v>0</v>
      </c>
    </row>
    <row r="41" ht="15.75" customHeight="1">
      <c r="A41" s="7" t="s">
        <v>120</v>
      </c>
      <c r="B41" s="7" t="s">
        <v>120</v>
      </c>
      <c r="C41" s="7" t="s">
        <v>121</v>
      </c>
      <c r="D41" s="7" t="b">
        <v>0</v>
      </c>
    </row>
    <row r="42" ht="15.75" customHeight="1">
      <c r="A42" s="7" t="s">
        <v>196</v>
      </c>
      <c r="B42" s="7" t="s">
        <v>196</v>
      </c>
      <c r="C42" s="7" t="s">
        <v>197</v>
      </c>
      <c r="D42" s="7" t="b">
        <v>0</v>
      </c>
    </row>
    <row r="43" ht="15.75" customHeight="1">
      <c r="A43" s="7" t="s">
        <v>215</v>
      </c>
      <c r="B43" s="7" t="s">
        <v>196</v>
      </c>
      <c r="C43" s="7" t="s">
        <v>197</v>
      </c>
      <c r="D43" s="7" t="b">
        <v>0</v>
      </c>
    </row>
    <row r="44" ht="15.75" customHeight="1">
      <c r="A44" s="7" t="s">
        <v>216</v>
      </c>
      <c r="B44" s="7" t="s">
        <v>217</v>
      </c>
      <c r="C44" s="7" t="s">
        <v>216</v>
      </c>
      <c r="D44" s="7" t="b">
        <v>1</v>
      </c>
    </row>
    <row r="45" ht="15.75" customHeight="1">
      <c r="A45" s="7" t="s">
        <v>218</v>
      </c>
      <c r="B45" s="7" t="s">
        <v>217</v>
      </c>
      <c r="C45" s="7" t="s">
        <v>216</v>
      </c>
      <c r="D45" s="7" t="b">
        <v>1</v>
      </c>
    </row>
    <row r="46" ht="15.75" customHeight="1">
      <c r="A46" s="7" t="s">
        <v>219</v>
      </c>
      <c r="B46" s="7" t="s">
        <v>217</v>
      </c>
      <c r="C46" s="7" t="s">
        <v>220</v>
      </c>
      <c r="D46" s="7" t="b">
        <v>1</v>
      </c>
    </row>
    <row r="47" ht="15.75" customHeight="1">
      <c r="A47" s="7" t="s">
        <v>221</v>
      </c>
      <c r="B47" s="7" t="s">
        <v>217</v>
      </c>
      <c r="C47" s="7" t="s">
        <v>222</v>
      </c>
      <c r="D47" s="7" t="b">
        <v>1</v>
      </c>
    </row>
    <row r="48" ht="15.75" customHeight="1">
      <c r="A48" s="7" t="s">
        <v>223</v>
      </c>
      <c r="B48" s="7" t="s">
        <v>217</v>
      </c>
      <c r="C48" s="7" t="s">
        <v>223</v>
      </c>
      <c r="D48" s="7" t="b">
        <v>1</v>
      </c>
    </row>
    <row r="49" ht="15.75" customHeight="1">
      <c r="A49" s="7" t="s">
        <v>224</v>
      </c>
      <c r="B49" s="7" t="s">
        <v>217</v>
      </c>
      <c r="C49" s="7" t="s">
        <v>223</v>
      </c>
      <c r="D49" s="7" t="b">
        <v>1</v>
      </c>
    </row>
    <row r="50" ht="15.75" customHeight="1">
      <c r="A50" s="7" t="s">
        <v>225</v>
      </c>
      <c r="B50" s="7" t="s">
        <v>217</v>
      </c>
      <c r="C50" s="7" t="s">
        <v>223</v>
      </c>
      <c r="D50" s="7" t="b">
        <v>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0"/>
    <col customWidth="1" min="3" max="6" width="10.0"/>
    <col customWidth="1" min="7" max="26" width="8.71"/>
  </cols>
  <sheetData>
    <row r="1">
      <c r="A1" s="12" t="s">
        <v>226</v>
      </c>
    </row>
    <row r="2">
      <c r="A2" s="13" t="s">
        <v>2</v>
      </c>
      <c r="B2" s="13" t="s">
        <v>227</v>
      </c>
      <c r="C2" s="13" t="s">
        <v>11</v>
      </c>
      <c r="D2" s="13" t="s">
        <v>12</v>
      </c>
      <c r="E2" s="13" t="s">
        <v>13</v>
      </c>
      <c r="F2" s="13" t="s">
        <v>14</v>
      </c>
    </row>
    <row r="3">
      <c r="A3" s="5">
        <v>1.0</v>
      </c>
      <c r="B3" s="5" t="s">
        <v>60</v>
      </c>
      <c r="C3" s="5">
        <v>10.0</v>
      </c>
      <c r="D3" s="5">
        <v>8.0</v>
      </c>
      <c r="E3" s="5">
        <v>6.0</v>
      </c>
      <c r="F3" s="5">
        <f t="shared" ref="F3:F22" si="1">C3+D3+E3</f>
        <v>24</v>
      </c>
    </row>
    <row r="4">
      <c r="A4" s="5">
        <v>2.0</v>
      </c>
      <c r="B4" s="5" t="s">
        <v>63</v>
      </c>
      <c r="C4" s="5">
        <v>8.0</v>
      </c>
      <c r="D4" s="5">
        <v>7.0</v>
      </c>
      <c r="E4" s="5">
        <v>5.0</v>
      </c>
      <c r="F4" s="5">
        <f t="shared" si="1"/>
        <v>20</v>
      </c>
    </row>
    <row r="5">
      <c r="A5" s="5">
        <v>3.0</v>
      </c>
      <c r="B5" s="5" t="s">
        <v>39</v>
      </c>
      <c r="C5" s="5">
        <v>6.0</v>
      </c>
      <c r="D5" s="5">
        <v>8.0</v>
      </c>
      <c r="E5" s="5">
        <v>7.0</v>
      </c>
      <c r="F5" s="5">
        <f t="shared" si="1"/>
        <v>21</v>
      </c>
    </row>
    <row r="6">
      <c r="A6" s="5">
        <v>4.0</v>
      </c>
      <c r="B6" s="5" t="s">
        <v>66</v>
      </c>
      <c r="C6" s="5">
        <v>5.0</v>
      </c>
      <c r="D6" s="5">
        <v>6.0</v>
      </c>
      <c r="E6" s="5">
        <v>8.0</v>
      </c>
      <c r="F6" s="5">
        <f t="shared" si="1"/>
        <v>19</v>
      </c>
    </row>
    <row r="7">
      <c r="A7" s="5">
        <v>5.0</v>
      </c>
      <c r="B7" s="5" t="s">
        <v>68</v>
      </c>
      <c r="C7" s="5">
        <v>7.0</v>
      </c>
      <c r="D7" s="5">
        <v>5.0</v>
      </c>
      <c r="E7" s="5">
        <v>3.0</v>
      </c>
      <c r="F7" s="5">
        <f t="shared" si="1"/>
        <v>15</v>
      </c>
    </row>
    <row r="8">
      <c r="A8" s="5">
        <v>6.0</v>
      </c>
      <c r="B8" s="5" t="s">
        <v>75</v>
      </c>
      <c r="C8" s="5">
        <v>3.0</v>
      </c>
      <c r="D8" s="5">
        <v>4.0</v>
      </c>
      <c r="E8" s="5">
        <v>2.0</v>
      </c>
      <c r="F8" s="5">
        <f t="shared" si="1"/>
        <v>9</v>
      </c>
    </row>
    <row r="9">
      <c r="A9" s="5">
        <v>7.0</v>
      </c>
      <c r="B9" s="5" t="s">
        <v>77</v>
      </c>
      <c r="C9" s="5">
        <v>4.0</v>
      </c>
      <c r="D9" s="5">
        <v>3.0</v>
      </c>
      <c r="E9" s="5">
        <v>5.0</v>
      </c>
      <c r="F9" s="5">
        <f t="shared" si="1"/>
        <v>12</v>
      </c>
    </row>
    <row r="10">
      <c r="A10" s="5">
        <v>8.0</v>
      </c>
      <c r="B10" s="5" t="s">
        <v>71</v>
      </c>
      <c r="C10" s="5">
        <v>3.0</v>
      </c>
      <c r="D10" s="5">
        <v>5.0</v>
      </c>
      <c r="E10" s="5">
        <v>4.0</v>
      </c>
      <c r="F10" s="5">
        <f t="shared" si="1"/>
        <v>12</v>
      </c>
    </row>
    <row r="11">
      <c r="A11" s="5">
        <v>9.0</v>
      </c>
      <c r="B11" s="5" t="s">
        <v>73</v>
      </c>
      <c r="C11" s="5">
        <v>4.0</v>
      </c>
      <c r="D11" s="5">
        <v>3.0</v>
      </c>
      <c r="E11" s="5">
        <v>3.0</v>
      </c>
      <c r="F11" s="5">
        <f t="shared" si="1"/>
        <v>10</v>
      </c>
    </row>
    <row r="12">
      <c r="A12" s="5">
        <v>10.0</v>
      </c>
      <c r="B12" s="5" t="s">
        <v>79</v>
      </c>
      <c r="C12" s="5">
        <v>2.0</v>
      </c>
      <c r="D12" s="5">
        <v>3.0</v>
      </c>
      <c r="E12" s="5">
        <v>2.0</v>
      </c>
      <c r="F12" s="5">
        <f t="shared" si="1"/>
        <v>7</v>
      </c>
    </row>
    <row r="13">
      <c r="A13" s="5">
        <v>11.0</v>
      </c>
      <c r="B13" s="5" t="s">
        <v>41</v>
      </c>
      <c r="C13" s="5">
        <v>3.0</v>
      </c>
      <c r="D13" s="5">
        <v>2.0</v>
      </c>
      <c r="E13" s="5">
        <v>4.0</v>
      </c>
      <c r="F13" s="5">
        <f t="shared" si="1"/>
        <v>9</v>
      </c>
    </row>
    <row r="14">
      <c r="A14" s="5">
        <v>12.0</v>
      </c>
      <c r="B14" s="5" t="s">
        <v>83</v>
      </c>
      <c r="C14" s="5">
        <v>2.0</v>
      </c>
      <c r="D14" s="5">
        <v>4.0</v>
      </c>
      <c r="E14" s="5">
        <v>3.0</v>
      </c>
      <c r="F14" s="5">
        <f t="shared" si="1"/>
        <v>9</v>
      </c>
    </row>
    <row r="15">
      <c r="A15" s="5">
        <v>13.0</v>
      </c>
      <c r="B15" s="5" t="s">
        <v>85</v>
      </c>
      <c r="C15" s="5">
        <v>4.0</v>
      </c>
      <c r="D15" s="5">
        <v>3.0</v>
      </c>
      <c r="E15" s="5">
        <v>2.0</v>
      </c>
      <c r="F15" s="5">
        <f t="shared" si="1"/>
        <v>9</v>
      </c>
    </row>
    <row r="16">
      <c r="A16" s="5">
        <v>14.0</v>
      </c>
      <c r="B16" s="5" t="s">
        <v>42</v>
      </c>
      <c r="C16" s="5">
        <v>2.0</v>
      </c>
      <c r="D16" s="5">
        <v>2.0</v>
      </c>
      <c r="E16" s="5">
        <v>3.0</v>
      </c>
      <c r="F16" s="5">
        <f t="shared" si="1"/>
        <v>7</v>
      </c>
    </row>
    <row r="17">
      <c r="A17" s="5">
        <v>15.0</v>
      </c>
      <c r="B17" s="5" t="s">
        <v>91</v>
      </c>
      <c r="C17" s="5">
        <v>1.0</v>
      </c>
      <c r="D17" s="5">
        <v>2.0</v>
      </c>
      <c r="E17" s="5">
        <v>1.0</v>
      </c>
      <c r="F17" s="5">
        <f t="shared" si="1"/>
        <v>4</v>
      </c>
    </row>
    <row r="18">
      <c r="A18" s="5">
        <v>16.0</v>
      </c>
      <c r="B18" s="5" t="s">
        <v>89</v>
      </c>
      <c r="C18" s="5">
        <v>1.0</v>
      </c>
      <c r="D18" s="5">
        <v>1.0</v>
      </c>
      <c r="E18" s="5">
        <v>2.0</v>
      </c>
      <c r="F18" s="5">
        <f t="shared" si="1"/>
        <v>4</v>
      </c>
    </row>
    <row r="19">
      <c r="A19" s="5">
        <v>17.0</v>
      </c>
      <c r="B19" s="5" t="s">
        <v>43</v>
      </c>
      <c r="C19" s="5">
        <v>1.0</v>
      </c>
      <c r="D19" s="5">
        <v>1.0</v>
      </c>
      <c r="E19" s="5">
        <v>1.0</v>
      </c>
      <c r="F19" s="5">
        <f t="shared" si="1"/>
        <v>3</v>
      </c>
    </row>
    <row r="20">
      <c r="A20" s="5">
        <v>18.0</v>
      </c>
      <c r="B20" s="5" t="s">
        <v>93</v>
      </c>
      <c r="C20" s="5">
        <v>1.0</v>
      </c>
      <c r="D20" s="5">
        <v>0.0</v>
      </c>
      <c r="E20" s="5">
        <v>2.0</v>
      </c>
      <c r="F20" s="5">
        <f t="shared" si="1"/>
        <v>3</v>
      </c>
    </row>
    <row r="21" ht="15.75" customHeight="1">
      <c r="A21" s="5">
        <v>19.0</v>
      </c>
      <c r="B21" s="5" t="s">
        <v>106</v>
      </c>
      <c r="C21" s="5">
        <v>0.0</v>
      </c>
      <c r="D21" s="5">
        <v>1.0</v>
      </c>
      <c r="E21" s="5">
        <v>1.0</v>
      </c>
      <c r="F21" s="5">
        <f t="shared" si="1"/>
        <v>2</v>
      </c>
    </row>
    <row r="22" ht="15.75" customHeight="1">
      <c r="A22" s="5">
        <v>20.0</v>
      </c>
      <c r="B22" s="5" t="s">
        <v>108</v>
      </c>
      <c r="C22" s="5">
        <v>1.0</v>
      </c>
      <c r="D22" s="5">
        <v>0.0</v>
      </c>
      <c r="E22" s="5">
        <v>0.0</v>
      </c>
      <c r="F22" s="5">
        <f t="shared" si="1"/>
        <v>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5.0"/>
    <col customWidth="1" min="3" max="3" width="40.0"/>
    <col customWidth="1" min="4" max="26" width="8.71"/>
  </cols>
  <sheetData>
    <row r="1">
      <c r="A1" s="13" t="s">
        <v>228</v>
      </c>
      <c r="B1" s="13" t="s">
        <v>229</v>
      </c>
      <c r="C1" s="13" t="s">
        <v>230</v>
      </c>
    </row>
    <row r="2">
      <c r="A2" s="5" t="s">
        <v>231</v>
      </c>
      <c r="B2" s="14" t="s">
        <v>232</v>
      </c>
      <c r="C2" s="5" t="s">
        <v>233</v>
      </c>
    </row>
    <row r="3">
      <c r="A3" s="5" t="s">
        <v>234</v>
      </c>
      <c r="B3" s="14" t="s">
        <v>235</v>
      </c>
      <c r="C3" s="5" t="s">
        <v>236</v>
      </c>
    </row>
    <row r="4">
      <c r="A4" s="5" t="s">
        <v>237</v>
      </c>
      <c r="B4" s="14">
        <v>3.0</v>
      </c>
      <c r="C4" s="5" t="s">
        <v>238</v>
      </c>
    </row>
    <row r="5">
      <c r="A5" s="5" t="s">
        <v>239</v>
      </c>
      <c r="B5" s="14">
        <v>2.0</v>
      </c>
      <c r="C5" s="5" t="s">
        <v>240</v>
      </c>
    </row>
    <row r="6">
      <c r="A6" s="5" t="s">
        <v>241</v>
      </c>
      <c r="B6" s="14">
        <v>1.0</v>
      </c>
      <c r="C6" s="5" t="s">
        <v>242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0.0"/>
    <col customWidth="1" min="2" max="2" width="30.0"/>
    <col customWidth="1" min="3" max="26" width="8.71"/>
  </cols>
  <sheetData>
    <row r="1">
      <c r="A1" s="1" t="s">
        <v>243</v>
      </c>
    </row>
    <row r="3">
      <c r="A3" s="5" t="str">
        <f>Config!B2</f>
        <v>My League</v>
      </c>
    </row>
    <row r="4">
      <c r="A4" s="5" t="s">
        <v>244</v>
      </c>
    </row>
    <row r="6">
      <c r="A6" s="15" t="s">
        <v>245</v>
      </c>
    </row>
    <row r="7">
      <c r="A7" s="15" t="s">
        <v>246</v>
      </c>
    </row>
    <row r="8">
      <c r="A8" s="15" t="s">
        <v>245</v>
      </c>
    </row>
    <row r="10">
      <c r="A10" s="5" t="s">
        <v>247</v>
      </c>
    </row>
    <row r="11">
      <c r="A11" s="5" t="s">
        <v>248</v>
      </c>
    </row>
    <row r="12">
      <c r="A12" s="5" t="s">
        <v>249</v>
      </c>
    </row>
    <row r="13">
      <c r="A13" s="5" t="s">
        <v>250</v>
      </c>
    </row>
    <row r="14">
      <c r="A14" s="5" t="s">
        <v>251</v>
      </c>
    </row>
    <row r="15">
      <c r="A15" s="5" t="s">
        <v>252</v>
      </c>
    </row>
    <row r="16">
      <c r="A16" s="5" t="s">
        <v>253</v>
      </c>
    </row>
    <row r="18">
      <c r="A18" s="15" t="s">
        <v>245</v>
      </c>
    </row>
    <row r="19">
      <c r="A19" s="15" t="s">
        <v>254</v>
      </c>
    </row>
    <row r="20">
      <c r="A20" s="15" t="s">
        <v>245</v>
      </c>
    </row>
    <row r="21" ht="15.75" customHeight="1"/>
    <row r="22" ht="15.75" customHeight="1">
      <c r="A22" s="5" t="s">
        <v>255</v>
      </c>
    </row>
    <row r="23" ht="15.75" customHeight="1"/>
    <row r="24" ht="15.75" customHeight="1">
      <c r="A24" s="5" t="s">
        <v>256</v>
      </c>
    </row>
    <row r="25" ht="15.75" customHeight="1">
      <c r="A25" s="5" t="s">
        <v>257</v>
      </c>
    </row>
    <row r="26" ht="15.75" customHeight="1">
      <c r="A26" s="5" t="s">
        <v>258</v>
      </c>
    </row>
    <row r="27" ht="15.75" customHeight="1">
      <c r="A27" s="5" t="s">
        <v>259</v>
      </c>
    </row>
    <row r="28" ht="15.75" customHeight="1">
      <c r="A28" s="5" t="s">
        <v>260</v>
      </c>
    </row>
    <row r="29" ht="15.75" customHeight="1">
      <c r="A29" s="5" t="s">
        <v>261</v>
      </c>
    </row>
    <row r="30" ht="15.75" customHeight="1">
      <c r="A30" s="5" t="s">
        <v>262</v>
      </c>
    </row>
    <row r="31" ht="15.75" customHeight="1">
      <c r="A31" s="5" t="s">
        <v>263</v>
      </c>
    </row>
    <row r="32" ht="15.75" customHeight="1">
      <c r="A32" s="5" t="s">
        <v>264</v>
      </c>
    </row>
    <row r="33" ht="15.75" customHeight="1">
      <c r="A33" s="5" t="s">
        <v>265</v>
      </c>
    </row>
    <row r="34" ht="15.75" customHeight="1">
      <c r="A34" s="5" t="s">
        <v>266</v>
      </c>
    </row>
    <row r="35" ht="15.75" customHeight="1">
      <c r="A35" s="5" t="s">
        <v>267</v>
      </c>
    </row>
    <row r="36" ht="15.75" customHeight="1">
      <c r="A36" s="5" t="s">
        <v>268</v>
      </c>
    </row>
    <row r="37" ht="15.75" customHeight="1">
      <c r="A37" s="5" t="s">
        <v>269</v>
      </c>
    </row>
    <row r="38" ht="15.75" customHeight="1">
      <c r="A38" s="5" t="s">
        <v>270</v>
      </c>
    </row>
    <row r="39" ht="15.75" customHeight="1">
      <c r="A39" s="5" t="s">
        <v>271</v>
      </c>
    </row>
    <row r="40" ht="15.75" customHeight="1"/>
    <row r="41" ht="15.75" customHeight="1">
      <c r="A41" s="15" t="s">
        <v>245</v>
      </c>
    </row>
    <row r="42" ht="15.75" customHeight="1">
      <c r="A42" s="15" t="s">
        <v>272</v>
      </c>
    </row>
    <row r="43" ht="15.75" customHeight="1">
      <c r="A43" s="15" t="s">
        <v>245</v>
      </c>
    </row>
    <row r="44" ht="15.75" customHeight="1"/>
    <row r="45" ht="15.75" customHeight="1">
      <c r="A45" s="5" t="s">
        <v>273</v>
      </c>
    </row>
    <row r="46" ht="15.75" customHeight="1">
      <c r="A46" s="5" t="s">
        <v>274</v>
      </c>
    </row>
    <row r="47" ht="15.75" customHeight="1">
      <c r="A47" s="5" t="s">
        <v>275</v>
      </c>
    </row>
    <row r="48" ht="15.75" customHeight="1">
      <c r="A48" s="5" t="s">
        <v>276</v>
      </c>
    </row>
    <row r="49" ht="15.75" customHeight="1">
      <c r="A49" s="5" t="s">
        <v>277</v>
      </c>
    </row>
    <row r="50" ht="15.75" customHeight="1">
      <c r="A50" s="5" t="s">
        <v>278</v>
      </c>
    </row>
    <row r="51" ht="15.75" customHeight="1">
      <c r="A51" s="5" t="s">
        <v>279</v>
      </c>
    </row>
    <row r="52" ht="15.75" customHeight="1">
      <c r="A52" s="5" t="s">
        <v>280</v>
      </c>
    </row>
    <row r="53" ht="15.75" customHeight="1"/>
    <row r="54" ht="15.75" customHeight="1">
      <c r="A54" s="15" t="s">
        <v>245</v>
      </c>
    </row>
    <row r="55" ht="15.75" customHeight="1">
      <c r="A55" s="15" t="s">
        <v>281</v>
      </c>
    </row>
    <row r="56" ht="15.75" customHeight="1">
      <c r="A56" s="15" t="s">
        <v>245</v>
      </c>
    </row>
    <row r="57" ht="15.75" customHeight="1"/>
    <row r="58" ht="15.75" customHeight="1">
      <c r="A58" s="5" t="s">
        <v>282</v>
      </c>
    </row>
    <row r="59" ht="15.75" customHeight="1">
      <c r="A59" s="5" t="s">
        <v>283</v>
      </c>
    </row>
    <row r="60" ht="15.75" customHeight="1">
      <c r="A60" s="5" t="s">
        <v>284</v>
      </c>
    </row>
    <row r="61" ht="15.75" customHeight="1">
      <c r="A61" s="5" t="s">
        <v>285</v>
      </c>
    </row>
    <row r="62" ht="15.75" customHeight="1">
      <c r="A62" s="5" t="s">
        <v>286</v>
      </c>
    </row>
    <row r="63" ht="15.75" customHeight="1">
      <c r="A63" s="5" t="s">
        <v>287</v>
      </c>
    </row>
    <row r="64" ht="15.75" customHeight="1">
      <c r="A64" s="5" t="s">
        <v>288</v>
      </c>
    </row>
    <row r="65" ht="15.75" customHeight="1"/>
    <row r="66" ht="15.75" customHeight="1">
      <c r="A66" s="5" t="s">
        <v>289</v>
      </c>
    </row>
    <row r="67" ht="15.75" customHeight="1">
      <c r="A67" s="5" t="s">
        <v>290</v>
      </c>
    </row>
    <row r="68" ht="15.75" customHeight="1">
      <c r="A68" s="5" t="s">
        <v>291</v>
      </c>
    </row>
    <row r="69" ht="15.75" customHeight="1">
      <c r="A69" s="5" t="s">
        <v>292</v>
      </c>
    </row>
    <row r="70" ht="15.75" customHeight="1">
      <c r="A70" s="5" t="s">
        <v>293</v>
      </c>
    </row>
    <row r="71" ht="15.75" customHeight="1"/>
    <row r="72" ht="15.75" customHeight="1">
      <c r="A72" s="15" t="s">
        <v>245</v>
      </c>
    </row>
    <row r="73" ht="15.75" customHeight="1">
      <c r="A73" s="15" t="s">
        <v>294</v>
      </c>
    </row>
    <row r="74" ht="15.75" customHeight="1">
      <c r="A74" s="15" t="s">
        <v>245</v>
      </c>
    </row>
    <row r="75" ht="15.75" customHeight="1"/>
    <row r="76" ht="15.75" customHeight="1">
      <c r="A76" s="5" t="s">
        <v>295</v>
      </c>
    </row>
    <row r="77" ht="15.75" customHeight="1">
      <c r="A77" s="5" t="s">
        <v>296</v>
      </c>
    </row>
    <row r="78" ht="15.75" customHeight="1"/>
    <row r="79" ht="15.75" customHeight="1">
      <c r="A79" s="5" t="s">
        <v>297</v>
      </c>
    </row>
    <row r="80" ht="15.75" customHeight="1">
      <c r="A80" s="5" t="s">
        <v>298</v>
      </c>
    </row>
    <row r="81" ht="15.75" customHeight="1"/>
    <row r="82" ht="15.75" customHeight="1">
      <c r="A82" s="5" t="s">
        <v>299</v>
      </c>
    </row>
    <row r="83" ht="15.75" customHeight="1">
      <c r="A83" s="5" t="s">
        <v>300</v>
      </c>
    </row>
    <row r="84" ht="15.75" customHeight="1"/>
    <row r="85" ht="15.75" customHeight="1">
      <c r="A85" s="5" t="s">
        <v>301</v>
      </c>
    </row>
    <row r="86" ht="15.75" customHeight="1">
      <c r="A86" s="5" t="s">
        <v>302</v>
      </c>
    </row>
    <row r="87" ht="15.75" customHeight="1"/>
    <row r="88" ht="15.75" customHeight="1">
      <c r="A88" s="5" t="s">
        <v>303</v>
      </c>
    </row>
    <row r="89" ht="15.75" customHeight="1">
      <c r="A89" s="5" t="s">
        <v>304</v>
      </c>
    </row>
    <row r="90" ht="15.75" customHeight="1"/>
    <row r="91" ht="15.75" customHeight="1">
      <c r="A91" s="15" t="s">
        <v>245</v>
      </c>
    </row>
    <row r="92" ht="15.75" customHeight="1">
      <c r="A92" s="15" t="s">
        <v>305</v>
      </c>
    </row>
    <row r="93" ht="15.75" customHeight="1">
      <c r="A93" s="15" t="s">
        <v>245</v>
      </c>
    </row>
    <row r="94" ht="15.75" customHeight="1"/>
    <row r="95" ht="15.75" customHeight="1">
      <c r="A95" s="5" t="s">
        <v>306</v>
      </c>
    </row>
    <row r="96" ht="15.75" customHeight="1">
      <c r="A96" s="5" t="s">
        <v>307</v>
      </c>
    </row>
    <row r="97" ht="15.75" customHeight="1">
      <c r="A97" s="5" t="s">
        <v>308</v>
      </c>
    </row>
    <row r="98" ht="15.75" customHeight="1">
      <c r="A98" s="5" t="s">
        <v>309</v>
      </c>
    </row>
    <row r="99" ht="15.75" customHeight="1"/>
    <row r="100" ht="15.75" customHeight="1">
      <c r="A100" s="5" t="s">
        <v>310</v>
      </c>
    </row>
    <row r="101" ht="15.75" customHeight="1">
      <c r="A101" s="5" t="s">
        <v>311</v>
      </c>
    </row>
    <row r="102" ht="15.75" customHeight="1"/>
    <row r="103" ht="15.75" customHeight="1">
      <c r="A103" s="5" t="s">
        <v>312</v>
      </c>
    </row>
    <row r="104" ht="15.75" customHeight="1">
      <c r="A104" s="5" t="s">
        <v>313</v>
      </c>
    </row>
    <row r="105" ht="15.75" customHeight="1">
      <c r="A105" s="5" t="s">
        <v>314</v>
      </c>
    </row>
    <row r="106" ht="15.75" customHeight="1">
      <c r="A106" s="5" t="s">
        <v>315</v>
      </c>
    </row>
    <row r="107" ht="15.75" customHeight="1">
      <c r="A107" s="5" t="s">
        <v>316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2026-01-14T17:30:29Z</dcterms:created>
  <dc:creator>openpyxl</dc:creator>
</cp:coreProperties>
</file>