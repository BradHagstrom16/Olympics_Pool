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5"/>
    <sheet state="visible" name="Team Scores" sheetId="2" r:id="rId6"/>
    <sheet state="visible" name="Live Medal Table" sheetId="3" r:id="rId7"/>
    <sheet state="visible" name="Stats" sheetId="4" r:id="rId8"/>
    <sheet state="hidden" name="Entries" sheetId="5" r:id="rId9"/>
    <sheet state="hidden" name="MedalImport" sheetId="6" r:id="rId10"/>
  </sheets>
  <definedNames>
    <definedName name="GoldPoints">#REF!</definedName>
    <definedName name="LeagueName">#REF!</definedName>
    <definedName name="SilverPoints">#REF!</definedName>
    <definedName name="BronzePoints">#REF!</definedName>
    <definedName hidden="1" localSheetId="0" name="_xlnm._FilterDatabase">Leaderboard!$B$3:$G$4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Copy and paste the google form responses into columns A through L. Columns M - S are formulas that need to execute correctly for the sheet to function</t>
      </text>
    </comment>
    <comment authorId="0" ref="G2">
      <text>
        <t xml:space="preserve">Responder updated this value.</t>
      </text>
    </comment>
    <comment authorId="0" ref="K2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<sst xmlns="http://schemas.openxmlformats.org/spreadsheetml/2006/main" count="875" uniqueCount="360">
  <si>
    <t>🏆 LEADERBOARD 🏔️</t>
  </si>
  <si>
    <t>Scoring Table</t>
  </si>
  <si>
    <t>Rank</t>
  </si>
  <si>
    <t>Player</t>
  </si>
  <si>
    <t>Total Pts</t>
  </si>
  <si>
    <t>Tiebreaker</t>
  </si>
  <si>
    <t>Diff</t>
  </si>
  <si>
    <t>Countries Picked</t>
  </si>
  <si>
    <t>_Player</t>
  </si>
  <si>
    <t>_Points</t>
  </si>
  <si>
    <t>_USAGuess</t>
  </si>
  <si>
    <t>_Diff</t>
  </si>
  <si>
    <t>_Countries</t>
  </si>
  <si>
    <t>_SortKey</t>
  </si>
  <si>
    <t>Tier:</t>
  </si>
  <si>
    <t>Gold</t>
  </si>
  <si>
    <t>Silver</t>
  </si>
  <si>
    <t>Bronze</t>
  </si>
  <si>
    <t>View Player Rosters and Scores</t>
  </si>
  <si>
    <t>View Live Medal Table</t>
  </si>
  <si>
    <t>PlayerID</t>
  </si>
  <si>
    <t>DisplayName</t>
  </si>
  <si>
    <t>PickSlot</t>
  </si>
  <si>
    <t>Tier</t>
  </si>
  <si>
    <t>CountryName</t>
  </si>
  <si>
    <t>IOC</t>
  </si>
  <si>
    <t>Multiplier</t>
  </si>
  <si>
    <t>GoldPts</t>
  </si>
  <si>
    <t>SilverPts</t>
  </si>
  <si>
    <t>BronzePts</t>
  </si>
  <si>
    <t>TotalPts</t>
  </si>
  <si>
    <t>IsValid</t>
  </si>
  <si>
    <t>Click here to change the team ⬇️</t>
  </si>
  <si>
    <t>Team -&gt;</t>
  </si>
  <si>
    <t>SilkMaster420</t>
  </si>
  <si>
    <t>Countries Selected:</t>
  </si>
  <si>
    <t>Points</t>
  </si>
  <si>
    <t>Flag</t>
  </si>
  <si>
    <t>Total:</t>
  </si>
  <si>
    <t>Return to Leaderboard</t>
  </si>
  <si>
    <t>Country</t>
  </si>
  <si>
    <t>WikipediaName</t>
  </si>
  <si>
    <t>Total</t>
  </si>
  <si>
    <t>flag</t>
  </si>
  <si>
    <t>ISO</t>
  </si>
  <si>
    <t>ITA</t>
  </si>
  <si>
    <t>Italy</t>
  </si>
  <si>
    <t>Norway</t>
  </si>
  <si>
    <t>NOR</t>
  </si>
  <si>
    <t>Australia</t>
  </si>
  <si>
    <t>AUS</t>
  </si>
  <si>
    <t>United States</t>
  </si>
  <si>
    <t>USA</t>
  </si>
  <si>
    <t>Japan</t>
  </si>
  <si>
    <t>JPN</t>
  </si>
  <si>
    <t>Germany</t>
  </si>
  <si>
    <t>GER</t>
  </si>
  <si>
    <t>Great Britain</t>
  </si>
  <si>
    <t>GBR</t>
  </si>
  <si>
    <t>Canada</t>
  </si>
  <si>
    <t>CAN</t>
  </si>
  <si>
    <t>New Zealand</t>
  </si>
  <si>
    <t>NZL</t>
  </si>
  <si>
    <t>Netherlands</t>
  </si>
  <si>
    <t>NED</t>
  </si>
  <si>
    <t>Spain</t>
  </si>
  <si>
    <t>ESP</t>
  </si>
  <si>
    <t>Austria</t>
  </si>
  <si>
    <t>AUT</t>
  </si>
  <si>
    <t>France</t>
  </si>
  <si>
    <t>FRA</t>
  </si>
  <si>
    <t>Switzerland</t>
  </si>
  <si>
    <t>SUI</t>
  </si>
  <si>
    <t>Sweden</t>
  </si>
  <si>
    <t>SWE</t>
  </si>
  <si>
    <t>South Korea</t>
  </si>
  <si>
    <t>KOR</t>
  </si>
  <si>
    <t>China</t>
  </si>
  <si>
    <t>CHN</t>
  </si>
  <si>
    <t>Poland</t>
  </si>
  <si>
    <t>POL</t>
  </si>
  <si>
    <t>Finland</t>
  </si>
  <si>
    <t>FIN</t>
  </si>
  <si>
    <t>Slovenia</t>
  </si>
  <si>
    <t>SLO</t>
  </si>
  <si>
    <t>Czech Republic</t>
  </si>
  <si>
    <t>CZE</t>
  </si>
  <si>
    <t>Brazil</t>
  </si>
  <si>
    <t>BRA</t>
  </si>
  <si>
    <t>Kazakhstan</t>
  </si>
  <si>
    <t>KAZ</t>
  </si>
  <si>
    <t>Latvia</t>
  </si>
  <si>
    <t>LAT</t>
  </si>
  <si>
    <t>Slovakia</t>
  </si>
  <si>
    <t>SVK</t>
  </si>
  <si>
    <t>Ukraine</t>
  </si>
  <si>
    <t>UKR</t>
  </si>
  <si>
    <t>Bulgaria</t>
  </si>
  <si>
    <t>BUL</t>
  </si>
  <si>
    <t>Hungary</t>
  </si>
  <si>
    <t>HUN</t>
  </si>
  <si>
    <t>Denmark</t>
  </si>
  <si>
    <t>DEN</t>
  </si>
  <si>
    <t>Albania</t>
  </si>
  <si>
    <t>ALB</t>
  </si>
  <si>
    <t>Estonia</t>
  </si>
  <si>
    <t>EST</t>
  </si>
  <si>
    <t>Andorra</t>
  </si>
  <si>
    <t>AND</t>
  </si>
  <si>
    <t>Georgia</t>
  </si>
  <si>
    <t>GEO</t>
  </si>
  <si>
    <t>Argentina</t>
  </si>
  <si>
    <t>ARG</t>
  </si>
  <si>
    <t>Armenia</t>
  </si>
  <si>
    <t>ARM</t>
  </si>
  <si>
    <t>Azerbaijan</t>
  </si>
  <si>
    <t>AZE</t>
  </si>
  <si>
    <t>Belgium</t>
  </si>
  <si>
    <t>BEL</t>
  </si>
  <si>
    <t>Benin</t>
  </si>
  <si>
    <t>BEN</t>
  </si>
  <si>
    <t>Bolivia</t>
  </si>
  <si>
    <t>BOL</t>
  </si>
  <si>
    <t>Bosnia and Herzegovina</t>
  </si>
  <si>
    <t>BIH</t>
  </si>
  <si>
    <t>Chile</t>
  </si>
  <si>
    <t>CHI</t>
  </si>
  <si>
    <t>Colombia</t>
  </si>
  <si>
    <t>COL</t>
  </si>
  <si>
    <t>Croatia</t>
  </si>
  <si>
    <t>CRO</t>
  </si>
  <si>
    <t>Cyprus</t>
  </si>
  <si>
    <t>CYP</t>
  </si>
  <si>
    <t>Ecuador</t>
  </si>
  <si>
    <t>ECU</t>
  </si>
  <si>
    <t>Eritrea</t>
  </si>
  <si>
    <t>ERI</t>
  </si>
  <si>
    <t>Greece</t>
  </si>
  <si>
    <t>GRE</t>
  </si>
  <si>
    <t>Guinea-Bissau</t>
  </si>
  <si>
    <t>GBS</t>
  </si>
  <si>
    <t>Haiti</t>
  </si>
  <si>
    <t>HAI</t>
  </si>
  <si>
    <t>Hong Kong</t>
  </si>
  <si>
    <t>HKG</t>
  </si>
  <si>
    <t>Iceland</t>
  </si>
  <si>
    <t>ISL</t>
  </si>
  <si>
    <t>India</t>
  </si>
  <si>
    <t>IND</t>
  </si>
  <si>
    <t>Iran</t>
  </si>
  <si>
    <t>IRI</t>
  </si>
  <si>
    <t>Ireland</t>
  </si>
  <si>
    <t>IRL</t>
  </si>
  <si>
    <t>Israel</t>
  </si>
  <si>
    <t>ISR</t>
  </si>
  <si>
    <t>Jamaica</t>
  </si>
  <si>
    <t>JAM</t>
  </si>
  <si>
    <t>Kenya</t>
  </si>
  <si>
    <t>KEN</t>
  </si>
  <si>
    <t>Kosovo</t>
  </si>
  <si>
    <t>KOS</t>
  </si>
  <si>
    <t>Kyrgyzstan</t>
  </si>
  <si>
    <t>KGZ</t>
  </si>
  <si>
    <t>Lebanon</t>
  </si>
  <si>
    <t>LBN</t>
  </si>
  <si>
    <t>Liechtenstein</t>
  </si>
  <si>
    <t>LIE</t>
  </si>
  <si>
    <t>Lithuania</t>
  </si>
  <si>
    <t>LTU</t>
  </si>
  <si>
    <t>Luxembourg</t>
  </si>
  <si>
    <t>LUX</t>
  </si>
  <si>
    <t>Madagascar</t>
  </si>
  <si>
    <t>MAD</t>
  </si>
  <si>
    <t>Malaysia</t>
  </si>
  <si>
    <t>MAS</t>
  </si>
  <si>
    <t>Malta</t>
  </si>
  <si>
    <t>MLT</t>
  </si>
  <si>
    <t>Mexico</t>
  </si>
  <si>
    <t>MEX</t>
  </si>
  <si>
    <t>Moldova</t>
  </si>
  <si>
    <t>MDA</t>
  </si>
  <si>
    <t>Monaco</t>
  </si>
  <si>
    <t>MON</t>
  </si>
  <si>
    <t>Mongolia</t>
  </si>
  <si>
    <t>MGL</t>
  </si>
  <si>
    <t>Montenegro</t>
  </si>
  <si>
    <t>MNE</t>
  </si>
  <si>
    <t>Morocco</t>
  </si>
  <si>
    <t>MAR</t>
  </si>
  <si>
    <t>Nigeria</t>
  </si>
  <si>
    <t>NGR</t>
  </si>
  <si>
    <t>North Macedonia</t>
  </si>
  <si>
    <t>MKD</t>
  </si>
  <si>
    <t>Pakistan</t>
  </si>
  <si>
    <t>PAK</t>
  </si>
  <si>
    <t>Peru</t>
  </si>
  <si>
    <t>PER</t>
  </si>
  <si>
    <t>Philippines</t>
  </si>
  <si>
    <t>PHI</t>
  </si>
  <si>
    <t>Portugal</t>
  </si>
  <si>
    <t>POR</t>
  </si>
  <si>
    <t>Puerto Rico</t>
  </si>
  <si>
    <t>PUR</t>
  </si>
  <si>
    <t>Romania</t>
  </si>
  <si>
    <t>ROU</t>
  </si>
  <si>
    <t>San Marino</t>
  </si>
  <si>
    <t>SMR</t>
  </si>
  <si>
    <t>Saudi Arabia</t>
  </si>
  <si>
    <t>KSA</t>
  </si>
  <si>
    <t>Serbia</t>
  </si>
  <si>
    <t>SRB</t>
  </si>
  <si>
    <t>Singapore</t>
  </si>
  <si>
    <t>SGP</t>
  </si>
  <si>
    <t>South Africa</t>
  </si>
  <si>
    <t>RSA</t>
  </si>
  <si>
    <t>Chinese Taipei</t>
  </si>
  <si>
    <t>TPE</t>
  </si>
  <si>
    <t>Thailand</t>
  </si>
  <si>
    <t>THA</t>
  </si>
  <si>
    <t>Trinidad and Tobago</t>
  </si>
  <si>
    <t>TTO</t>
  </si>
  <si>
    <t>Turkey</t>
  </si>
  <si>
    <t>TUR</t>
  </si>
  <si>
    <t>United Arab Emirates</t>
  </si>
  <si>
    <t>UAE</t>
  </si>
  <si>
    <t>Uruguay</t>
  </si>
  <si>
    <t>URU</t>
  </si>
  <si>
    <t>Uzbekistan</t>
  </si>
  <si>
    <t>UZB</t>
  </si>
  <si>
    <t>Venezuela</t>
  </si>
  <si>
    <t>VEN</t>
  </si>
  <si>
    <t>Timestamp</t>
  </si>
  <si>
    <t>Email</t>
  </si>
  <si>
    <t>FirstName</t>
  </si>
  <si>
    <t>LastName</t>
  </si>
  <si>
    <t>Tier1_Pick1</t>
  </si>
  <si>
    <t>Tier2_Raw</t>
  </si>
  <si>
    <t>Tier3_Pick1</t>
  </si>
  <si>
    <t>Tier4_Pick1</t>
  </si>
  <si>
    <t>Tier5_Pick1</t>
  </si>
  <si>
    <t>Tier6_Raw</t>
  </si>
  <si>
    <t>USA_TOTAL</t>
  </si>
  <si>
    <t>Tier2_Pick1</t>
  </si>
  <si>
    <t>Tier2_Pick2</t>
  </si>
  <si>
    <t>Tier6_Pick1</t>
  </si>
  <si>
    <t>Tier6_Pick2</t>
  </si>
  <si>
    <t>ValidationStatus</t>
  </si>
  <si>
    <t>ValidationDetails</t>
  </si>
  <si>
    <t>bhagstrom0@gmail.com</t>
  </si>
  <si>
    <t>Brad</t>
  </si>
  <si>
    <t>Hagstrom</t>
  </si>
  <si>
    <t>King Towsk</t>
  </si>
  <si>
    <t>Austria, Netherlands</t>
  </si>
  <si>
    <t>New Zealand (17), Ukraine (45)</t>
  </si>
  <si>
    <t>wyatteisen33@gmail.com</t>
  </si>
  <si>
    <t>Wyatt</t>
  </si>
  <si>
    <t>Eisen</t>
  </si>
  <si>
    <t>Croatia (14), Ukraine (45)</t>
  </si>
  <si>
    <t>jackjansen21@gmail.com</t>
  </si>
  <si>
    <t>Jack</t>
  </si>
  <si>
    <t>Jansen</t>
  </si>
  <si>
    <t>Jack Jansen</t>
  </si>
  <si>
    <t>Netherlands, Sweden</t>
  </si>
  <si>
    <t>Belgium (30), ⚪ Denmark (43)</t>
  </si>
  <si>
    <t>kaufmannc19@gmail.com</t>
  </si>
  <si>
    <t>Charlie</t>
  </si>
  <si>
    <t>Kaufmann</t>
  </si>
  <si>
    <t xml:space="preserve">Charlie </t>
  </si>
  <si>
    <t>Austria, Sweden</t>
  </si>
  <si>
    <t>⚪ Chile (4), ⚪ Chinese Taipei (8)</t>
  </si>
  <si>
    <t>jkmurph6@gmail.com</t>
  </si>
  <si>
    <t>John</t>
  </si>
  <si>
    <t>Murphy</t>
  </si>
  <si>
    <t>Murph</t>
  </si>
  <si>
    <t>Netherlands, Switzerland</t>
  </si>
  <si>
    <t>Belgium (30), Spain (20)</t>
  </si>
  <si>
    <t>jcccaputa@gmail.com</t>
  </si>
  <si>
    <t>Josh</t>
  </si>
  <si>
    <t>Caputa</t>
  </si>
  <si>
    <t>Josh’s Dawgs</t>
  </si>
  <si>
    <t>France, Sweden</t>
  </si>
  <si>
    <t>Belgium (30), Ukraine (45)</t>
  </si>
  <si>
    <t>bengreenblatt3232@gmail.com</t>
  </si>
  <si>
    <t>Ben</t>
  </si>
  <si>
    <t>Greenblatt</t>
  </si>
  <si>
    <t>bgreen</t>
  </si>
  <si>
    <t>Estonia (34), Ukraine (45)</t>
  </si>
  <si>
    <t>kborst13@gmail.com</t>
  </si>
  <si>
    <t>Kyle</t>
  </si>
  <si>
    <t>Borst</t>
  </si>
  <si>
    <t>kborst13</t>
  </si>
  <si>
    <t>Belgium (30), Estonia (34)</t>
  </si>
  <si>
    <t>seanmac514@gmail.com</t>
  </si>
  <si>
    <t>Sean</t>
  </si>
  <si>
    <t>McAteer</t>
  </si>
  <si>
    <t>SMAC</t>
  </si>
  <si>
    <t>Spain (20), Ukraine (45)</t>
  </si>
  <si>
    <t>patrickdoherty23@gmail.com</t>
  </si>
  <si>
    <t>Patrick</t>
  </si>
  <si>
    <t>Doherty</t>
  </si>
  <si>
    <t>Pat Doherty</t>
  </si>
  <si>
    <t>Belgium (30), Hungary (16)</t>
  </si>
  <si>
    <t>jtreb6@gmail.com</t>
  </si>
  <si>
    <t>Rebman</t>
  </si>
  <si>
    <t>Reb</t>
  </si>
  <si>
    <t>⚪ Denmark (43), Kazakhstan (40)</t>
  </si>
  <si>
    <t>maxsirianni3@gmail.com</t>
  </si>
  <si>
    <t>Max</t>
  </si>
  <si>
    <t>Sirianni</t>
  </si>
  <si>
    <t>Siri</t>
  </si>
  <si>
    <t>erjohnson143@gmail.com</t>
  </si>
  <si>
    <t>Ellis</t>
  </si>
  <si>
    <t>Johnson</t>
  </si>
  <si>
    <t>⚪ Bulgaria (20), ⚪ Denmark (43)</t>
  </si>
  <si>
    <t>jackbulthuisdgn3@gmail.com</t>
  </si>
  <si>
    <t>Bulthuis</t>
  </si>
  <si>
    <t>A taco93</t>
  </si>
  <si>
    <t>Sweden, Switzerland</t>
  </si>
  <si>
    <t>Estonia (34), New Zealand (17)</t>
  </si>
  <si>
    <t>markmattson00@gmail.com</t>
  </si>
  <si>
    <t>Mark</t>
  </si>
  <si>
    <t>Mattson</t>
  </si>
  <si>
    <t>Mark Mattson</t>
  </si>
  <si>
    <t>⚪ Ireland (4), Spain (20)</t>
  </si>
  <si>
    <t>alexkepple9@gmail.com</t>
  </si>
  <si>
    <t>Alex</t>
  </si>
  <si>
    <t>Kepple</t>
  </si>
  <si>
    <t xml:space="preserve">Tate McRae </t>
  </si>
  <si>
    <t>Kazakhstan (40), Ukraine (45)</t>
  </si>
  <si>
    <t>lmflygare13@gmail.com</t>
  </si>
  <si>
    <t>Lucas</t>
  </si>
  <si>
    <t>Flygare</t>
  </si>
  <si>
    <t>LucasF</t>
  </si>
  <si>
    <t>Austria, Switzerland</t>
  </si>
  <si>
    <t>New Zealand (17), Spain (20)</t>
  </si>
  <si>
    <t>bryanjakobsze@gmail.com</t>
  </si>
  <si>
    <t>Bryan</t>
  </si>
  <si>
    <t>Jakobsze</t>
  </si>
  <si>
    <t>Bryan Jakobsze🇵🇱</t>
  </si>
  <si>
    <t>France, Netherlands</t>
  </si>
  <si>
    <t>tylerwicks24@gmail.com</t>
  </si>
  <si>
    <t>Tyler</t>
  </si>
  <si>
    <t>Wicks</t>
  </si>
  <si>
    <t>Netherlands, South Korea</t>
  </si>
  <si>
    <t>Croatia (14), ⚪ Israel (9)</t>
  </si>
  <si>
    <t>shanemsupple@gmail.com</t>
  </si>
  <si>
    <t>Shane</t>
  </si>
  <si>
    <t>Supple</t>
  </si>
  <si>
    <t>Brad’s Cousin’s Cousin</t>
  </si>
  <si>
    <t>Belgium (30), New Zealand (17)</t>
  </si>
  <si>
    <t>jhagstrom@sbcglobal.net</t>
  </si>
  <si>
    <t>Jennie</t>
  </si>
  <si>
    <t>mollykhagstrom@gmail.com</t>
  </si>
  <si>
    <t>Molly</t>
  </si>
  <si>
    <t xml:space="preserve">Molly </t>
  </si>
  <si>
    <t>jack.drobny5@gmail.com</t>
  </si>
  <si>
    <t>Drobny</t>
  </si>
  <si>
    <t>Jdrobny</t>
  </si>
  <si>
    <t>South Korea, Sweden</t>
  </si>
  <si>
    <t>PASTE WIKIPEDIA MEDAL TABLE STARTING IN CELL 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</si>
</sst>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9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2.0"/>
      <color rgb="FFFFFFFF"/>
      <name val="Arial"/>
    </font>
    <font/>
    <font>
      <b/>
      <sz val="11.0"/>
      <color rgb="FFFFFFFF"/>
      <name val="Calibri"/>
    </font>
    <font>
      <b/>
      <sz val="12.0"/>
      <color rgb="FF000000"/>
      <name val="Calibri"/>
    </font>
    <font>
      <sz val="11.0"/>
      <color rgb="FF3D3D3A"/>
      <name val="AnthropicSans"/>
    </font>
    <font>
      <b/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i/>
      <sz val="12.0"/>
      <color theme="1"/>
      <name val="Calibri"/>
    </font>
    <font>
      <color theme="1"/>
      <name val="Calibri"/>
    </font>
    <font>
      <sz val="12.0"/>
      <color theme="1"/>
      <name val="Arial"/>
    </font>
    <font>
      <u/>
      <sz val="14.0"/>
      <color rgb="FF0000FF"/>
    </font>
    <font>
      <sz val="11.0"/>
      <color theme="1"/>
      <name val="Calibri"/>
    </font>
    <font>
      <b/>
      <u/>
      <sz val="12.0"/>
      <color theme="1"/>
      <name val="Calibri"/>
    </font>
    <font>
      <sz val="17.0"/>
      <color rgb="FFFF0000"/>
      <name val="Calibri"/>
    </font>
    <font>
      <sz val="12.0"/>
      <color theme="1"/>
      <name val="Calibri"/>
      <scheme val="minor"/>
    </font>
    <font>
      <u/>
      <sz val="14.0"/>
      <color rgb="FF0000FF"/>
    </font>
    <font>
      <sz val="11.0"/>
      <color theme="1"/>
      <name val="Arial"/>
    </font>
    <font>
      <sz val="12.0"/>
      <color theme="1"/>
      <name val="AnthropicSans"/>
    </font>
    <font>
      <sz val="11.0"/>
      <color rgb="FF000000"/>
      <name val="Calibri"/>
    </font>
    <font>
      <sz val="12.0"/>
      <color rgb="FF000000"/>
      <name val="Calibri"/>
    </font>
    <font>
      <sz val="12.0"/>
      <color rgb="FF3D3D3A"/>
      <name val="AnthropicSans"/>
    </font>
    <font>
      <u/>
      <sz val="14.0"/>
      <color rgb="FF0000FF"/>
      <name val="Calibri"/>
    </font>
    <font>
      <color rgb="FF434343"/>
      <name val="Roboto"/>
    </font>
    <font>
      <b/>
      <sz val="12.0"/>
      <color rgb="FFFF0000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284E3F"/>
        <bgColor rgb="FF284E3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3DF74"/>
        <bgColor rgb="FFF3DF74"/>
      </patternFill>
    </fill>
    <fill>
      <patternFill patternType="solid">
        <fgColor rgb="FFD7D6DE"/>
        <bgColor rgb="FFD7D6DE"/>
      </patternFill>
    </fill>
    <fill>
      <patternFill patternType="solid">
        <fgColor rgb="FFB48870"/>
        <bgColor rgb="FFB4887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BF9000"/>
        <bgColor rgb="FFBF9000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0066A4"/>
        <bgColor rgb="FF0066A4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/>
      <bottom/>
    </border>
    <border>
      <right style="thin">
        <color rgb="FF1F1E1D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/>
    </xf>
    <xf borderId="0" fillId="2" fontId="2" numFmtId="0" xfId="0" applyFont="1"/>
    <xf borderId="0" fillId="2" fontId="3" numFmtId="0" xfId="0" applyFont="1"/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3" fillId="0" fontId="5" numFmtId="0" xfId="0" applyBorder="1" applyFont="1"/>
    <xf borderId="0" fillId="2" fontId="6" numFmtId="0" xfId="0" applyAlignment="1" applyFont="1">
      <alignment horizontal="center" vertical="center"/>
    </xf>
    <xf borderId="4" fillId="4" fontId="7" numFmtId="0" xfId="0" applyAlignment="1" applyBorder="1" applyFill="1" applyFont="1">
      <alignment horizontal="center" vertical="center"/>
    </xf>
    <xf borderId="5" fillId="4" fontId="7" numFmtId="0" xfId="0" applyAlignment="1" applyBorder="1" applyFont="1">
      <alignment horizontal="center" vertical="center"/>
    </xf>
    <xf borderId="6" fillId="4" fontId="7" numFmtId="0" xfId="0" applyAlignment="1" applyBorder="1" applyFont="1">
      <alignment horizontal="center" readingOrder="0" vertical="center"/>
    </xf>
    <xf borderId="7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8" fillId="5" fontId="8" numFmtId="0" xfId="0" applyBorder="1" applyFill="1" applyFont="1"/>
    <xf borderId="0" fillId="5" fontId="8" numFmtId="0" xfId="0" applyFont="1"/>
    <xf borderId="9" fillId="6" fontId="9" numFmtId="0" xfId="0" applyAlignment="1" applyBorder="1" applyFill="1" applyFont="1">
      <alignment horizontal="center" vertical="bottom"/>
    </xf>
    <xf borderId="9" fillId="7" fontId="9" numFmtId="0" xfId="0" applyAlignment="1" applyBorder="1" applyFill="1" applyFont="1">
      <alignment horizontal="center" vertical="bottom"/>
    </xf>
    <xf borderId="9" fillId="8" fontId="9" numFmtId="0" xfId="0" applyAlignment="1" applyBorder="1" applyFill="1" applyFont="1">
      <alignment horizontal="center" vertical="bottom"/>
    </xf>
    <xf borderId="9" fillId="9" fontId="9" numFmtId="0" xfId="0" applyAlignment="1" applyBorder="1" applyFill="1" applyFont="1">
      <alignment horizontal="center" vertical="bottom"/>
    </xf>
    <xf borderId="0" fillId="10" fontId="10" numFmtId="0" xfId="0" applyAlignment="1" applyFill="1" applyFont="1">
      <alignment horizontal="center"/>
    </xf>
    <xf borderId="0" fillId="10" fontId="10" numFmtId="0" xfId="0" applyFont="1"/>
    <xf borderId="0" fillId="10" fontId="11" numFmtId="0" xfId="0" applyAlignment="1" applyFont="1">
      <alignment horizontal="center"/>
    </xf>
    <xf borderId="10" fillId="10" fontId="12" numFmtId="0" xfId="0" applyAlignment="1" applyBorder="1" applyFont="1">
      <alignment horizontal="center"/>
    </xf>
    <xf borderId="0" fillId="10" fontId="13" numFmtId="0" xfId="0" applyFont="1"/>
    <xf borderId="0" fillId="0" fontId="13" numFmtId="0" xfId="0" applyFont="1"/>
    <xf borderId="9" fillId="11" fontId="14" numFmtId="0" xfId="0" applyAlignment="1" applyBorder="1" applyFill="1" applyFont="1">
      <alignment horizontal="center" vertical="bottom"/>
    </xf>
    <xf borderId="0" fillId="12" fontId="3" numFmtId="0" xfId="0" applyFill="1" applyFont="1"/>
    <xf borderId="0" fillId="13" fontId="15" numFmtId="0" xfId="0" applyAlignment="1" applyFill="1" applyFont="1">
      <alignment readingOrder="0"/>
    </xf>
    <xf borderId="0" fillId="2" fontId="13" numFmtId="0" xfId="0" applyFont="1"/>
    <xf borderId="11" fillId="10" fontId="12" numFmtId="0" xfId="0" applyAlignment="1" applyBorder="1" applyFont="1">
      <alignment horizontal="center"/>
    </xf>
    <xf borderId="0" fillId="2" fontId="10" numFmtId="0" xfId="0" applyFont="1"/>
    <xf borderId="0" fillId="2" fontId="10" numFmtId="0" xfId="0" applyAlignment="1" applyFont="1">
      <alignment horizontal="center"/>
    </xf>
    <xf borderId="0" fillId="2" fontId="2" numFmtId="0" xfId="0" applyAlignment="1" applyFont="1">
      <alignment readingOrder="0"/>
    </xf>
    <xf borderId="0" fillId="2" fontId="6" numFmtId="0" xfId="0" applyFont="1"/>
    <xf borderId="4" fillId="2" fontId="6" numFmtId="0" xfId="0" applyBorder="1" applyFont="1"/>
    <xf borderId="0" fillId="14" fontId="16" numFmtId="0" xfId="0" applyAlignment="1" applyFill="1" applyFont="1">
      <alignment horizontal="center" vertical="bottom"/>
    </xf>
    <xf borderId="1" fillId="15" fontId="4" numFmtId="0" xfId="0" applyAlignment="1" applyBorder="1" applyFill="1" applyFont="1">
      <alignment horizontal="center" vertical="bottom"/>
    </xf>
    <xf borderId="2" fillId="14" fontId="5" numFmtId="0" xfId="0" applyBorder="1" applyFont="1"/>
    <xf borderId="3" fillId="14" fontId="5" numFmtId="0" xfId="0" applyBorder="1" applyFont="1"/>
    <xf borderId="0" fillId="16" fontId="17" numFmtId="0" xfId="0" applyAlignment="1" applyFill="1" applyFont="1">
      <alignment horizontal="center"/>
    </xf>
    <xf borderId="0" fillId="15" fontId="18" numFmtId="0" xfId="0" applyAlignment="1" applyFont="1">
      <alignment horizontal="center" readingOrder="0"/>
    </xf>
    <xf borderId="0" fillId="17" fontId="19" numFmtId="0" xfId="0" applyFill="1" applyFont="1"/>
    <xf borderId="9" fillId="18" fontId="9" numFmtId="0" xfId="0" applyAlignment="1" applyBorder="1" applyFill="1" applyFont="1">
      <alignment horizontal="center" vertical="bottom"/>
    </xf>
    <xf borderId="9" fillId="19" fontId="9" numFmtId="0" xfId="0" applyAlignment="1" applyBorder="1" applyFill="1" applyFont="1">
      <alignment horizontal="center" vertical="bottom"/>
    </xf>
    <xf borderId="9" fillId="20" fontId="9" numFmtId="0" xfId="0" applyAlignment="1" applyBorder="1" applyFill="1" applyFont="1">
      <alignment horizontal="center" vertical="bottom"/>
    </xf>
    <xf borderId="9" fillId="21" fontId="9" numFmtId="0" xfId="0" applyAlignment="1" applyBorder="1" applyFill="1" applyFont="1">
      <alignment horizontal="center" vertical="bottom"/>
    </xf>
    <xf borderId="0" fillId="22" fontId="10" numFmtId="0" xfId="0" applyAlignment="1" applyFill="1" applyFont="1">
      <alignment horizontal="center" shrinkToFit="0" vertical="center" wrapText="0"/>
    </xf>
    <xf borderId="9" fillId="19" fontId="14" numFmtId="0" xfId="0" applyAlignment="1" applyBorder="1" applyFont="1">
      <alignment horizontal="center" vertical="bottom"/>
    </xf>
    <xf borderId="9" fillId="20" fontId="14" numFmtId="0" xfId="0" applyAlignment="1" applyBorder="1" applyFont="1">
      <alignment horizontal="center" vertical="bottom"/>
    </xf>
    <xf borderId="9" fillId="21" fontId="14" numFmtId="0" xfId="0" applyAlignment="1" applyBorder="1" applyFont="1">
      <alignment horizontal="center" vertical="bottom"/>
    </xf>
    <xf borderId="0" fillId="11" fontId="10" numFmtId="0" xfId="0" applyAlignment="1" applyFont="1">
      <alignment horizontal="center" shrinkToFit="0" vertical="center" wrapText="0"/>
    </xf>
    <xf borderId="0" fillId="2" fontId="19" numFmtId="0" xfId="0" applyAlignment="1" applyFont="1">
      <alignment horizontal="center"/>
    </xf>
    <xf borderId="0" fillId="23" fontId="10" numFmtId="0" xfId="0" applyAlignment="1" applyFill="1" applyFont="1">
      <alignment horizontal="center" shrinkToFit="0" vertical="center" wrapText="0"/>
    </xf>
    <xf borderId="0" fillId="23" fontId="11" numFmtId="0" xfId="0" applyAlignment="1" applyFont="1">
      <alignment horizontal="center" shrinkToFit="0" vertical="center" wrapText="0"/>
    </xf>
    <xf borderId="0" fillId="2" fontId="19" numFmtId="0" xfId="0" applyFont="1"/>
    <xf borderId="0" fillId="17" fontId="20" numFmtId="0" xfId="0" applyAlignment="1" applyFont="1">
      <alignment readingOrder="0"/>
    </xf>
    <xf borderId="0" fillId="2" fontId="21" numFmtId="0" xfId="0" applyAlignment="1" applyFont="1">
      <alignment horizontal="left" shrinkToFit="0" vertical="center" wrapText="0"/>
    </xf>
    <xf borderId="0" fillId="24" fontId="14" numFmtId="0" xfId="0" applyAlignment="1" applyFill="1" applyFont="1">
      <alignment horizontal="left" shrinkToFit="0" vertical="center" wrapText="0"/>
    </xf>
    <xf borderId="0" fillId="24" fontId="22" numFmtId="0" xfId="0" applyAlignment="1" applyFont="1">
      <alignment horizontal="left" shrinkToFit="0" vertical="center" wrapText="0"/>
    </xf>
    <xf borderId="0" fillId="24" fontId="22" numFmtId="0" xfId="0" applyAlignment="1" applyFont="1">
      <alignment horizontal="center" shrinkToFit="0" vertical="center" wrapText="0"/>
    </xf>
    <xf borderId="0" fillId="0" fontId="22" numFmtId="0" xfId="0" applyAlignment="1" applyFont="1">
      <alignment horizontal="center" shrinkToFit="0" vertical="center" wrapText="0"/>
    </xf>
    <xf borderId="0" fillId="19" fontId="22" numFmtId="0" xfId="0" applyAlignment="1" applyFont="1">
      <alignment horizontal="center" shrinkToFit="0" vertical="center" wrapText="0"/>
    </xf>
    <xf borderId="0" fillId="20" fontId="22" numFmtId="0" xfId="0" applyAlignment="1" applyFont="1">
      <alignment horizontal="center" shrinkToFit="0" vertical="center" wrapText="0"/>
    </xf>
    <xf borderId="0" fillId="21" fontId="22" numFmtId="0" xfId="0" applyAlignment="1" applyFont="1">
      <alignment horizontal="center" shrinkToFit="0" vertical="center" wrapText="0"/>
    </xf>
    <xf borderId="0" fillId="24" fontId="10" numFmtId="0" xfId="0" applyAlignment="1" applyFont="1">
      <alignment horizontal="center" shrinkToFit="0" vertical="center" wrapText="0"/>
    </xf>
    <xf borderId="0" fillId="2" fontId="13" numFmtId="0" xfId="0" applyAlignment="1" applyFont="1">
      <alignment horizontal="left"/>
    </xf>
    <xf borderId="8" fillId="2" fontId="8" numFmtId="0" xfId="0" applyAlignment="1" applyBorder="1" applyFont="1">
      <alignment horizontal="left"/>
    </xf>
    <xf borderId="0" fillId="2" fontId="23" numFmtId="0" xfId="0" applyAlignment="1" applyFont="1">
      <alignment shrinkToFit="0" vertical="bottom" wrapText="0"/>
    </xf>
    <xf borderId="0" fillId="10" fontId="24" numFmtId="0" xfId="0" applyAlignment="1" applyFont="1">
      <alignment shrinkToFit="0" vertical="bottom" wrapText="0"/>
    </xf>
    <xf borderId="0" fillId="10" fontId="24" numFmtId="0" xfId="0" applyAlignment="1" applyFont="1">
      <alignment horizontal="center" shrinkToFit="0" vertical="bottom" wrapText="0"/>
    </xf>
    <xf borderId="0" fillId="10" fontId="25" numFmtId="0" xfId="0" applyAlignment="1" applyFont="1">
      <alignment horizontal="center" shrinkToFit="0" vertical="center" wrapText="0"/>
    </xf>
    <xf borderId="0" fillId="10" fontId="10" numFmtId="0" xfId="0" applyAlignment="1" applyFont="1">
      <alignment horizontal="center" shrinkToFit="0" vertical="center" wrapText="0"/>
    </xf>
    <xf borderId="0" fillId="2" fontId="23" numFmtId="0" xfId="0" applyAlignment="1" applyFont="1">
      <alignment horizontal="right" shrinkToFit="0" vertical="bottom" wrapText="0"/>
    </xf>
    <xf borderId="0" fillId="0" fontId="26" numFmtId="0" xfId="0" applyAlignment="1" applyFont="1">
      <alignment horizontal="left" readingOrder="0"/>
    </xf>
    <xf borderId="0" fillId="2" fontId="8" numFmtId="0" xfId="0" applyAlignment="1" applyFont="1">
      <alignment horizontal="left"/>
    </xf>
    <xf borderId="0" fillId="2" fontId="8" numFmtId="0" xfId="0" applyAlignment="1" applyFont="1">
      <alignment horizontal="center"/>
    </xf>
    <xf borderId="0" fillId="2" fontId="13" numFmtId="0" xfId="0" applyAlignment="1" applyFont="1">
      <alignment horizontal="center"/>
    </xf>
    <xf borderId="0" fillId="10" fontId="2" numFmtId="0" xfId="0" applyFont="1"/>
    <xf borderId="4" fillId="25" fontId="6" numFmtId="0" xfId="0" applyBorder="1" applyFill="1" applyFont="1"/>
    <xf borderId="4" fillId="26" fontId="6" numFmtId="0" xfId="0" applyBorder="1" applyFill="1" applyFont="1"/>
    <xf borderId="12" fillId="5" fontId="27" numFmtId="164" xfId="0" applyAlignment="1" applyBorder="1" applyFont="1" applyNumberFormat="1">
      <alignment horizontal="right" shrinkToFit="0" wrapText="0"/>
    </xf>
    <xf borderId="13" fillId="5" fontId="27" numFmtId="0" xfId="0" applyAlignment="1" applyBorder="1" applyFont="1">
      <alignment shrinkToFit="0" wrapText="0"/>
    </xf>
    <xf borderId="14" fillId="5" fontId="27" numFmtId="0" xfId="0" applyAlignment="1" applyBorder="1" applyFont="1">
      <alignment horizontal="right" shrinkToFit="0" wrapText="0"/>
    </xf>
    <xf borderId="0" fillId="0" fontId="13" numFmtId="0" xfId="0" applyFont="1"/>
    <xf borderId="15" fillId="27" fontId="27" numFmtId="164" xfId="0" applyAlignment="1" applyBorder="1" applyFill="1" applyFont="1" applyNumberFormat="1">
      <alignment horizontal="right" shrinkToFit="0" wrapText="0"/>
    </xf>
    <xf borderId="16" fillId="27" fontId="27" numFmtId="0" xfId="0" applyAlignment="1" applyBorder="1" applyFont="1">
      <alignment shrinkToFit="0" wrapText="0"/>
    </xf>
    <xf borderId="17" fillId="27" fontId="27" numFmtId="0" xfId="0" applyAlignment="1" applyBorder="1" applyFont="1">
      <alignment horizontal="right" shrinkToFit="0" wrapText="0"/>
    </xf>
    <xf borderId="18" fillId="5" fontId="27" numFmtId="164" xfId="0" applyAlignment="1" applyBorder="1" applyFont="1" applyNumberFormat="1">
      <alignment horizontal="right" shrinkToFit="0" wrapText="0"/>
    </xf>
    <xf borderId="19" fillId="5" fontId="27" numFmtId="0" xfId="0" applyAlignment="1" applyBorder="1" applyFont="1">
      <alignment shrinkToFit="0" wrapText="0"/>
    </xf>
    <xf borderId="20" fillId="5" fontId="27" numFmtId="0" xfId="0" applyAlignment="1" applyBorder="1" applyFont="1">
      <alignment horizontal="right" shrinkToFit="0" wrapText="0"/>
    </xf>
    <xf borderId="0" fillId="0" fontId="28" numFmtId="0" xfId="0" applyFont="1"/>
    <xf borderId="4" fillId="25" fontId="6" numFmtId="0" xfId="0" applyBorder="1" applyFont="1"/>
    <xf borderId="0" fillId="0" fontId="2" numFmtId="0" xfId="0" applyFont="1"/>
  </cellXfs>
  <cellStyles count="1">
    <cellStyle xfId="0" name="Normal" builtinId="0"/>
  </cellStyles>
  <dxfs count="12"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0C0C0"/>
          <bgColor rgb="FFC0C0C0"/>
        </patternFill>
      </fill>
      <border/>
    </dxf>
    <dxf>
      <font/>
      <fill>
        <patternFill patternType="solid">
          <fgColor rgb="FFCD7F32"/>
          <bgColor rgb="FFCD7F3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D4EDDA"/>
          <bgColor rgb="FFD4EDDA"/>
        </patternFill>
      </fill>
      <border/>
    </dxf>
  </dxfs>
  <tableStyles count="3">
    <tableStyle count="3" pivot="0" name="Team Scores-style">
      <tableStyleElement dxfId="4" type="headerRow"/>
      <tableStyleElement dxfId="5" type="firstRowStripe"/>
      <tableStyleElement dxfId="6" type="secondRowStripe"/>
    </tableStyle>
    <tableStyle count="3" pivot="0" name="Live Medal Table-style">
      <tableStyleElement dxfId="4" type="headerRow"/>
      <tableStyleElement dxfId="5" type="firstRowStripe"/>
      <tableStyleElement dxfId="6" type="secondRowStripe"/>
    </tableStyle>
    <tableStyle count="3" pivot="0" name="Entries-style">
      <tableStyleElement dxfId="7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Relationship Id="rId3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11</xdr:row>
      <xdr:rowOff>171450</xdr:rowOff>
    </xdr:from>
    <xdr:ext cx="3724275" cy="20859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-28575</xdr:rowOff>
    </xdr:from>
    <xdr:ext cx="2543175" cy="143827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2028825</xdr:colOff>
      <xdr:row>26</xdr:row>
      <xdr:rowOff>95250</xdr:rowOff>
    </xdr:from>
    <xdr:ext cx="4981575" cy="100965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142875</xdr:colOff>
      <xdr:row>11</xdr:row>
      <xdr:rowOff>276225</xdr:rowOff>
    </xdr:from>
    <xdr:ext cx="2676525" cy="298132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542925</xdr:colOff>
      <xdr:row>5</xdr:row>
      <xdr:rowOff>276225</xdr:rowOff>
    </xdr:from>
    <xdr:ext cx="3790950" cy="17145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629275" cy="27241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</xdr:row>
      <xdr:rowOff>57150</xdr:rowOff>
    </xdr:from>
    <xdr:ext cx="7038975" cy="30480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0</xdr:row>
      <xdr:rowOff>0</xdr:rowOff>
    </xdr:from>
    <xdr:ext cx="5457825" cy="681990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E3:AG12" displayName="Table_1" name="Table_1" id="1">
  <tableColumns count="3">
    <tableColumn name="Column1" id="1"/>
    <tableColumn name="Column2" id="2"/>
    <tableColumn name="Column3" id="3"/>
  </tableColumns>
  <tableStyleInfo name="Team Scor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L94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Live Medal Tab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S47" displayName="Table_3" name="Table_3" id="3">
  <tableColumns count="19">
    <tableColumn name="Timestamp" id="1"/>
    <tableColumn name="Email" id="2"/>
    <tableColumn name="FirstName" id="3"/>
    <tableColumn name="LastName" id="4"/>
    <tableColumn name="DisplayName" id="5"/>
    <tableColumn name="Tier1_Pick1" id="6"/>
    <tableColumn name="Tier2_Raw" id="7"/>
    <tableColumn name="Tier3_Pick1" id="8"/>
    <tableColumn name="Tier4_Pick1" id="9"/>
    <tableColumn name="Tier5_Pick1" id="10"/>
    <tableColumn name="Tier6_Raw" id="11"/>
    <tableColumn name="USA_TOTAL" id="12"/>
    <tableColumn name="Tier2_Pick1" id="13"/>
    <tableColumn name="Tier2_Pick2" id="14"/>
    <tableColumn name="Tier6_Pick1" id="15"/>
    <tableColumn name="Tier6_Pick2" id="16"/>
    <tableColumn name="PlayerID" id="17"/>
    <tableColumn name="ValidationStatus" id="18"/>
    <tableColumn name="ValidationDetails" id="19"/>
  </tableColumns>
  <tableStyleInfo name="Ent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57"/>
    <col customWidth="1" min="2" max="2" width="8.71"/>
    <col customWidth="1" min="3" max="3" width="21.57"/>
    <col customWidth="1" min="4" max="4" width="11.43"/>
    <col customWidth="1" min="5" max="5" width="15.57"/>
    <col customWidth="1" hidden="1" min="6" max="6" width="7.14"/>
    <col customWidth="1" hidden="1" min="7" max="7" width="77.14"/>
    <col customWidth="1" min="8" max="8" width="8.71"/>
    <col customWidth="1" hidden="1" min="9" max="9" width="13.86"/>
    <col customWidth="1" hidden="1" min="10" max="10" width="8.14"/>
    <col customWidth="1" hidden="1" min="11" max="11" width="12.71"/>
    <col customWidth="1" hidden="1" min="12" max="12" width="5.43"/>
    <col customWidth="1" hidden="1" min="13" max="13" width="12.14"/>
    <col customWidth="1" hidden="1" min="14" max="14" width="11.29"/>
    <col customWidth="1" min="15" max="15" width="16.14"/>
    <col customWidth="1" min="16" max="16" width="6.29"/>
    <col customWidth="1" min="17" max="17" width="7.43"/>
    <col customWidth="1" min="18" max="19" width="8.86"/>
  </cols>
  <sheetData>
    <row r="1">
      <c r="A1" s="1"/>
      <c r="B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3"/>
      <c r="B2" s="3"/>
      <c r="C2" s="3"/>
      <c r="D2" s="4"/>
      <c r="E2" s="3"/>
      <c r="F2" s="4"/>
      <c r="G2" s="3"/>
      <c r="H2" s="3"/>
      <c r="O2" s="5" t="s">
        <v>1</v>
      </c>
      <c r="P2" s="6"/>
      <c r="Q2" s="6"/>
      <c r="R2" s="7"/>
      <c r="S2" s="3"/>
    </row>
    <row r="3">
      <c r="A3" s="8"/>
      <c r="B3" s="9" t="s">
        <v>2</v>
      </c>
      <c r="C3" s="9" t="s">
        <v>3</v>
      </c>
      <c r="D3" s="10" t="s">
        <v>4</v>
      </c>
      <c r="E3" s="11" t="s">
        <v>5</v>
      </c>
      <c r="F3" s="12" t="s">
        <v>6</v>
      </c>
      <c r="G3" s="13" t="s">
        <v>7</v>
      </c>
      <c r="H3" s="3"/>
      <c r="I3" s="14" t="s">
        <v>8</v>
      </c>
      <c r="J3" s="14" t="s">
        <v>9</v>
      </c>
      <c r="K3" s="14" t="s">
        <v>10</v>
      </c>
      <c r="L3" s="14" t="s">
        <v>11</v>
      </c>
      <c r="M3" s="14" t="s">
        <v>12</v>
      </c>
      <c r="N3" s="15" t="s">
        <v>13</v>
      </c>
      <c r="O3" s="16" t="s">
        <v>14</v>
      </c>
      <c r="P3" s="17" t="s">
        <v>15</v>
      </c>
      <c r="Q3" s="18" t="s">
        <v>16</v>
      </c>
      <c r="R3" s="19" t="s">
        <v>17</v>
      </c>
      <c r="S3" s="3"/>
    </row>
    <row r="4">
      <c r="A4" s="3"/>
      <c r="B4" s="20">
        <f>IFERROR(__xludf.DUMMYFUNCTION("ARRAYFORMULA(IF(I4:I33="""","""",{SEQUENCE(COUNTA(FILTER(I4:I33,I4:I33&lt;&gt;""""))),SORT(FILTER(I4:M33,I4:I33&lt;&gt;""""),2,FALSE,4,TRUE)}))"),1.0)</f>
        <v>1</v>
      </c>
      <c r="C4" s="21" t="str">
        <f>IFERROR(__xludf.DUMMYFUNCTION("""COMPUTED_VALUE"""),"LucasF")</f>
        <v>LucasF</v>
      </c>
      <c r="D4" s="22">
        <f>IFERROR(__xludf.DUMMYFUNCTION("""COMPUTED_VALUE"""),762.0)</f>
        <v>762</v>
      </c>
      <c r="E4" s="23">
        <f>IFERROR(__xludf.DUMMYFUNCTION("""COMPUTED_VALUE"""),50.0)</f>
        <v>50</v>
      </c>
      <c r="F4" s="24">
        <f>IFERROR(__xludf.DUMMYFUNCTION("""COMPUTED_VALUE"""),50.0)</f>
        <v>50</v>
      </c>
      <c r="G4" s="24" t="str">
        <f>IFERROR(__xludf.DUMMYFUNCTION("""COMPUTED_VALUE"""),"Germany, Austria, Switzerland, Italy, Finland, Australia, New Zealand, Spain")</f>
        <v>Germany, Austria, Switzerland, Italy, Finland, Australia, New Zealand, Spain</v>
      </c>
      <c r="H4" s="3"/>
      <c r="I4" s="25" t="str">
        <f t="array" ref="I4">IFERROR(INDEX(Entries!$E$2:$E$50,ROW()-3)&amp;"","")</f>
        <v>King Towsk</v>
      </c>
      <c r="J4" s="25">
        <f>IF(I4="","",SUMIF('Team Scores'!$O$2:$O$401,I4,'Team Scores'!$AA$2:$AA$401))</f>
        <v>705</v>
      </c>
      <c r="K4" s="25">
        <f t="array" ref="K4">IF(I4="","",IFERROR(INDEX(Entries!$L$2:$L$50,ROW()-3),0))</f>
        <v>27</v>
      </c>
      <c r="L4" s="25">
        <f t="array" ref="L4">IF(I4="","",ABS(K4-IFERROR(XLOOKUP("United States",'Live Medal Table'!$B$2:$B$94,'Live Medal Table'!$J$2:$J$94,0),0)))</f>
        <v>6</v>
      </c>
      <c r="M4" s="25" t="str">
        <f t="array" ref="M4">IF(I4="","",INDEX(Entries!$F$2:$F$51,ROW()-3)&amp;",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Austria, Netherlands, Italy, Finland, Australia, New Zealand, Ukraine</v>
      </c>
      <c r="N4" s="25">
        <f t="shared" ref="N4:N33" si="1">IF(I4="",999999999,J4*-1000000+L4)</f>
        <v>-704999994</v>
      </c>
      <c r="O4" s="16">
        <v>1.0</v>
      </c>
      <c r="P4" s="26">
        <v>3.0</v>
      </c>
      <c r="Q4" s="26">
        <v>2.0</v>
      </c>
      <c r="R4" s="26">
        <v>1.0</v>
      </c>
      <c r="S4" s="3"/>
    </row>
    <row r="5">
      <c r="A5" s="3"/>
      <c r="B5" s="20">
        <f>IFERROR(__xludf.DUMMYFUNCTION("""COMPUTED_VALUE"""),2.0)</f>
        <v>2</v>
      </c>
      <c r="C5" s="21" t="str">
        <f>IFERROR(__xludf.DUMMYFUNCTION("""COMPUTED_VALUE"""),"Brad’s Cousin’s Cousin")</f>
        <v>Brad’s Cousin’s Cousin</v>
      </c>
      <c r="D5" s="22">
        <f>IFERROR(__xludf.DUMMYFUNCTION("""COMPUTED_VALUE"""),741.0)</f>
        <v>741</v>
      </c>
      <c r="E5" s="23">
        <f>IFERROR(__xludf.DUMMYFUNCTION("""COMPUTED_VALUE"""),25.0)</f>
        <v>25</v>
      </c>
      <c r="F5" s="24">
        <f>IFERROR(__xludf.DUMMYFUNCTION("""COMPUTED_VALUE"""),25.0)</f>
        <v>25</v>
      </c>
      <c r="G5" s="24" t="str">
        <f>IFERROR(__xludf.DUMMYFUNCTION("""COMPUTED_VALUE"""),"Norway, Netherlands, Switzerland, Italy, Finland, Australia, Belgium, New Zealand")</f>
        <v>Norway, Netherlands, Switzerland, Italy, Finland, Australia, Belgium, New Zealand</v>
      </c>
      <c r="H5" s="3"/>
      <c r="I5" s="25" t="str">
        <f t="array" ref="I5">IFERROR(INDEX(Entries!$E$2:$E$50,ROW()-3)&amp;"","")</f>
        <v>Wyatt</v>
      </c>
      <c r="J5" s="25">
        <f>IF(I5="","",SUMIF('Team Scores'!$O$2:$O$401,I5,'Team Scores'!$AA$2:$AA$401))</f>
        <v>497</v>
      </c>
      <c r="K5" s="25">
        <f t="array" ref="K5">IF(I5="","",IFERROR(INDEX(Entries!$L$2:$L$50,ROW()-3),0))</f>
        <v>27</v>
      </c>
      <c r="L5" s="25">
        <f t="array" ref="L5">IF(I5="","",ABS(K5-IFERROR(XLOOKUP("United States",'Live Medal Table'!$B$2:$B$94,'Live Medal Table'!$J$2:$J$94,0),0)))</f>
        <v>6</v>
      </c>
      <c r="M5" s="25" t="str">
        <f t="array" ref="M5">IF(I5="","",INDEX(Entries!$F$2:$F$51,ROW()-3)&amp;",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Canada, Austria, Netherlands, China, Czech Republic, Australia, Croatia, Ukraine</v>
      </c>
      <c r="N5" s="25">
        <f t="shared" si="1"/>
        <v>-496999994</v>
      </c>
      <c r="O5" s="16">
        <v>2.0</v>
      </c>
      <c r="P5" s="26">
        <v>6.0</v>
      </c>
      <c r="Q5" s="26">
        <v>4.0</v>
      </c>
      <c r="R5" s="26">
        <v>2.0</v>
      </c>
      <c r="S5" s="3"/>
    </row>
    <row r="6">
      <c r="A6" s="3"/>
      <c r="B6" s="20">
        <f>IFERROR(__xludf.DUMMYFUNCTION("""COMPUTED_VALUE"""),3.0)</f>
        <v>3</v>
      </c>
      <c r="C6" s="21" t="str">
        <f>IFERROR(__xludf.DUMMYFUNCTION("""COMPUTED_VALUE"""),"King Towsk")</f>
        <v>King Towsk</v>
      </c>
      <c r="D6" s="22">
        <f>IFERROR(__xludf.DUMMYFUNCTION("""COMPUTED_VALUE"""),705.0)</f>
        <v>705</v>
      </c>
      <c r="E6" s="23">
        <f>IFERROR(__xludf.DUMMYFUNCTION("""COMPUTED_VALUE"""),27.0)</f>
        <v>27</v>
      </c>
      <c r="F6" s="24">
        <f>IFERROR(__xludf.DUMMYFUNCTION("""COMPUTED_VALUE"""),6.0)</f>
        <v>6</v>
      </c>
      <c r="G6" s="24" t="str">
        <f>IFERROR(__xludf.DUMMYFUNCTION("""COMPUTED_VALUE"""),"Norway, Austria, Netherlands, Italy, Finland, Australia, New Zealand, Ukraine")</f>
        <v>Norway, Austria, Netherlands, Italy, Finland, Australia, New Zealand, Ukraine</v>
      </c>
      <c r="H6" s="3"/>
      <c r="I6" s="25" t="str">
        <f t="array" ref="I6">IFERROR(INDEX(Entries!$E$2:$E$50,ROW()-3)&amp;"","")</f>
        <v>Jack Jansen</v>
      </c>
      <c r="J6" s="25">
        <f>IF(I6="","",SUMIF('Team Scores'!$O$2:$O$401,I6,'Team Scores'!$AA$2:$AA$401))</f>
        <v>582</v>
      </c>
      <c r="K6" s="25">
        <f t="array" ref="K6">IF(I6="","",IFERROR(INDEX(Entries!$L$2:$L$50,ROW()-3),0))</f>
        <v>52</v>
      </c>
      <c r="L6" s="25">
        <f t="array" ref="L6">IF(I6="","",ABS(K6-IFERROR(XLOOKUP("United States",'Live Medal Table'!$B$2:$B$94,'Live Medal Table'!$J$2:$J$94,0),0)))</f>
        <v>19</v>
      </c>
      <c r="M6" s="25" t="str">
        <f t="array" ref="M6">IF(I6="","",INDEX(Entries!$F$2:$F$51,ROW()-3)&amp;",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Netherlands, Sweden, Japan, Czech Republic, Poland, Belgium, Denmark</v>
      </c>
      <c r="N6" s="25">
        <f t="shared" si="1"/>
        <v>-581999981</v>
      </c>
      <c r="O6" s="16">
        <v>3.0</v>
      </c>
      <c r="P6" s="26">
        <v>9.0</v>
      </c>
      <c r="Q6" s="26">
        <v>6.0</v>
      </c>
      <c r="R6" s="26">
        <v>3.0</v>
      </c>
      <c r="S6" s="3"/>
    </row>
    <row r="7">
      <c r="A7" s="3"/>
      <c r="B7" s="20">
        <f>IFERROR(__xludf.DUMMYFUNCTION("""COMPUTED_VALUE"""),4.0)</f>
        <v>4</v>
      </c>
      <c r="C7" s="21" t="str">
        <f>IFERROR(__xludf.DUMMYFUNCTION("""COMPUTED_VALUE"""),"Reb")</f>
        <v>Reb</v>
      </c>
      <c r="D7" s="22">
        <f>IFERROR(__xludf.DUMMYFUNCTION("""COMPUTED_VALUE"""),680.0)</f>
        <v>680</v>
      </c>
      <c r="E7" s="23">
        <f>IFERROR(__xludf.DUMMYFUNCTION("""COMPUTED_VALUE"""),65.0)</f>
        <v>65</v>
      </c>
      <c r="F7" s="24">
        <f>IFERROR(__xludf.DUMMYFUNCTION("""COMPUTED_VALUE"""),65.0)</f>
        <v>65</v>
      </c>
      <c r="G7" s="24" t="str">
        <f>IFERROR(__xludf.DUMMYFUNCTION("""COMPUTED_VALUE"""),"Germany, Netherlands, Sweden, Italy, Czech Republic, Great Britain, Denmark, Kazakhstan")</f>
        <v>Germany, Netherlands, Sweden, Italy, Czech Republic, Great Britain, Denmark, Kazakhstan</v>
      </c>
      <c r="H7" s="3"/>
      <c r="I7" s="25" t="str">
        <f t="array" ref="I7">IFERROR(INDEX(Entries!$E$2:$E$50,ROW()-3)&amp;"","")</f>
        <v>Charlie </v>
      </c>
      <c r="J7" s="25">
        <f>IF(I7="","",SUMIF('Team Scores'!$O$2:$O$401,I7,'Team Scores'!$AA$2:$AA$401))</f>
        <v>570</v>
      </c>
      <c r="K7" s="25">
        <f t="array" ref="K7">IF(I7="","",IFERROR(INDEX(Entries!$L$2:$L$50,ROW()-3),0))</f>
        <v>29</v>
      </c>
      <c r="L7" s="25">
        <f t="shared" ref="L7:L33" si="2">IF(I7="","",ABS(K7-$F$2))</f>
        <v>29</v>
      </c>
      <c r="M7" s="25" t="str">
        <f t="array" ref="M7">IF(I7="","",INDEX(Entries!$F$2:$F$51,ROW()-3)&amp;",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Austria, Sweden, Japan, Czech Republic, Australia, Chile, Chinese Taipei</v>
      </c>
      <c r="N7" s="25">
        <f t="shared" si="1"/>
        <v>-569999971</v>
      </c>
      <c r="O7" s="16">
        <v>4.0</v>
      </c>
      <c r="P7" s="26">
        <v>18.0</v>
      </c>
      <c r="Q7" s="26">
        <v>12.0</v>
      </c>
      <c r="R7" s="26">
        <v>6.0</v>
      </c>
      <c r="S7" s="3"/>
    </row>
    <row r="8">
      <c r="A8" s="3"/>
      <c r="B8" s="20">
        <f>IFERROR(__xludf.DUMMYFUNCTION("""COMPUTED_VALUE"""),5.0)</f>
        <v>5</v>
      </c>
      <c r="C8" s="21" t="str">
        <f>IFERROR(__xludf.DUMMYFUNCTION("""COMPUTED_VALUE"""),"Murph")</f>
        <v>Murph</v>
      </c>
      <c r="D8" s="22">
        <f>IFERROR(__xludf.DUMMYFUNCTION("""COMPUTED_VALUE"""),676.0)</f>
        <v>676</v>
      </c>
      <c r="E8" s="23">
        <f>IFERROR(__xludf.DUMMYFUNCTION("""COMPUTED_VALUE"""),25.0)</f>
        <v>25</v>
      </c>
      <c r="F8" s="24">
        <f>IFERROR(__xludf.DUMMYFUNCTION("""COMPUTED_VALUE"""),25.0)</f>
        <v>25</v>
      </c>
      <c r="G8" s="24" t="str">
        <f>IFERROR(__xludf.DUMMYFUNCTION("""COMPUTED_VALUE"""),"Norway, Netherlands, Switzerland, Japan, Finland, Great Britain, Belgium, Spain")</f>
        <v>Norway, Netherlands, Switzerland, Japan, Finland, Great Britain, Belgium, Spain</v>
      </c>
      <c r="H8" s="3"/>
      <c r="I8" s="25" t="str">
        <f t="array" ref="I8">IFERROR(INDEX(Entries!$E$2:$E$50,ROW()-3)&amp;"","")</f>
        <v>Murph</v>
      </c>
      <c r="J8" s="25">
        <f>IF(I8="","",SUMIF('Team Scores'!$O$2:$O$401,I8,'Team Scores'!$AA$2:$AA$401))</f>
        <v>676</v>
      </c>
      <c r="K8" s="25">
        <f t="array" ref="K8">IF(I8="","",IFERROR(INDEX(Entries!$L$2:$L$50,ROW()-3),0))</f>
        <v>25</v>
      </c>
      <c r="L8" s="25">
        <f t="shared" si="2"/>
        <v>25</v>
      </c>
      <c r="M8" s="25" t="str">
        <f t="array" ref="M8">IF(I8="","",INDEX(Entries!$F$2:$F$51,ROW()-3)&amp;",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Netherlands, Switzerland, Japan, Finland, Great Britain, Belgium, Spain</v>
      </c>
      <c r="N8" s="25">
        <f t="shared" si="1"/>
        <v>-675999975</v>
      </c>
      <c r="O8" s="16">
        <v>5.0</v>
      </c>
      <c r="P8" s="26">
        <v>30.0</v>
      </c>
      <c r="Q8" s="26">
        <v>20.0</v>
      </c>
      <c r="R8" s="26">
        <v>10.0</v>
      </c>
      <c r="S8" s="3"/>
    </row>
    <row r="9">
      <c r="A9" s="3"/>
      <c r="B9" s="20">
        <f>IFERROR(__xludf.DUMMYFUNCTION("""COMPUTED_VALUE"""),6.0)</f>
        <v>6</v>
      </c>
      <c r="C9" s="21" t="str">
        <f>IFERROR(__xludf.DUMMYFUNCTION("""COMPUTED_VALUE"""),"Bryan Jakobsze🇵🇱")</f>
        <v>Bryan Jakobsze🇵🇱</v>
      </c>
      <c r="D9" s="22">
        <f>IFERROR(__xludf.DUMMYFUNCTION("""COMPUTED_VALUE"""),669.0)</f>
        <v>669</v>
      </c>
      <c r="E9" s="23">
        <f>IFERROR(__xludf.DUMMYFUNCTION("""COMPUTED_VALUE"""),29.0)</f>
        <v>29</v>
      </c>
      <c r="F9" s="24">
        <f>IFERROR(__xludf.DUMMYFUNCTION("""COMPUTED_VALUE"""),29.0)</f>
        <v>29</v>
      </c>
      <c r="G9" s="24" t="str">
        <f>IFERROR(__xludf.DUMMYFUNCTION("""COMPUTED_VALUE"""),"Norway, France, Netherlands, Italy, Finland, Great Britain, Kazakhstan, Ukraine")</f>
        <v>Norway, France, Netherlands, Italy, Finland, Great Britain, Kazakhstan, Ukraine</v>
      </c>
      <c r="H9" s="3"/>
      <c r="I9" s="25" t="str">
        <f t="array" ref="I9">IFERROR(INDEX(Entries!$E$2:$E$50,ROW()-3)&amp;"","")</f>
        <v>Josh’s Dawgs</v>
      </c>
      <c r="J9" s="25">
        <f>IF(I9="","",SUMIF('Team Scores'!$O$2:$O$401,I9,'Team Scores'!$AA$2:$AA$401))</f>
        <v>464</v>
      </c>
      <c r="K9" s="25">
        <f t="array" ref="K9">IF(I9="","",IFERROR(INDEX(Entries!$L$2:$L$50,ROW()-3),0))</f>
        <v>200</v>
      </c>
      <c r="L9" s="25">
        <f t="shared" si="2"/>
        <v>200</v>
      </c>
      <c r="M9" s="25" t="str">
        <f t="array" ref="M9">IF(I9="","",INDEX(Entries!$F$2:$F$51,ROW()-3)&amp;",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United States, France, Sweden, China, Finland, Poland, Belgium, Ukraine</v>
      </c>
      <c r="N9" s="25">
        <f t="shared" si="1"/>
        <v>-463999800</v>
      </c>
      <c r="O9" s="16">
        <v>6.0</v>
      </c>
      <c r="P9" s="26">
        <v>60.0</v>
      </c>
      <c r="Q9" s="26">
        <v>40.0</v>
      </c>
      <c r="R9" s="26">
        <v>20.0</v>
      </c>
      <c r="S9" s="3"/>
    </row>
    <row r="10">
      <c r="A10" s="3"/>
      <c r="B10" s="20">
        <f>IFERROR(__xludf.DUMMYFUNCTION("""COMPUTED_VALUE"""),7.0)</f>
        <v>7</v>
      </c>
      <c r="C10" s="21" t="str">
        <f>IFERROR(__xludf.DUMMYFUNCTION("""COMPUTED_VALUE"""),"SMAC")</f>
        <v>SMAC</v>
      </c>
      <c r="D10" s="22">
        <f>IFERROR(__xludf.DUMMYFUNCTION("""COMPUTED_VALUE"""),651.0)</f>
        <v>651</v>
      </c>
      <c r="E10" s="23">
        <f>IFERROR(__xludf.DUMMYFUNCTION("""COMPUTED_VALUE"""),27.0)</f>
        <v>27</v>
      </c>
      <c r="F10" s="24">
        <f>IFERROR(__xludf.DUMMYFUNCTION("""COMPUTED_VALUE"""),27.0)</f>
        <v>27</v>
      </c>
      <c r="G10" s="24" t="str">
        <f>IFERROR(__xludf.DUMMYFUNCTION("""COMPUTED_VALUE"""),"Norway, Netherlands, Switzerland, Italy, Finland, Poland, Spain, Ukraine")</f>
        <v>Norway, Netherlands, Switzerland, Italy, Finland, Poland, Spain, Ukraine</v>
      </c>
      <c r="H10" s="3"/>
      <c r="I10" s="25" t="str">
        <f t="array" ref="I10">IFERROR(INDEX(Entries!$E$2:$E$50,ROW()-3)&amp;"","")</f>
        <v>bgreen</v>
      </c>
      <c r="J10" s="25">
        <f>IF(I10="","",SUMIF('Team Scores'!$O$2:$O$401,I10,'Team Scores'!$AA$2:$AA$401))</f>
        <v>611</v>
      </c>
      <c r="K10" s="25">
        <f t="array" ref="K10">IF(I10="","",IFERROR(INDEX(Entries!$L$2:$L$50,ROW()-3),0))</f>
        <v>29</v>
      </c>
      <c r="L10" s="25">
        <f t="shared" si="2"/>
        <v>29</v>
      </c>
      <c r="M10" s="25" t="str">
        <f t="array" ref="M10">IF(I10="","",INDEX(Entries!$F$2:$F$51,ROW()-3)&amp;",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Austria, Sweden, Italy, Finland, Great Britain, Estonia, Ukraine</v>
      </c>
      <c r="N10" s="25">
        <f t="shared" si="1"/>
        <v>-610999971</v>
      </c>
      <c r="O10" s="3"/>
      <c r="P10" s="3"/>
      <c r="Q10" s="3"/>
      <c r="R10" s="3"/>
      <c r="S10" s="3"/>
    </row>
    <row r="11">
      <c r="A11" s="3"/>
      <c r="B11" s="20">
        <f>IFERROR(__xludf.DUMMYFUNCTION("""COMPUTED_VALUE"""),8.0)</f>
        <v>8</v>
      </c>
      <c r="C11" s="21" t="str">
        <f>IFERROR(__xludf.DUMMYFUNCTION("""COMPUTED_VALUE"""),"Mark Mattson")</f>
        <v>Mark Mattson</v>
      </c>
      <c r="D11" s="22">
        <f>IFERROR(__xludf.DUMMYFUNCTION("""COMPUTED_VALUE"""),647.0)</f>
        <v>647</v>
      </c>
      <c r="E11" s="23">
        <f>IFERROR(__xludf.DUMMYFUNCTION("""COMPUTED_VALUE"""),27.0)</f>
        <v>27</v>
      </c>
      <c r="F11" s="24">
        <f>IFERROR(__xludf.DUMMYFUNCTION("""COMPUTED_VALUE"""),27.0)</f>
        <v>27</v>
      </c>
      <c r="G11" s="24" t="str">
        <f>IFERROR(__xludf.DUMMYFUNCTION("""COMPUTED_VALUE"""),"United States, Netherlands, Sweden, Italy, Czech Republic, Poland, Ireland, Spain")</f>
        <v>United States, Netherlands, Sweden, Italy, Czech Republic, Poland, Ireland, Spain</v>
      </c>
      <c r="H11" s="3"/>
      <c r="I11" s="25" t="str">
        <f t="array" ref="I11">IFERROR(INDEX(Entries!$E$2:$E$50,ROW()-3)&amp;"","")</f>
        <v>kborst13</v>
      </c>
      <c r="J11" s="25">
        <f>IF(I11="","",SUMIF('Team Scores'!$O$2:$O$401,I11,'Team Scores'!$AA$2:$AA$401))</f>
        <v>564</v>
      </c>
      <c r="K11" s="25">
        <f t="array" ref="K11">IF(I11="","",IFERROR(INDEX(Entries!$L$2:$L$50,ROW()-3),0))</f>
        <v>47</v>
      </c>
      <c r="L11" s="25">
        <f t="shared" si="2"/>
        <v>47</v>
      </c>
      <c r="M11" s="25" t="str">
        <f t="array" ref="M11">IF(I11="","",INDEX(Entries!$F$2:$F$51,ROW()-3)&amp;",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Austria, Netherlands, China, Finland, Great Britain, Belgium, Estonia</v>
      </c>
      <c r="N11" s="25">
        <f t="shared" si="1"/>
        <v>-563999953</v>
      </c>
      <c r="O11" s="27" t="str">
        <f t="array" ref="O11">"USA Total Medal Count = "&amp;IFERROR(XLOOKUP("United States",'Live Medal Table'!$B$2:$B$94,'Live Medal Table'!$J$2:$J$94,0),0)</f>
        <v>USA Total Medal Count = 33</v>
      </c>
      <c r="S11" s="27"/>
    </row>
    <row r="12">
      <c r="A12" s="28" t="s">
        <v>18</v>
      </c>
      <c r="B12" s="20">
        <f>IFERROR(__xludf.DUMMYFUNCTION("""COMPUTED_VALUE"""),9.0)</f>
        <v>9</v>
      </c>
      <c r="C12" s="21" t="str">
        <f>IFERROR(__xludf.DUMMYFUNCTION("""COMPUTED_VALUE"""),"A taco93")</f>
        <v>A taco93</v>
      </c>
      <c r="D12" s="22">
        <f>IFERROR(__xludf.DUMMYFUNCTION("""COMPUTED_VALUE"""),646.0)</f>
        <v>646</v>
      </c>
      <c r="E12" s="23">
        <f>IFERROR(__xludf.DUMMYFUNCTION("""COMPUTED_VALUE"""),27.0)</f>
        <v>27</v>
      </c>
      <c r="F12" s="24">
        <f>IFERROR(__xludf.DUMMYFUNCTION("""COMPUTED_VALUE"""),27.0)</f>
        <v>27</v>
      </c>
      <c r="G12" s="24" t="str">
        <f>IFERROR(__xludf.DUMMYFUNCTION("""COMPUTED_VALUE"""),"United States, Sweden, Switzerland, China, Finland, Australia, Estonia, New Zealand")</f>
        <v>United States, Sweden, Switzerland, China, Finland, Australia, Estonia, New Zealand</v>
      </c>
      <c r="H12" s="3"/>
      <c r="I12" s="29" t="str">
        <f t="array" ref="I12">IFERROR(INDEX(Entries!$E$2:$E$50,ROW()-3)&amp;"","")</f>
        <v>SMAC</v>
      </c>
      <c r="J12" s="29">
        <f>IF(I12="","",SUMIF('Team Scores'!$O$2:$O$401,I12,'Team Scores'!$AA$2:$AA$401))</f>
        <v>651</v>
      </c>
      <c r="K12" s="29">
        <f t="array" ref="K12">IF(I12="","",IFERROR(INDEX(Entries!$L$2:$L$50,ROW()-3),0))</f>
        <v>27</v>
      </c>
      <c r="L12" s="29">
        <f t="shared" si="2"/>
        <v>27</v>
      </c>
      <c r="M12" s="29" t="str">
        <f t="array" ref="M12">IF(I12="","",INDEX(Entries!$F$2:$F$51,ROW()-3)&amp;",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Netherlands, Switzerland, Italy, Finland, Poland, Spain, Ukraine</v>
      </c>
      <c r="N12" s="29">
        <f t="shared" si="1"/>
        <v>-650999973</v>
      </c>
      <c r="O12" s="3"/>
      <c r="P12" s="3"/>
      <c r="Q12" s="3"/>
      <c r="R12" s="3"/>
      <c r="S12" s="3"/>
    </row>
    <row r="13">
      <c r="A13" s="3"/>
      <c r="B13" s="20">
        <f>IFERROR(__xludf.DUMMYFUNCTION("""COMPUTED_VALUE"""),10.0)</f>
        <v>10</v>
      </c>
      <c r="C13" s="21" t="str">
        <f>IFERROR(__xludf.DUMMYFUNCTION("""COMPUTED_VALUE"""),"Molly ")</f>
        <v>Molly </v>
      </c>
      <c r="D13" s="22">
        <f>IFERROR(__xludf.DUMMYFUNCTION("""COMPUTED_VALUE"""),645.0)</f>
        <v>645</v>
      </c>
      <c r="E13" s="23">
        <f>IFERROR(__xludf.DUMMYFUNCTION("""COMPUTED_VALUE"""),26.0)</f>
        <v>26</v>
      </c>
      <c r="F13" s="24">
        <f>IFERROR(__xludf.DUMMYFUNCTION("""COMPUTED_VALUE"""),26.0)</f>
        <v>26</v>
      </c>
      <c r="G13" s="24" t="str">
        <f>IFERROR(__xludf.DUMMYFUNCTION("""COMPUTED_VALUE"""),"Norway, Austria, Netherlands, Italy, Finland, Great Britain, Kazakhstan, Ukraine")</f>
        <v>Norway, Austria, Netherlands, Italy, Finland, Great Britain, Kazakhstan, Ukraine</v>
      </c>
      <c r="H13" s="3"/>
      <c r="I13" s="29" t="str">
        <f t="array" ref="I13">IFERROR(INDEX(Entries!$E$2:$E$50,ROW()-3)&amp;"","")</f>
        <v>Pat Doherty</v>
      </c>
      <c r="J13" s="29">
        <f>IF(I13="","",SUMIF('Team Scores'!$O$2:$O$401,I13,'Team Scores'!$AA$2:$AA$401))</f>
        <v>621</v>
      </c>
      <c r="K13" s="29">
        <f t="array" ref="K13">IF(I13="","",IFERROR(INDEX(Entries!$L$2:$L$50,ROW()-3),0))</f>
        <v>52</v>
      </c>
      <c r="L13" s="29">
        <f t="shared" si="2"/>
        <v>52</v>
      </c>
      <c r="M13" s="29" t="str">
        <f t="array" ref="M13">IF(I13="","",INDEX(Entries!$F$2:$F$51,ROW()-3)&amp;",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Netherlands, Switzerland, Italy, Finland, Great Britain, Belgium, Hungary</v>
      </c>
      <c r="N13" s="29">
        <f t="shared" si="1"/>
        <v>-620999948</v>
      </c>
      <c r="O13" s="3"/>
      <c r="P13" s="3"/>
      <c r="Q13" s="3"/>
      <c r="R13" s="3"/>
      <c r="S13" s="3"/>
    </row>
    <row r="14">
      <c r="A14" s="28" t="s">
        <v>19</v>
      </c>
      <c r="B14" s="20">
        <f>IFERROR(__xludf.DUMMYFUNCTION("""COMPUTED_VALUE"""),11.0)</f>
        <v>11</v>
      </c>
      <c r="C14" s="21" t="str">
        <f>IFERROR(__xludf.DUMMYFUNCTION("""COMPUTED_VALUE"""),"SilkMaster420")</f>
        <v>SilkMaster420</v>
      </c>
      <c r="D14" s="22">
        <f>IFERROR(__xludf.DUMMYFUNCTION("""COMPUTED_VALUE"""),623.0)</f>
        <v>623</v>
      </c>
      <c r="E14" s="23">
        <f>IFERROR(__xludf.DUMMYFUNCTION("""COMPUTED_VALUE"""),45.0)</f>
        <v>45</v>
      </c>
      <c r="F14" s="24">
        <f>IFERROR(__xludf.DUMMYFUNCTION("""COMPUTED_VALUE"""),45.0)</f>
        <v>45</v>
      </c>
      <c r="G14" s="24" t="str">
        <f>IFERROR(__xludf.DUMMYFUNCTION("""COMPUTED_VALUE"""),"Norway, Netherlands, Sweden, Italy, Finland, Poland, Bulgaria, Denmark")</f>
        <v>Norway, Netherlands, Sweden, Italy, Finland, Poland, Bulgaria, Denmark</v>
      </c>
      <c r="H14" s="3"/>
      <c r="I14" s="29" t="str">
        <f t="array" ref="I14">IFERROR(INDEX(Entries!$E$2:$E$50,ROW()-3)&amp;"","")</f>
        <v>Reb</v>
      </c>
      <c r="J14" s="29">
        <f>IF(I14="","",SUMIF('Team Scores'!$O$2:$O$401,I14,'Team Scores'!$AA$2:$AA$401))</f>
        <v>680</v>
      </c>
      <c r="K14" s="29">
        <f t="array" ref="K14">IF(I14="","",IFERROR(INDEX(Entries!$L$2:$L$50,ROW()-3),0))</f>
        <v>65</v>
      </c>
      <c r="L14" s="29">
        <f t="shared" si="2"/>
        <v>65</v>
      </c>
      <c r="M14" s="29" t="str">
        <f t="array" ref="M14">IF(I14="","",INDEX(Entries!$F$2:$F$51,ROW()-3)&amp;",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Germany, Netherlands, Sweden, Italy, Czech Republic, Great Britain, Denmark, Kazakhstan</v>
      </c>
      <c r="N14" s="29">
        <f t="shared" si="1"/>
        <v>-679999935</v>
      </c>
      <c r="O14" s="3"/>
      <c r="P14" s="3"/>
      <c r="Q14" s="3"/>
      <c r="R14" s="3"/>
      <c r="S14" s="3"/>
    </row>
    <row r="15">
      <c r="A15" s="3"/>
      <c r="B15" s="20">
        <f>IFERROR(__xludf.DUMMYFUNCTION("""COMPUTED_VALUE"""),12.0)</f>
        <v>12</v>
      </c>
      <c r="C15" s="21" t="str">
        <f>IFERROR(__xludf.DUMMYFUNCTION("""COMPUTED_VALUE"""),"Pat Doherty")</f>
        <v>Pat Doherty</v>
      </c>
      <c r="D15" s="22">
        <f>IFERROR(__xludf.DUMMYFUNCTION("""COMPUTED_VALUE"""),621.0)</f>
        <v>621</v>
      </c>
      <c r="E15" s="23">
        <f>IFERROR(__xludf.DUMMYFUNCTION("""COMPUTED_VALUE"""),52.0)</f>
        <v>52</v>
      </c>
      <c r="F15" s="24">
        <f>IFERROR(__xludf.DUMMYFUNCTION("""COMPUTED_VALUE"""),52.0)</f>
        <v>52</v>
      </c>
      <c r="G15" s="24" t="str">
        <f>IFERROR(__xludf.DUMMYFUNCTION("""COMPUTED_VALUE"""),"Norway, Netherlands, Switzerland, Italy, Finland, Great Britain, Belgium, Hungary")</f>
        <v>Norway, Netherlands, Switzerland, Italy, Finland, Great Britain, Belgium, Hungary</v>
      </c>
      <c r="H15" s="3"/>
      <c r="I15" s="29" t="str">
        <f t="array" ref="I15">IFERROR(INDEX(Entries!$E$2:$E$50,ROW()-3)&amp;"","")</f>
        <v>Siri</v>
      </c>
      <c r="J15" s="29">
        <f>IF(I15="","",SUMIF('Team Scores'!$O$2:$O$401,I15,'Team Scores'!$AA$2:$AA$401))</f>
        <v>550</v>
      </c>
      <c r="K15" s="29">
        <f t="array" ref="K15">IF(I15="","",IFERROR(INDEX(Entries!$L$2:$L$50,ROW()-3),0))</f>
        <v>67</v>
      </c>
      <c r="L15" s="29">
        <f t="shared" si="2"/>
        <v>67</v>
      </c>
      <c r="M15" s="29" t="str">
        <f t="array" ref="M15">IF(I15="","",INDEX(Entries!$F$2:$F$51,ROW()-3)&amp;",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United States, Netherlands, Switzerland, China, Finland, Poland, New Zealand, Ukraine</v>
      </c>
      <c r="N15" s="29">
        <f t="shared" si="1"/>
        <v>-549999933</v>
      </c>
      <c r="O15" s="3"/>
      <c r="P15" s="3"/>
      <c r="Q15" s="3"/>
      <c r="R15" s="3"/>
      <c r="S15" s="3"/>
    </row>
    <row r="16">
      <c r="A16" s="3"/>
      <c r="B16" s="20">
        <f>IFERROR(__xludf.DUMMYFUNCTION("""COMPUTED_VALUE"""),13.0)</f>
        <v>13</v>
      </c>
      <c r="C16" s="21" t="str">
        <f>IFERROR(__xludf.DUMMYFUNCTION("""COMPUTED_VALUE"""),"bgreen")</f>
        <v>bgreen</v>
      </c>
      <c r="D16" s="22">
        <f>IFERROR(__xludf.DUMMYFUNCTION("""COMPUTED_VALUE"""),611.0)</f>
        <v>611</v>
      </c>
      <c r="E16" s="23">
        <f>IFERROR(__xludf.DUMMYFUNCTION("""COMPUTED_VALUE"""),29.0)</f>
        <v>29</v>
      </c>
      <c r="F16" s="24">
        <f>IFERROR(__xludf.DUMMYFUNCTION("""COMPUTED_VALUE"""),29.0)</f>
        <v>29</v>
      </c>
      <c r="G16" s="24" t="str">
        <f>IFERROR(__xludf.DUMMYFUNCTION("""COMPUTED_VALUE"""),"Norway, Austria, Sweden, Italy, Finland, Great Britain, Estonia, Ukraine")</f>
        <v>Norway, Austria, Sweden, Italy, Finland, Great Britain, Estonia, Ukraine</v>
      </c>
      <c r="H16" s="3"/>
      <c r="I16" s="29" t="str">
        <f t="array" ref="I16">IFERROR(INDEX(Entries!$E$2:$E$50,ROW()-3)&amp;"","")</f>
        <v>SilkMaster420</v>
      </c>
      <c r="J16" s="29">
        <f>IF(I16="","",SUMIF('Team Scores'!$O$2:$O$401,I16,'Team Scores'!$AA$2:$AA$401))</f>
        <v>623</v>
      </c>
      <c r="K16" s="29">
        <f t="array" ref="K16">IF(I16="","",IFERROR(INDEX(Entries!$L$2:$L$50,ROW()-3),0))</f>
        <v>45</v>
      </c>
      <c r="L16" s="29">
        <f t="shared" si="2"/>
        <v>45</v>
      </c>
      <c r="M16" s="29" t="str">
        <f t="array" ref="M16">IF(I16="","",INDEX(Entries!$F$2:$F$51,ROW()-3)&amp;",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Netherlands, Sweden, Italy, Finland, Poland, Bulgaria, Denmark</v>
      </c>
      <c r="N16" s="29">
        <f t="shared" si="1"/>
        <v>-622999955</v>
      </c>
      <c r="O16" s="3"/>
      <c r="P16" s="3"/>
      <c r="Q16" s="3"/>
      <c r="R16" s="3"/>
      <c r="S16" s="3"/>
    </row>
    <row r="17">
      <c r="A17" s="3"/>
      <c r="B17" s="20">
        <f>IFERROR(__xludf.DUMMYFUNCTION("""COMPUTED_VALUE"""),14.0)</f>
        <v>14</v>
      </c>
      <c r="C17" s="21" t="str">
        <f>IFERROR(__xludf.DUMMYFUNCTION("""COMPUTED_VALUE"""),"Jack Jansen")</f>
        <v>Jack Jansen</v>
      </c>
      <c r="D17" s="22">
        <f>IFERROR(__xludf.DUMMYFUNCTION("""COMPUTED_VALUE"""),582.0)</f>
        <v>582</v>
      </c>
      <c r="E17" s="23">
        <f>IFERROR(__xludf.DUMMYFUNCTION("""COMPUTED_VALUE"""),52.0)</f>
        <v>52</v>
      </c>
      <c r="F17" s="24">
        <f>IFERROR(__xludf.DUMMYFUNCTION("""COMPUTED_VALUE"""),19.0)</f>
        <v>19</v>
      </c>
      <c r="G17" s="24" t="str">
        <f>IFERROR(__xludf.DUMMYFUNCTION("""COMPUTED_VALUE"""),"Norway, Netherlands, Sweden, Japan, Czech Republic, Poland, Belgium, Denmark")</f>
        <v>Norway, Netherlands, Sweden, Japan, Czech Republic, Poland, Belgium, Denmark</v>
      </c>
      <c r="H17" s="3"/>
      <c r="I17" s="29" t="str">
        <f t="array" ref="I17">IFERROR(INDEX(Entries!$E$2:$E$50,ROW()-3)&amp;"","")</f>
        <v>A taco93</v>
      </c>
      <c r="J17" s="29">
        <f>IF(I17="","",SUMIF('Team Scores'!$O$2:$O$401,I17,'Team Scores'!$AA$2:$AA$401))</f>
        <v>646</v>
      </c>
      <c r="K17" s="29">
        <f t="array" ref="K17">IF(I17="","",IFERROR(INDEX(Entries!$L$2:$L$50,ROW()-3),0))</f>
        <v>27</v>
      </c>
      <c r="L17" s="29">
        <f t="shared" si="2"/>
        <v>27</v>
      </c>
      <c r="M17" s="29" t="str">
        <f t="array" ref="M17">IF(I17="","",INDEX(Entries!$F$2:$F$51,ROW()-3)&amp;",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United States, Sweden, Switzerland, China, Finland, Australia, Estonia, New Zealand</v>
      </c>
      <c r="N17" s="29">
        <f t="shared" si="1"/>
        <v>-645999973</v>
      </c>
      <c r="O17" s="3"/>
      <c r="P17" s="3"/>
      <c r="Q17" s="3"/>
      <c r="R17" s="3"/>
      <c r="S17" s="3"/>
    </row>
    <row r="18">
      <c r="A18" s="3"/>
      <c r="B18" s="20">
        <f>IFERROR(__xludf.DUMMYFUNCTION("""COMPUTED_VALUE"""),15.0)</f>
        <v>15</v>
      </c>
      <c r="C18" s="21" t="str">
        <f>IFERROR(__xludf.DUMMYFUNCTION("""COMPUTED_VALUE"""),"Jennie")</f>
        <v>Jennie</v>
      </c>
      <c r="D18" s="22">
        <f>IFERROR(__xludf.DUMMYFUNCTION("""COMPUTED_VALUE"""),571.0)</f>
        <v>571</v>
      </c>
      <c r="E18" s="23">
        <f>IFERROR(__xludf.DUMMYFUNCTION("""COMPUTED_VALUE"""),25.0)</f>
        <v>25</v>
      </c>
      <c r="F18" s="24">
        <f>IFERROR(__xludf.DUMMYFUNCTION("""COMPUTED_VALUE"""),25.0)</f>
        <v>25</v>
      </c>
      <c r="G18" s="24" t="str">
        <f>IFERROR(__xludf.DUMMYFUNCTION("""COMPUTED_VALUE"""),"United States, Austria, Sweden, Italy, Finland, Australia, Croatia, Ukraine")</f>
        <v>United States, Austria, Sweden, Italy, Finland, Australia, Croatia, Ukraine</v>
      </c>
      <c r="H18" s="3"/>
      <c r="I18" s="29" t="str">
        <f t="array" ref="I18">IFERROR(INDEX(Entries!$E$2:$E$50,ROW()-3)&amp;"","")</f>
        <v>Mark Mattson</v>
      </c>
      <c r="J18" s="29">
        <f>IF(I18="","",SUMIF('Team Scores'!$O$2:$O$401,I18,'Team Scores'!$AA$2:$AA$401))</f>
        <v>647</v>
      </c>
      <c r="K18" s="29">
        <f t="array" ref="K18">IF(I18="","",IFERROR(INDEX(Entries!$L$2:$L$50,ROW()-3),0))</f>
        <v>27</v>
      </c>
      <c r="L18" s="29">
        <f t="shared" si="2"/>
        <v>27</v>
      </c>
      <c r="M18" s="29" t="str">
        <f t="array" ref="M18">IF(I18="","",INDEX(Entries!$F$2:$F$51,ROW()-3)&amp;",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United States, Netherlands, Sweden, Italy, Czech Republic, Poland, Ireland, Spain</v>
      </c>
      <c r="N18" s="29">
        <f t="shared" si="1"/>
        <v>-646999973</v>
      </c>
      <c r="O18" s="3"/>
      <c r="P18" s="3"/>
      <c r="Q18" s="3"/>
      <c r="R18" s="3"/>
      <c r="S18" s="3"/>
    </row>
    <row r="19">
      <c r="A19" s="3"/>
      <c r="B19" s="20">
        <f>IFERROR(__xludf.DUMMYFUNCTION("""COMPUTED_VALUE"""),16.0)</f>
        <v>16</v>
      </c>
      <c r="C19" s="21" t="str">
        <f>IFERROR(__xludf.DUMMYFUNCTION("""COMPUTED_VALUE"""),"Charlie ")</f>
        <v>Charlie </v>
      </c>
      <c r="D19" s="22">
        <f>IFERROR(__xludf.DUMMYFUNCTION("""COMPUTED_VALUE"""),570.0)</f>
        <v>570</v>
      </c>
      <c r="E19" s="23">
        <f>IFERROR(__xludf.DUMMYFUNCTION("""COMPUTED_VALUE"""),29.0)</f>
        <v>29</v>
      </c>
      <c r="F19" s="24">
        <f>IFERROR(__xludf.DUMMYFUNCTION("""COMPUTED_VALUE"""),29.0)</f>
        <v>29</v>
      </c>
      <c r="G19" s="24" t="str">
        <f>IFERROR(__xludf.DUMMYFUNCTION("""COMPUTED_VALUE"""),"Norway, Austria, Sweden, Japan, Czech Republic, Australia, Chile, Chinese Taipei")</f>
        <v>Norway, Austria, Sweden, Japan, Czech Republic, Australia, Chile, Chinese Taipei</v>
      </c>
      <c r="H19" s="3"/>
      <c r="I19" s="29" t="str">
        <f t="array" ref="I19">IFERROR(INDEX(Entries!$E$2:$E$50,ROW()-3)&amp;"","")</f>
        <v>Tate McRae </v>
      </c>
      <c r="J19" s="29">
        <f>IF(I19="","",SUMIF('Team Scores'!$O$2:$O$401,I19,'Team Scores'!$AA$2:$AA$401))</f>
        <v>470</v>
      </c>
      <c r="K19" s="29">
        <f t="array" ref="K19">IF(I19="","",IFERROR(INDEX(Entries!$L$2:$L$50,ROW()-3),0))</f>
        <v>23</v>
      </c>
      <c r="L19" s="29">
        <f t="shared" si="2"/>
        <v>23</v>
      </c>
      <c r="M19" s="29" t="str">
        <f t="array" ref="M19">IF(I19="","",INDEX(Entries!$F$2:$F$51,ROW()-3)&amp;",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United States, France, Sweden, Japan, Finland, Slovakia, Kazakhstan, Ukraine</v>
      </c>
      <c r="N19" s="29">
        <f t="shared" si="1"/>
        <v>-469999977</v>
      </c>
      <c r="O19" s="3"/>
      <c r="P19" s="3"/>
      <c r="Q19" s="3"/>
      <c r="R19" s="3"/>
      <c r="S19" s="3"/>
    </row>
    <row r="20" ht="15.75" customHeight="1">
      <c r="A20" s="3"/>
      <c r="B20" s="20">
        <f>IFERROR(__xludf.DUMMYFUNCTION("""COMPUTED_VALUE"""),17.0)</f>
        <v>17</v>
      </c>
      <c r="C20" s="21" t="str">
        <f>IFERROR(__xludf.DUMMYFUNCTION("""COMPUTED_VALUE"""),"kborst13")</f>
        <v>kborst13</v>
      </c>
      <c r="D20" s="22">
        <f>IFERROR(__xludf.DUMMYFUNCTION("""COMPUTED_VALUE"""),564.0)</f>
        <v>564</v>
      </c>
      <c r="E20" s="23">
        <f>IFERROR(__xludf.DUMMYFUNCTION("""COMPUTED_VALUE"""),47.0)</f>
        <v>47</v>
      </c>
      <c r="F20" s="24">
        <f>IFERROR(__xludf.DUMMYFUNCTION("""COMPUTED_VALUE"""),47.0)</f>
        <v>47</v>
      </c>
      <c r="G20" s="24" t="str">
        <f>IFERROR(__xludf.DUMMYFUNCTION("""COMPUTED_VALUE"""),"Norway, Austria, Netherlands, China, Finland, Great Britain, Belgium, Estonia")</f>
        <v>Norway, Austria, Netherlands, China, Finland, Great Britain, Belgium, Estonia</v>
      </c>
      <c r="H20" s="3"/>
      <c r="I20" s="29" t="str">
        <f t="array" ref="I20">IFERROR(INDEX(Entries!$E$2:$E$50,ROW()-3)&amp;"","")</f>
        <v>LucasF</v>
      </c>
      <c r="J20" s="29">
        <f>IF(I20="","",SUMIF('Team Scores'!$O$2:$O$401,I20,'Team Scores'!$AA$2:$AA$401))</f>
        <v>762</v>
      </c>
      <c r="K20" s="29">
        <f t="array" ref="K20">IF(I20="","",IFERROR(INDEX(Entries!$L$2:$L$50,ROW()-3),0))</f>
        <v>50</v>
      </c>
      <c r="L20" s="29">
        <f t="shared" si="2"/>
        <v>50</v>
      </c>
      <c r="M20" s="29" t="str">
        <f t="array" ref="M20">IF(I20="","",INDEX(Entries!$F$2:$F$51,ROW()-3)&amp;",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Germany, Austria, Switzerland, Italy, Finland, Australia, New Zealand, Spain</v>
      </c>
      <c r="N20" s="29">
        <f t="shared" si="1"/>
        <v>-761999950</v>
      </c>
      <c r="O20" s="3"/>
      <c r="P20" s="3"/>
      <c r="Q20" s="3"/>
      <c r="R20" s="3"/>
      <c r="S20" s="3"/>
    </row>
    <row r="21" ht="15.75" customHeight="1">
      <c r="A21" s="3"/>
      <c r="B21" s="20">
        <f>IFERROR(__xludf.DUMMYFUNCTION("""COMPUTED_VALUE"""),18.0)</f>
        <v>18</v>
      </c>
      <c r="C21" s="21" t="str">
        <f>IFERROR(__xludf.DUMMYFUNCTION("""COMPUTED_VALUE"""),"Siri")</f>
        <v>Siri</v>
      </c>
      <c r="D21" s="22">
        <f>IFERROR(__xludf.DUMMYFUNCTION("""COMPUTED_VALUE"""),550.0)</f>
        <v>550</v>
      </c>
      <c r="E21" s="23">
        <f>IFERROR(__xludf.DUMMYFUNCTION("""COMPUTED_VALUE"""),67.0)</f>
        <v>67</v>
      </c>
      <c r="F21" s="24">
        <f>IFERROR(__xludf.DUMMYFUNCTION("""COMPUTED_VALUE"""),67.0)</f>
        <v>67</v>
      </c>
      <c r="G21" s="24" t="str">
        <f>IFERROR(__xludf.DUMMYFUNCTION("""COMPUTED_VALUE"""),"United States, Netherlands, Switzerland, China, Finland, Poland, New Zealand, Ukraine")</f>
        <v>United States, Netherlands, Switzerland, China, Finland, Poland, New Zealand, Ukraine</v>
      </c>
      <c r="H21" s="3"/>
      <c r="I21" s="29" t="str">
        <f t="array" ref="I21">IFERROR(INDEX(Entries!$E$2:$E$50,ROW()-3)&amp;"","")</f>
        <v>Bryan Jakobsze🇵🇱</v>
      </c>
      <c r="J21" s="29">
        <f>IF(I21="","",SUMIF('Team Scores'!$O$2:$O$401,I21,'Team Scores'!$AA$2:$AA$401))</f>
        <v>669</v>
      </c>
      <c r="K21" s="29">
        <f t="array" ref="K21">IF(I21="","",IFERROR(INDEX(Entries!$L$2:$L$50,ROW()-3),0))</f>
        <v>29</v>
      </c>
      <c r="L21" s="29">
        <f t="shared" si="2"/>
        <v>29</v>
      </c>
      <c r="M21" s="29" t="str">
        <f t="array" ref="M21">IF(I21="","",INDEX(Entries!$F$2:$F$51,ROW()-3)&amp;",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France, Netherlands, Italy, Finland, Great Britain, Kazakhstan, Ukraine</v>
      </c>
      <c r="N21" s="29">
        <f t="shared" si="1"/>
        <v>-668999971</v>
      </c>
      <c r="O21" s="3"/>
      <c r="P21" s="3"/>
      <c r="Q21" s="3"/>
      <c r="R21" s="3"/>
      <c r="S21" s="3"/>
    </row>
    <row r="22" ht="15.75" customHeight="1">
      <c r="A22" s="3"/>
      <c r="B22" s="20">
        <f>IFERROR(__xludf.DUMMYFUNCTION("""COMPUTED_VALUE"""),19.0)</f>
        <v>19</v>
      </c>
      <c r="C22" s="21" t="str">
        <f>IFERROR(__xludf.DUMMYFUNCTION("""COMPUTED_VALUE"""),"Wyatt")</f>
        <v>Wyatt</v>
      </c>
      <c r="D22" s="22">
        <f>IFERROR(__xludf.DUMMYFUNCTION("""COMPUTED_VALUE"""),497.0)</f>
        <v>497</v>
      </c>
      <c r="E22" s="23">
        <f>IFERROR(__xludf.DUMMYFUNCTION("""COMPUTED_VALUE"""),27.0)</f>
        <v>27</v>
      </c>
      <c r="F22" s="24">
        <f>IFERROR(__xludf.DUMMYFUNCTION("""COMPUTED_VALUE"""),6.0)</f>
        <v>6</v>
      </c>
      <c r="G22" s="24" t="str">
        <f>IFERROR(__xludf.DUMMYFUNCTION("""COMPUTED_VALUE"""),"Canada, Austria, Netherlands, China, Czech Republic, Australia, Croatia, Ukraine")</f>
        <v>Canada, Austria, Netherlands, China, Czech Republic, Australia, Croatia, Ukraine</v>
      </c>
      <c r="H22" s="3"/>
      <c r="I22" s="29" t="str">
        <f t="array" ref="I22">IFERROR(INDEX(Entries!$E$2:$E$50,ROW()-3)&amp;"","")</f>
        <v>Wicks</v>
      </c>
      <c r="J22" s="29">
        <f>IF(I22="","",SUMIF('Team Scores'!$O$2:$O$401,I22,'Team Scores'!$AA$2:$AA$401))</f>
        <v>458</v>
      </c>
      <c r="K22" s="29">
        <f t="array" ref="K22">IF(I22="","",IFERROR(INDEX(Entries!$L$2:$L$50,ROW()-3),0))</f>
        <v>26</v>
      </c>
      <c r="L22" s="29">
        <f t="shared" si="2"/>
        <v>26</v>
      </c>
      <c r="M22" s="29" t="str">
        <f t="array" ref="M22">IF(I22="","",INDEX(Entries!$F$2:$F$51,ROW()-3)&amp;",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Netherlands, South Korea, Japan, Finland, Poland, Croatia, Israel</v>
      </c>
      <c r="N22" s="29">
        <f t="shared" si="1"/>
        <v>-457999974</v>
      </c>
      <c r="O22" s="3"/>
      <c r="P22" s="3"/>
      <c r="Q22" s="3"/>
      <c r="R22" s="3"/>
      <c r="S22" s="3"/>
    </row>
    <row r="23" ht="15.75" customHeight="1">
      <c r="A23" s="3"/>
      <c r="B23" s="20">
        <f>IFERROR(__xludf.DUMMYFUNCTION("""COMPUTED_VALUE"""),20.0)</f>
        <v>20</v>
      </c>
      <c r="C23" s="21" t="str">
        <f>IFERROR(__xludf.DUMMYFUNCTION("""COMPUTED_VALUE"""),"Tate McRae ")</f>
        <v>Tate McRae </v>
      </c>
      <c r="D23" s="22">
        <f>IFERROR(__xludf.DUMMYFUNCTION("""COMPUTED_VALUE"""),470.0)</f>
        <v>470</v>
      </c>
      <c r="E23" s="23">
        <f>IFERROR(__xludf.DUMMYFUNCTION("""COMPUTED_VALUE"""),23.0)</f>
        <v>23</v>
      </c>
      <c r="F23" s="24">
        <f>IFERROR(__xludf.DUMMYFUNCTION("""COMPUTED_VALUE"""),23.0)</f>
        <v>23</v>
      </c>
      <c r="G23" s="24" t="str">
        <f>IFERROR(__xludf.DUMMYFUNCTION("""COMPUTED_VALUE"""),"United States, France, Sweden, Japan, Finland, Slovakia, Kazakhstan, Ukraine")</f>
        <v>United States, France, Sweden, Japan, Finland, Slovakia, Kazakhstan, Ukraine</v>
      </c>
      <c r="H23" s="3"/>
      <c r="I23" s="29" t="str">
        <f t="array" ref="I23">IFERROR(INDEX(Entries!$E$2:$E$50,ROW()-3)&amp;"","")</f>
        <v>Brad’s Cousin’s Cousin</v>
      </c>
      <c r="J23" s="29">
        <f>IF(I23="","",SUMIF('Team Scores'!$O$2:$O$401,I23,'Team Scores'!$AA$2:$AA$401))</f>
        <v>741</v>
      </c>
      <c r="K23" s="29">
        <f t="array" ref="K23">IF(I23="","",IFERROR(INDEX(Entries!$L$2:$L$50,ROW()-3),0))</f>
        <v>25</v>
      </c>
      <c r="L23" s="29">
        <f t="shared" si="2"/>
        <v>25</v>
      </c>
      <c r="M23" s="29" t="str">
        <f t="array" ref="M23">IF(I23="","",INDEX(Entries!$F$2:$F$51,ROW()-3)&amp;",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Netherlands, Switzerland, Italy, Finland, Australia, Belgium, New Zealand</v>
      </c>
      <c r="N23" s="29">
        <f t="shared" si="1"/>
        <v>-740999975</v>
      </c>
      <c r="O23" s="3"/>
      <c r="P23" s="3"/>
      <c r="Q23" s="3"/>
      <c r="R23" s="3"/>
      <c r="S23" s="3"/>
    </row>
    <row r="24" ht="15.75" customHeight="1">
      <c r="A24" s="3"/>
      <c r="B24" s="20">
        <f>IFERROR(__xludf.DUMMYFUNCTION("""COMPUTED_VALUE"""),21.0)</f>
        <v>21</v>
      </c>
      <c r="C24" s="21" t="str">
        <f>IFERROR(__xludf.DUMMYFUNCTION("""COMPUTED_VALUE"""),"Josh’s Dawgs")</f>
        <v>Josh’s Dawgs</v>
      </c>
      <c r="D24" s="22">
        <f>IFERROR(__xludf.DUMMYFUNCTION("""COMPUTED_VALUE"""),464.0)</f>
        <v>464</v>
      </c>
      <c r="E24" s="23">
        <f>IFERROR(__xludf.DUMMYFUNCTION("""COMPUTED_VALUE"""),200.0)</f>
        <v>200</v>
      </c>
      <c r="F24" s="24">
        <f>IFERROR(__xludf.DUMMYFUNCTION("""COMPUTED_VALUE"""),200.0)</f>
        <v>200</v>
      </c>
      <c r="G24" s="24" t="str">
        <f>IFERROR(__xludf.DUMMYFUNCTION("""COMPUTED_VALUE"""),"United States, France, Sweden, China, Finland, Poland, Belgium, Ukraine")</f>
        <v>United States, France, Sweden, China, Finland, Poland, Belgium, Ukraine</v>
      </c>
      <c r="H24" s="3"/>
      <c r="I24" s="29" t="str">
        <f t="array" ref="I24">IFERROR(INDEX(Entries!$E$2:$E$50,ROW()-3)&amp;"","")</f>
        <v>Jennie</v>
      </c>
      <c r="J24" s="29">
        <f>IF(I24="","",SUMIF('Team Scores'!$O$2:$O$401,I24,'Team Scores'!$AA$2:$AA$401))</f>
        <v>571</v>
      </c>
      <c r="K24" s="29">
        <f t="array" ref="K24">IF(I24="","",IFERROR(INDEX(Entries!$L$2:$L$50,ROW()-3),0))</f>
        <v>25</v>
      </c>
      <c r="L24" s="29">
        <f t="shared" si="2"/>
        <v>25</v>
      </c>
      <c r="M24" s="29" t="str">
        <f t="array" ref="M24">IF(I24="","",INDEX(Entries!$F$2:$F$51,ROW()-3)&amp;",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United States, Austria, Sweden, Italy, Finland, Australia, Croatia, Ukraine</v>
      </c>
      <c r="N24" s="29">
        <f t="shared" si="1"/>
        <v>-570999975</v>
      </c>
      <c r="O24" s="3"/>
      <c r="P24" s="3"/>
      <c r="Q24" s="3"/>
      <c r="R24" s="3"/>
      <c r="S24" s="3"/>
    </row>
    <row r="25" ht="15.75" customHeight="1">
      <c r="A25" s="3"/>
      <c r="B25" s="20">
        <f>IFERROR(__xludf.DUMMYFUNCTION("""COMPUTED_VALUE"""),22.0)</f>
        <v>22</v>
      </c>
      <c r="C25" s="21" t="str">
        <f>IFERROR(__xludf.DUMMYFUNCTION("""COMPUTED_VALUE"""),"Wicks")</f>
        <v>Wicks</v>
      </c>
      <c r="D25" s="22">
        <f>IFERROR(__xludf.DUMMYFUNCTION("""COMPUTED_VALUE"""),458.0)</f>
        <v>458</v>
      </c>
      <c r="E25" s="23">
        <f>IFERROR(__xludf.DUMMYFUNCTION("""COMPUTED_VALUE"""),26.0)</f>
        <v>26</v>
      </c>
      <c r="F25" s="24">
        <f>IFERROR(__xludf.DUMMYFUNCTION("""COMPUTED_VALUE"""),26.0)</f>
        <v>26</v>
      </c>
      <c r="G25" s="24" t="str">
        <f>IFERROR(__xludf.DUMMYFUNCTION("""COMPUTED_VALUE"""),"Norway, Netherlands, South Korea, Japan, Finland, Poland, Croatia, Israel")</f>
        <v>Norway, Netherlands, South Korea, Japan, Finland, Poland, Croatia, Israel</v>
      </c>
      <c r="H25" s="3"/>
      <c r="I25" s="29" t="str">
        <f t="array" ref="I25">IFERROR(INDEX(Entries!$E$2:$E$50,ROW()-3)&amp;"","")</f>
        <v>Molly </v>
      </c>
      <c r="J25" s="29">
        <f>IF(I25="","",SUMIF('Team Scores'!$O$2:$O$401,I25,'Team Scores'!$AA$2:$AA$401))</f>
        <v>645</v>
      </c>
      <c r="K25" s="29">
        <f t="array" ref="K25">IF(I25="","",IFERROR(INDEX(Entries!$L$2:$L$50,ROW()-3),0))</f>
        <v>26</v>
      </c>
      <c r="L25" s="29">
        <f t="shared" si="2"/>
        <v>26</v>
      </c>
      <c r="M25" s="29" t="str">
        <f t="array" ref="M25">IF(I25="","",INDEX(Entries!$F$2:$F$51,ROW()-3)&amp;",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Austria, Netherlands, Italy, Finland, Great Britain, Kazakhstan, Ukraine</v>
      </c>
      <c r="N25" s="29">
        <f t="shared" si="1"/>
        <v>-644999974</v>
      </c>
      <c r="O25" s="3"/>
      <c r="P25" s="3"/>
      <c r="Q25" s="3"/>
      <c r="R25" s="3"/>
      <c r="S25" s="3"/>
    </row>
    <row r="26" ht="15.75" customHeight="1">
      <c r="A26" s="3"/>
      <c r="B26" s="20">
        <f>IFERROR(__xludf.DUMMYFUNCTION("""COMPUTED_VALUE"""),23.0)</f>
        <v>23</v>
      </c>
      <c r="C26" s="21" t="str">
        <f>IFERROR(__xludf.DUMMYFUNCTION("""COMPUTED_VALUE"""),"Jdrobny")</f>
        <v>Jdrobny</v>
      </c>
      <c r="D26" s="22">
        <f>IFERROR(__xludf.DUMMYFUNCTION("""COMPUTED_VALUE"""),451.0)</f>
        <v>451</v>
      </c>
      <c r="E26" s="30">
        <f>IFERROR(__xludf.DUMMYFUNCTION("""COMPUTED_VALUE"""),26.0)</f>
        <v>26</v>
      </c>
      <c r="F26" s="24">
        <f>IFERROR(__xludf.DUMMYFUNCTION("""COMPUTED_VALUE"""),26.0)</f>
        <v>26</v>
      </c>
      <c r="G26" s="24" t="str">
        <f>IFERROR(__xludf.DUMMYFUNCTION("""COMPUTED_VALUE"""),"Norway, South Korea, Sweden, Italy, Slovenia, Slovakia, Belgium, Ukraine")</f>
        <v>Norway, South Korea, Sweden, Italy, Slovenia, Slovakia, Belgium, Ukraine</v>
      </c>
      <c r="H26" s="3"/>
      <c r="I26" s="29" t="str">
        <f t="array" ref="I26">IFERROR(INDEX(Entries!$E$2:$E$50,ROW()-3)&amp;"","")</f>
        <v>Jdrobny</v>
      </c>
      <c r="J26" s="29">
        <f>IF(I26="","",SUMIF('Team Scores'!$O$2:$O$401,I26,'Team Scores'!$AA$2:$AA$401))</f>
        <v>451</v>
      </c>
      <c r="K26" s="29">
        <f t="array" ref="K26">IF(I26="","",IFERROR(INDEX(Entries!$L$2:$L$50,ROW()-3),0))</f>
        <v>26</v>
      </c>
      <c r="L26" s="29">
        <f t="shared" si="2"/>
        <v>26</v>
      </c>
      <c r="M26" s="29" t="str">
        <f t="array" ref="M26">IF(I26="","",INDEX(Entries!$F$2:$F$51,ROW()-3)&amp;",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Norway, South Korea, Sweden, Italy, Slovenia, Slovakia, Belgium, Ukraine</v>
      </c>
      <c r="N26" s="29">
        <f t="shared" si="1"/>
        <v>-450999974</v>
      </c>
      <c r="O26" s="3"/>
      <c r="P26" s="3"/>
      <c r="Q26" s="3"/>
      <c r="R26" s="3"/>
      <c r="S26" s="3"/>
    </row>
    <row r="27" ht="15.75" customHeight="1">
      <c r="A27" s="3"/>
      <c r="B27" s="31" t="str">
        <f>IFERROR(__xludf.DUMMYFUNCTION("""COMPUTED_VALUE"""),"")</f>
        <v/>
      </c>
      <c r="C27" s="31" t="str">
        <f>IFERROR(__xludf.DUMMYFUNCTION("""COMPUTED_VALUE"""),"")</f>
        <v/>
      </c>
      <c r="D27" s="32" t="str">
        <f>IFERROR(__xludf.DUMMYFUNCTION("""COMPUTED_VALUE"""),"")</f>
        <v/>
      </c>
      <c r="E27" s="32" t="str">
        <f>IFERROR(__xludf.DUMMYFUNCTION("""COMPUTED_VALUE"""),"")</f>
        <v/>
      </c>
      <c r="F27" s="29" t="str">
        <f>IFERROR(__xludf.DUMMYFUNCTION("""COMPUTED_VALUE"""),"")</f>
        <v/>
      </c>
      <c r="G27" s="29" t="str">
        <f>IFERROR(__xludf.DUMMYFUNCTION("""COMPUTED_VALUE"""),"")</f>
        <v/>
      </c>
      <c r="H27" s="3"/>
      <c r="I27" s="29" t="str">
        <f t="array" ref="I27">IFERROR(INDEX(Entries!$E$2:$E$50,ROW()-3)&amp;"","")</f>
        <v/>
      </c>
      <c r="J27" s="29" t="str">
        <f>IF(I27="","",SUMIF('Team Scores'!$O$2:$O$401,I27,'Team Scores'!$AA$2:$AA$401))</f>
        <v/>
      </c>
      <c r="K27" s="29" t="str">
        <f t="array" ref="K27">IF(I27="","",IFERROR(INDEX(Entries!$L$2:$L$50,ROW()-3),0))</f>
        <v/>
      </c>
      <c r="L27" s="29" t="str">
        <f t="shared" si="2"/>
        <v/>
      </c>
      <c r="M27" s="29" t="str">
        <f t="array" ref="M27">IF(I27="","",INDEX(Entries!$F$2:$F$51,ROW()-3)&amp;",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  <c r="N27" s="29">
        <f t="shared" si="1"/>
        <v>999999999</v>
      </c>
      <c r="O27" s="3"/>
      <c r="P27" s="3"/>
      <c r="Q27" s="3"/>
      <c r="R27" s="3"/>
      <c r="S27" s="3"/>
    </row>
    <row r="28" ht="15.75" customHeight="1">
      <c r="A28" s="3"/>
      <c r="B28" s="31" t="str">
        <f>IFERROR(__xludf.DUMMYFUNCTION("""COMPUTED_VALUE"""),"")</f>
        <v/>
      </c>
      <c r="C28" s="31" t="str">
        <f>IFERROR(__xludf.DUMMYFUNCTION("""COMPUTED_VALUE"""),"")</f>
        <v/>
      </c>
      <c r="D28" s="32" t="str">
        <f>IFERROR(__xludf.DUMMYFUNCTION("""COMPUTED_VALUE"""),"")</f>
        <v/>
      </c>
      <c r="E28" s="32" t="str">
        <f>IFERROR(__xludf.DUMMYFUNCTION("""COMPUTED_VALUE"""),"")</f>
        <v/>
      </c>
      <c r="F28" s="29" t="str">
        <f>IFERROR(__xludf.DUMMYFUNCTION("""COMPUTED_VALUE"""),"")</f>
        <v/>
      </c>
      <c r="G28" s="29" t="str">
        <f>IFERROR(__xludf.DUMMYFUNCTION("""COMPUTED_VALUE"""),"")</f>
        <v/>
      </c>
      <c r="H28" s="3"/>
      <c r="I28" s="29" t="str">
        <f t="array" ref="I28">IFERROR(INDEX(Entries!$E$2:$E$50,ROW()-3)&amp;"","")</f>
        <v/>
      </c>
      <c r="J28" s="29" t="str">
        <f>IF(I28="","",SUMIF('Team Scores'!$O$2:$O$401,I28,'Team Scores'!$AA$2:$AA$401))</f>
        <v/>
      </c>
      <c r="K28" s="29" t="str">
        <f t="array" ref="K28">IF(I28="","",IFERROR(INDEX(Entries!$L$2:$L$50,ROW()-3),0))</f>
        <v/>
      </c>
      <c r="L28" s="29" t="str">
        <f t="shared" si="2"/>
        <v/>
      </c>
      <c r="M28" s="29" t="str">
        <f t="array" ref="M28">IF(I28="","",INDEX(Entries!$F$2:$F$51,ROW()-3)&amp;",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  <c r="N28" s="29">
        <f t="shared" si="1"/>
        <v>999999999</v>
      </c>
      <c r="O28" s="3"/>
      <c r="P28" s="3"/>
      <c r="Q28" s="3"/>
      <c r="R28" s="3"/>
      <c r="S28" s="3"/>
    </row>
    <row r="29" ht="15.75" customHeight="1">
      <c r="A29" s="3"/>
      <c r="B29" s="31" t="str">
        <f>IFERROR(__xludf.DUMMYFUNCTION("""COMPUTED_VALUE"""),"")</f>
        <v/>
      </c>
      <c r="C29" s="31" t="str">
        <f>IFERROR(__xludf.DUMMYFUNCTION("""COMPUTED_VALUE"""),"")</f>
        <v/>
      </c>
      <c r="D29" s="32" t="str">
        <f>IFERROR(__xludf.DUMMYFUNCTION("""COMPUTED_VALUE"""),"")</f>
        <v/>
      </c>
      <c r="E29" s="32" t="str">
        <f>IFERROR(__xludf.DUMMYFUNCTION("""COMPUTED_VALUE"""),"")</f>
        <v/>
      </c>
      <c r="F29" s="29" t="str">
        <f>IFERROR(__xludf.DUMMYFUNCTION("""COMPUTED_VALUE"""),"")</f>
        <v/>
      </c>
      <c r="G29" s="29" t="str">
        <f>IFERROR(__xludf.DUMMYFUNCTION("""COMPUTED_VALUE"""),"")</f>
        <v/>
      </c>
      <c r="H29" s="3"/>
      <c r="I29" s="29" t="str">
        <f t="array" ref="I29">IFERROR(INDEX(Entries!$E$2:$E$50,ROW()-3)&amp;"","")</f>
        <v/>
      </c>
      <c r="J29" s="29" t="str">
        <f>IF(I29="","",SUMIF('Team Scores'!$O$2:$O$401,I29,'Team Scores'!$AA$2:$AA$401))</f>
        <v/>
      </c>
      <c r="K29" s="29" t="str">
        <f t="array" ref="K29">IF(I29="","",IFERROR(INDEX(Entries!$L$2:$L$50,ROW()-3),0))</f>
        <v/>
      </c>
      <c r="L29" s="29" t="str">
        <f t="shared" si="2"/>
        <v/>
      </c>
      <c r="M29" s="29" t="str">
        <f t="array" ref="M29">IF(I29="","",INDEX(Entries!$F$2:$F$51,ROW()-3)&amp;",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  <c r="N29" s="29">
        <f t="shared" si="1"/>
        <v>999999999</v>
      </c>
      <c r="O29" s="3"/>
      <c r="P29" s="3"/>
      <c r="Q29" s="3"/>
      <c r="R29" s="3"/>
      <c r="S29" s="3"/>
    </row>
    <row r="30" ht="15.75" customHeight="1">
      <c r="A30" s="3"/>
      <c r="B30" s="31" t="str">
        <f>IFERROR(__xludf.DUMMYFUNCTION("""COMPUTED_VALUE"""),"")</f>
        <v/>
      </c>
      <c r="C30" s="31" t="str">
        <f>IFERROR(__xludf.DUMMYFUNCTION("""COMPUTED_VALUE"""),"")</f>
        <v/>
      </c>
      <c r="D30" s="32" t="str">
        <f>IFERROR(__xludf.DUMMYFUNCTION("""COMPUTED_VALUE"""),"")</f>
        <v/>
      </c>
      <c r="E30" s="32" t="str">
        <f>IFERROR(__xludf.DUMMYFUNCTION("""COMPUTED_VALUE"""),"")</f>
        <v/>
      </c>
      <c r="F30" s="29" t="str">
        <f>IFERROR(__xludf.DUMMYFUNCTION("""COMPUTED_VALUE"""),"")</f>
        <v/>
      </c>
      <c r="G30" s="29" t="str">
        <f>IFERROR(__xludf.DUMMYFUNCTION("""COMPUTED_VALUE"""),"")</f>
        <v/>
      </c>
      <c r="H30" s="3"/>
      <c r="I30" s="29" t="str">
        <f t="array" ref="I30">IFERROR(INDEX(Entries!$E$2:$E$50,ROW()-3)&amp;"","")</f>
        <v/>
      </c>
      <c r="J30" s="29" t="str">
        <f>IF(I30="","",SUMIF('Team Scores'!$O$2:$O$401,I30,'Team Scores'!$AA$2:$AA$401))</f>
        <v/>
      </c>
      <c r="K30" s="29" t="str">
        <f t="array" ref="K30">IF(I30="","",IFERROR(INDEX(Entries!$L$2:$L$50,ROW()-3),0))</f>
        <v/>
      </c>
      <c r="L30" s="29" t="str">
        <f t="shared" si="2"/>
        <v/>
      </c>
      <c r="M30" s="29" t="str">
        <f t="array" ref="M30">IF(I30="","",INDEX(Entries!$F$2:$F$51,ROW()-3)&amp;",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  <c r="N30" s="29">
        <f t="shared" si="1"/>
        <v>999999999</v>
      </c>
      <c r="O30" s="3"/>
      <c r="P30" s="3"/>
      <c r="Q30" s="3"/>
      <c r="R30" s="3"/>
      <c r="S30" s="3"/>
    </row>
    <row r="31" ht="15.75" customHeight="1">
      <c r="A31" s="3"/>
      <c r="B31" s="31" t="str">
        <f>IFERROR(__xludf.DUMMYFUNCTION("""COMPUTED_VALUE"""),"")</f>
        <v/>
      </c>
      <c r="C31" s="31" t="str">
        <f>IFERROR(__xludf.DUMMYFUNCTION("""COMPUTED_VALUE"""),"")</f>
        <v/>
      </c>
      <c r="D31" s="32" t="str">
        <f>IFERROR(__xludf.DUMMYFUNCTION("""COMPUTED_VALUE"""),"")</f>
        <v/>
      </c>
      <c r="E31" s="32" t="str">
        <f>IFERROR(__xludf.DUMMYFUNCTION("""COMPUTED_VALUE"""),"")</f>
        <v/>
      </c>
      <c r="F31" s="29" t="str">
        <f>IFERROR(__xludf.DUMMYFUNCTION("""COMPUTED_VALUE"""),"")</f>
        <v/>
      </c>
      <c r="G31" s="29" t="str">
        <f>IFERROR(__xludf.DUMMYFUNCTION("""COMPUTED_VALUE"""),"")</f>
        <v/>
      </c>
      <c r="H31" s="3"/>
      <c r="I31" s="29" t="str">
        <f t="array" ref="I31">IFERROR(INDEX(Entries!$E$2:$E$50,ROW()-3)&amp;"","")</f>
        <v/>
      </c>
      <c r="J31" s="29" t="str">
        <f>IF(I31="","",SUMIF('Team Scores'!$O$2:$O$401,I31,'Team Scores'!$AA$2:$AA$401))</f>
        <v/>
      </c>
      <c r="K31" s="29" t="str">
        <f t="array" ref="K31">IF(I31="","",IFERROR(INDEX(Entries!$L$2:$L$50,ROW()-3),0))</f>
        <v/>
      </c>
      <c r="L31" s="29" t="str">
        <f t="shared" si="2"/>
        <v/>
      </c>
      <c r="M31" s="29" t="str">
        <f t="array" ref="M31">IF(I31="","",INDEX(Entries!$F$2:$F$51,ROW()-3)&amp;",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  <c r="N31" s="29">
        <f t="shared" si="1"/>
        <v>999999999</v>
      </c>
      <c r="O31" s="3"/>
      <c r="P31" s="3"/>
      <c r="Q31" s="3"/>
      <c r="R31" s="3"/>
      <c r="S31" s="3"/>
    </row>
    <row r="32" ht="15.75" customHeight="1">
      <c r="A32" s="3"/>
      <c r="B32" s="31" t="str">
        <f>IFERROR(__xludf.DUMMYFUNCTION("""COMPUTED_VALUE"""),"")</f>
        <v/>
      </c>
      <c r="C32" s="31" t="str">
        <f>IFERROR(__xludf.DUMMYFUNCTION("""COMPUTED_VALUE"""),"")</f>
        <v/>
      </c>
      <c r="D32" s="32" t="str">
        <f>IFERROR(__xludf.DUMMYFUNCTION("""COMPUTED_VALUE"""),"")</f>
        <v/>
      </c>
      <c r="E32" s="32" t="str">
        <f>IFERROR(__xludf.DUMMYFUNCTION("""COMPUTED_VALUE"""),"")</f>
        <v/>
      </c>
      <c r="F32" s="29" t="str">
        <f>IFERROR(__xludf.DUMMYFUNCTION("""COMPUTED_VALUE"""),"")</f>
        <v/>
      </c>
      <c r="G32" s="29" t="str">
        <f>IFERROR(__xludf.DUMMYFUNCTION("""COMPUTED_VALUE"""),"")</f>
        <v/>
      </c>
      <c r="H32" s="3"/>
      <c r="I32" s="29" t="str">
        <f t="array" ref="I32">IFERROR(INDEX(Entries!$E$2:$E$50,ROW()-3)&amp;"","")</f>
        <v/>
      </c>
      <c r="J32" s="29" t="str">
        <f>IF(I32="","",SUMIF('Team Scores'!$O$2:$O$401,I32,'Team Scores'!$AA$2:$AA$401))</f>
        <v/>
      </c>
      <c r="K32" s="29" t="str">
        <f t="array" ref="K32">IF(I32="","",IFERROR(INDEX(Entries!$L$2:$L$50,ROW()-3),0))</f>
        <v/>
      </c>
      <c r="L32" s="29" t="str">
        <f t="shared" si="2"/>
        <v/>
      </c>
      <c r="M32" s="29" t="str">
        <f t="array" ref="M32">IF(I32="","",INDEX(Entries!$F$2:$F$51,ROW()-3)&amp;",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  <c r="N32" s="29">
        <f t="shared" si="1"/>
        <v>999999999</v>
      </c>
      <c r="O32" s="3"/>
      <c r="P32" s="3"/>
      <c r="Q32" s="3"/>
      <c r="R32" s="3"/>
      <c r="S32" s="3"/>
    </row>
    <row r="33" ht="15.75" customHeight="1">
      <c r="A33" s="3"/>
      <c r="B33" s="31" t="str">
        <f>IFERROR(__xludf.DUMMYFUNCTION("""COMPUTED_VALUE"""),"")</f>
        <v/>
      </c>
      <c r="C33" s="31" t="str">
        <f>IFERROR(__xludf.DUMMYFUNCTION("""COMPUTED_VALUE"""),"")</f>
        <v/>
      </c>
      <c r="D33" s="32" t="str">
        <f>IFERROR(__xludf.DUMMYFUNCTION("""COMPUTED_VALUE"""),"")</f>
        <v/>
      </c>
      <c r="E33" s="32" t="str">
        <f>IFERROR(__xludf.DUMMYFUNCTION("""COMPUTED_VALUE"""),"")</f>
        <v/>
      </c>
      <c r="F33" s="29" t="str">
        <f>IFERROR(__xludf.DUMMYFUNCTION("""COMPUTED_VALUE"""),"")</f>
        <v/>
      </c>
      <c r="G33" s="29" t="str">
        <f>IFERROR(__xludf.DUMMYFUNCTION("""COMPUTED_VALUE"""),"")</f>
        <v/>
      </c>
      <c r="H33" s="3"/>
      <c r="I33" s="29" t="str">
        <f t="array" ref="I33">IFERROR(INDEX(Entries!$E$2:$E$50,ROW()-3)&amp;"","")</f>
        <v/>
      </c>
      <c r="J33" s="29" t="str">
        <f>IF(I33="","",SUMIF('Team Scores'!$O$2:$O$401,I33,'Team Scores'!$AA$2:$AA$401))</f>
        <v/>
      </c>
      <c r="K33" s="29" t="str">
        <f t="array" ref="K33">IF(I33="","",IFERROR(INDEX(Entries!$L$2:$L$50,ROW()-3),0))</f>
        <v/>
      </c>
      <c r="L33" s="29" t="str">
        <f t="shared" si="2"/>
        <v/>
      </c>
      <c r="M33" s="29" t="str">
        <f t="array" ref="M33">IF(I33="","",INDEX(Entries!$F$2:$F$51,ROW()-3)&amp;",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/>
      </c>
      <c r="N33" s="29">
        <f t="shared" si="1"/>
        <v>999999999</v>
      </c>
      <c r="O33" s="3"/>
      <c r="P33" s="3"/>
      <c r="Q33" s="3"/>
      <c r="R33" s="3"/>
      <c r="S33" s="3"/>
    </row>
    <row r="34" ht="15.75" customHeight="1">
      <c r="A34" s="3"/>
      <c r="B34" s="31"/>
      <c r="C34" s="31"/>
      <c r="D34" s="32"/>
      <c r="E34" s="32"/>
      <c r="F34" s="29"/>
      <c r="G34" s="29"/>
      <c r="H34" s="3"/>
      <c r="I34" s="29"/>
      <c r="J34" s="29"/>
      <c r="K34" s="29"/>
      <c r="L34" s="29"/>
      <c r="M34" s="29"/>
      <c r="N34" s="29"/>
      <c r="O34" s="3"/>
      <c r="P34" s="3"/>
      <c r="Q34" s="3"/>
      <c r="R34" s="3"/>
      <c r="S34" s="3"/>
    </row>
    <row r="35" ht="15.75" customHeight="1">
      <c r="A35" s="3"/>
      <c r="B35" s="31"/>
      <c r="C35" s="31"/>
      <c r="D35" s="32"/>
      <c r="E35" s="32"/>
      <c r="F35" s="29"/>
      <c r="G35" s="29"/>
      <c r="H35" s="3"/>
      <c r="I35" s="29"/>
      <c r="J35" s="29"/>
      <c r="K35" s="29"/>
      <c r="L35" s="29"/>
      <c r="M35" s="29"/>
      <c r="N35" s="29"/>
      <c r="O35" s="3"/>
      <c r="P35" s="3"/>
      <c r="Q35" s="3"/>
      <c r="R35" s="3"/>
      <c r="S35" s="3"/>
    </row>
    <row r="36" ht="15.75" customHeight="1">
      <c r="A36" s="3"/>
      <c r="B36" s="31"/>
      <c r="C36" s="31"/>
      <c r="D36" s="32"/>
      <c r="E36" s="32"/>
      <c r="F36" s="29"/>
      <c r="G36" s="29"/>
      <c r="H36" s="3"/>
      <c r="I36" s="29"/>
      <c r="J36" s="29"/>
      <c r="K36" s="29"/>
      <c r="L36" s="29"/>
      <c r="M36" s="29"/>
      <c r="N36" s="29"/>
      <c r="O36" s="3"/>
      <c r="P36" s="3"/>
      <c r="Q36" s="3"/>
      <c r="R36" s="3"/>
      <c r="S36" s="3"/>
    </row>
    <row r="37" ht="15.75" customHeight="1">
      <c r="A37" s="3"/>
      <c r="B37" s="31"/>
      <c r="C37" s="31"/>
      <c r="D37" s="32"/>
      <c r="E37" s="32"/>
      <c r="F37" s="29"/>
      <c r="G37" s="29"/>
      <c r="H37" s="3"/>
      <c r="I37" s="29"/>
      <c r="J37" s="29"/>
      <c r="K37" s="29"/>
      <c r="L37" s="29"/>
      <c r="M37" s="29"/>
      <c r="N37" s="29"/>
      <c r="O37" s="3"/>
      <c r="P37" s="3"/>
      <c r="Q37" s="3"/>
      <c r="R37" s="3"/>
      <c r="S37" s="3"/>
    </row>
    <row r="38" ht="15.75" customHeight="1">
      <c r="A38" s="3"/>
      <c r="B38" s="31"/>
      <c r="C38" s="31"/>
      <c r="D38" s="32"/>
      <c r="E38" s="32"/>
      <c r="F38" s="29"/>
      <c r="G38" s="29"/>
      <c r="H38" s="3"/>
      <c r="I38" s="29"/>
      <c r="J38" s="29"/>
      <c r="K38" s="29"/>
      <c r="L38" s="29"/>
      <c r="M38" s="29"/>
      <c r="N38" s="29"/>
      <c r="O38" s="3"/>
      <c r="P38" s="3"/>
      <c r="Q38" s="3"/>
      <c r="R38" s="3"/>
      <c r="S38" s="3"/>
    </row>
    <row r="39" ht="15.75" customHeight="1">
      <c r="A39" s="3"/>
      <c r="B39" s="31"/>
      <c r="C39" s="31"/>
      <c r="D39" s="32"/>
      <c r="E39" s="32"/>
      <c r="F39" s="29"/>
      <c r="G39" s="29"/>
      <c r="H39" s="3"/>
      <c r="I39" s="29"/>
      <c r="J39" s="29"/>
      <c r="K39" s="29"/>
      <c r="L39" s="29"/>
      <c r="M39" s="29"/>
      <c r="N39" s="29"/>
      <c r="O39" s="3"/>
      <c r="P39" s="3"/>
      <c r="Q39" s="3"/>
      <c r="R39" s="3"/>
      <c r="S39" s="3"/>
    </row>
    <row r="40" ht="15.75" customHeight="1">
      <c r="A40" s="3"/>
      <c r="B40" s="31"/>
      <c r="C40" s="31"/>
      <c r="D40" s="32"/>
      <c r="E40" s="32"/>
      <c r="F40" s="29"/>
      <c r="G40" s="29"/>
      <c r="H40" s="3"/>
      <c r="I40" s="29"/>
      <c r="J40" s="29"/>
      <c r="K40" s="29"/>
      <c r="L40" s="29"/>
      <c r="M40" s="29"/>
      <c r="N40" s="29"/>
      <c r="O40" s="3"/>
      <c r="P40" s="3"/>
      <c r="Q40" s="3"/>
      <c r="R40" s="3"/>
      <c r="S40" s="3"/>
    </row>
    <row r="41" ht="15.75" customHeight="1">
      <c r="A41" s="3"/>
      <c r="B41" s="31"/>
      <c r="C41" s="31"/>
      <c r="D41" s="32"/>
      <c r="E41" s="32"/>
      <c r="F41" s="29"/>
      <c r="G41" s="29"/>
      <c r="H41" s="3"/>
      <c r="I41" s="29"/>
      <c r="J41" s="29"/>
      <c r="K41" s="29"/>
      <c r="L41" s="29"/>
      <c r="M41" s="29"/>
      <c r="N41" s="29"/>
      <c r="O41" s="3"/>
      <c r="P41" s="3"/>
      <c r="Q41" s="3"/>
      <c r="R41" s="3"/>
      <c r="S41" s="3"/>
    </row>
    <row r="42" ht="15.75" customHeight="1">
      <c r="A42" s="3"/>
      <c r="B42" s="31"/>
      <c r="C42" s="31"/>
      <c r="D42" s="32"/>
      <c r="E42" s="32"/>
      <c r="F42" s="29"/>
      <c r="G42" s="29"/>
      <c r="H42" s="3"/>
      <c r="I42" s="29"/>
      <c r="J42" s="29"/>
      <c r="K42" s="29"/>
      <c r="L42" s="29"/>
      <c r="M42" s="29"/>
      <c r="N42" s="29"/>
      <c r="O42" s="3"/>
      <c r="P42" s="3"/>
      <c r="Q42" s="3"/>
      <c r="R42" s="3"/>
      <c r="S42" s="3"/>
    </row>
    <row r="43" ht="15.75" customHeight="1">
      <c r="A43" s="3"/>
      <c r="B43" s="31"/>
      <c r="C43" s="31"/>
      <c r="D43" s="32"/>
      <c r="E43" s="32"/>
      <c r="F43" s="29"/>
      <c r="G43" s="29"/>
      <c r="H43" s="3"/>
      <c r="I43" s="29"/>
      <c r="J43" s="29"/>
      <c r="K43" s="29"/>
      <c r="L43" s="29"/>
      <c r="M43" s="29"/>
      <c r="N43" s="29"/>
      <c r="O43" s="3"/>
      <c r="P43" s="3"/>
      <c r="Q43" s="3"/>
      <c r="R43" s="3"/>
      <c r="S43" s="3"/>
    </row>
    <row r="44" ht="15.75" customHeight="1">
      <c r="A44" s="3"/>
      <c r="B44" s="31"/>
      <c r="C44" s="31"/>
      <c r="D44" s="32"/>
      <c r="E44" s="32"/>
      <c r="F44" s="29"/>
      <c r="G44" s="29"/>
      <c r="H44" s="3"/>
      <c r="I44" s="29"/>
      <c r="J44" s="29"/>
      <c r="K44" s="29"/>
      <c r="L44" s="29"/>
      <c r="M44" s="29"/>
      <c r="N44" s="29"/>
      <c r="O44" s="3"/>
      <c r="P44" s="3"/>
      <c r="Q44" s="3"/>
      <c r="R44" s="3"/>
      <c r="S44" s="3"/>
    </row>
    <row r="45" ht="15.75" customHeight="1">
      <c r="A45" s="3"/>
      <c r="B45" s="31"/>
      <c r="C45" s="31"/>
      <c r="D45" s="32"/>
      <c r="E45" s="32"/>
      <c r="F45" s="29"/>
      <c r="G45" s="29"/>
      <c r="H45" s="3"/>
      <c r="I45" s="29"/>
      <c r="J45" s="29"/>
      <c r="K45" s="29"/>
      <c r="L45" s="29"/>
      <c r="M45" s="29"/>
      <c r="N45" s="29"/>
      <c r="O45" s="3"/>
      <c r="P45" s="3"/>
      <c r="Q45" s="3"/>
      <c r="R45" s="3"/>
      <c r="S45" s="3"/>
    </row>
    <row r="46" ht="15.75" customHeight="1">
      <c r="A46" s="3"/>
      <c r="B46" s="31"/>
      <c r="C46" s="31"/>
      <c r="D46" s="32"/>
      <c r="E46" s="32"/>
      <c r="F46" s="29"/>
      <c r="G46" s="29"/>
      <c r="H46" s="3"/>
      <c r="I46" s="29"/>
      <c r="J46" s="29"/>
      <c r="K46" s="29"/>
      <c r="L46" s="29"/>
      <c r="M46" s="29"/>
      <c r="N46" s="29"/>
      <c r="O46" s="3"/>
      <c r="P46" s="3"/>
      <c r="Q46" s="3"/>
      <c r="R46" s="3"/>
      <c r="S46" s="3"/>
    </row>
    <row r="47" ht="15.75" customHeight="1">
      <c r="A47" s="3"/>
      <c r="B47" s="31"/>
      <c r="C47" s="31"/>
      <c r="D47" s="32"/>
      <c r="E47" s="32"/>
      <c r="F47" s="29"/>
      <c r="G47" s="29"/>
      <c r="H47" s="3"/>
      <c r="I47" s="29"/>
      <c r="J47" s="29"/>
      <c r="K47" s="29"/>
      <c r="L47" s="29"/>
      <c r="M47" s="29"/>
      <c r="N47" s="29"/>
      <c r="O47" s="3"/>
      <c r="P47" s="3"/>
      <c r="Q47" s="3"/>
      <c r="R47" s="3"/>
      <c r="S47" s="3"/>
    </row>
    <row r="48" ht="15.75" customHeight="1">
      <c r="A48" s="3"/>
      <c r="B48" s="31"/>
      <c r="C48" s="31"/>
      <c r="D48" s="32"/>
      <c r="E48" s="32"/>
      <c r="F48" s="29"/>
      <c r="G48" s="29"/>
      <c r="H48" s="3"/>
      <c r="I48" s="29"/>
      <c r="J48" s="29"/>
      <c r="K48" s="29"/>
      <c r="L48" s="29"/>
      <c r="M48" s="29"/>
      <c r="N48" s="29"/>
      <c r="O48" s="3"/>
      <c r="P48" s="3"/>
      <c r="Q48" s="3"/>
      <c r="R48" s="3"/>
      <c r="S48" s="3"/>
    </row>
    <row r="49" ht="15.75" customHeight="1">
      <c r="A49" s="3"/>
      <c r="B49" s="31"/>
      <c r="C49" s="31"/>
      <c r="D49" s="32"/>
      <c r="E49" s="32"/>
      <c r="F49" s="29"/>
      <c r="G49" s="29"/>
      <c r="H49" s="3"/>
      <c r="I49" s="29"/>
      <c r="J49" s="29"/>
      <c r="K49" s="29"/>
      <c r="L49" s="29"/>
      <c r="M49" s="29"/>
      <c r="N49" s="29"/>
      <c r="O49" s="3"/>
      <c r="P49" s="3"/>
      <c r="Q49" s="3"/>
      <c r="R49" s="3"/>
      <c r="S49" s="3"/>
    </row>
    <row r="50" ht="15.75" customHeight="1">
      <c r="A50" s="3"/>
      <c r="B50" s="31"/>
      <c r="C50" s="31"/>
      <c r="D50" s="32"/>
      <c r="E50" s="32"/>
      <c r="F50" s="29"/>
      <c r="G50" s="29"/>
      <c r="H50" s="3"/>
      <c r="I50" s="29"/>
      <c r="J50" s="29"/>
      <c r="K50" s="29"/>
      <c r="L50" s="29"/>
      <c r="M50" s="29"/>
      <c r="N50" s="29"/>
      <c r="O50" s="3"/>
      <c r="P50" s="3"/>
      <c r="Q50" s="3"/>
      <c r="R50" s="3"/>
      <c r="S50" s="3"/>
    </row>
    <row r="51" ht="15.75" customHeight="1">
      <c r="A51" s="3"/>
      <c r="B51" s="31"/>
      <c r="C51" s="31"/>
      <c r="D51" s="32"/>
      <c r="E51" s="32"/>
      <c r="F51" s="29"/>
      <c r="G51" s="29"/>
      <c r="H51" s="3"/>
      <c r="I51" s="29"/>
      <c r="J51" s="29"/>
      <c r="K51" s="29"/>
      <c r="L51" s="29"/>
      <c r="M51" s="29"/>
      <c r="N51" s="29"/>
      <c r="O51" s="3"/>
      <c r="P51" s="3"/>
      <c r="Q51" s="3"/>
      <c r="R51" s="3"/>
      <c r="S51" s="3"/>
    </row>
    <row r="52" ht="15.75" customHeight="1">
      <c r="A52" s="3"/>
      <c r="B52" s="31"/>
      <c r="C52" s="31"/>
      <c r="D52" s="32"/>
      <c r="E52" s="32"/>
      <c r="F52" s="29"/>
      <c r="G52" s="29"/>
      <c r="H52" s="3"/>
      <c r="I52" s="29"/>
      <c r="J52" s="29"/>
      <c r="K52" s="29"/>
      <c r="L52" s="29"/>
      <c r="M52" s="29"/>
      <c r="N52" s="29"/>
      <c r="O52" s="3"/>
      <c r="P52" s="3"/>
      <c r="Q52" s="3"/>
      <c r="R52" s="3"/>
      <c r="S52" s="3"/>
    </row>
    <row r="53" ht="15.75" customHeight="1">
      <c r="A53" s="3"/>
      <c r="B53" s="31"/>
      <c r="C53" s="31"/>
      <c r="D53" s="32"/>
      <c r="E53" s="32"/>
      <c r="F53" s="29"/>
      <c r="G53" s="29"/>
      <c r="H53" s="3"/>
      <c r="I53" s="29"/>
      <c r="J53" s="29"/>
      <c r="K53" s="29"/>
      <c r="L53" s="29"/>
      <c r="M53" s="29"/>
      <c r="N53" s="29"/>
      <c r="O53" s="3"/>
      <c r="P53" s="3"/>
      <c r="Q53" s="3"/>
      <c r="R53" s="3"/>
      <c r="S53" s="3"/>
    </row>
    <row r="54" ht="15.75" customHeight="1">
      <c r="A54" s="3"/>
      <c r="B54" s="31"/>
      <c r="C54" s="31"/>
      <c r="D54" s="32"/>
      <c r="E54" s="32"/>
      <c r="F54" s="29"/>
      <c r="G54" s="29"/>
      <c r="H54" s="3"/>
      <c r="I54" s="29"/>
      <c r="J54" s="29"/>
      <c r="K54" s="29"/>
      <c r="L54" s="29"/>
      <c r="M54" s="29"/>
      <c r="N54" s="29"/>
      <c r="O54" s="3"/>
      <c r="P54" s="3"/>
      <c r="Q54" s="3"/>
      <c r="R54" s="3"/>
      <c r="S54" s="3"/>
    </row>
    <row r="55" ht="15.75" customHeight="1">
      <c r="A55" s="3"/>
      <c r="B55" s="31"/>
      <c r="C55" s="31"/>
      <c r="D55" s="32"/>
      <c r="E55" s="32"/>
      <c r="F55" s="29"/>
      <c r="G55" s="29"/>
      <c r="H55" s="3"/>
      <c r="I55" s="29"/>
      <c r="J55" s="29"/>
      <c r="K55" s="29"/>
      <c r="L55" s="29"/>
      <c r="M55" s="29"/>
      <c r="N55" s="29"/>
      <c r="O55" s="3"/>
      <c r="P55" s="3"/>
      <c r="Q55" s="3"/>
      <c r="R55" s="3"/>
      <c r="S55" s="3"/>
    </row>
    <row r="56" ht="15.75" customHeight="1">
      <c r="A56" s="3"/>
      <c r="B56" s="31"/>
      <c r="C56" s="31"/>
      <c r="D56" s="32"/>
      <c r="E56" s="32"/>
      <c r="F56" s="29"/>
      <c r="G56" s="29"/>
      <c r="H56" s="3"/>
      <c r="I56" s="29"/>
      <c r="J56" s="29"/>
      <c r="K56" s="29"/>
      <c r="L56" s="29"/>
      <c r="M56" s="29"/>
      <c r="N56" s="29"/>
      <c r="O56" s="3"/>
      <c r="P56" s="3"/>
      <c r="Q56" s="3"/>
      <c r="R56" s="3"/>
      <c r="S56" s="3"/>
    </row>
    <row r="57" ht="15.75" customHeight="1">
      <c r="A57" s="3"/>
      <c r="B57" s="31"/>
      <c r="C57" s="31"/>
      <c r="D57" s="32"/>
      <c r="E57" s="32"/>
      <c r="F57" s="29"/>
      <c r="G57" s="29"/>
      <c r="H57" s="3"/>
      <c r="I57" s="29"/>
      <c r="J57" s="29"/>
      <c r="K57" s="29"/>
      <c r="L57" s="29"/>
      <c r="M57" s="29"/>
      <c r="N57" s="29"/>
      <c r="O57" s="3"/>
      <c r="P57" s="3"/>
      <c r="Q57" s="3"/>
      <c r="R57" s="3"/>
      <c r="S57" s="3"/>
    </row>
    <row r="58" ht="15.75" customHeight="1">
      <c r="A58" s="3"/>
      <c r="B58" s="31"/>
      <c r="C58" s="31"/>
      <c r="D58" s="32"/>
      <c r="E58" s="32"/>
      <c r="F58" s="29"/>
      <c r="G58" s="29"/>
      <c r="H58" s="3"/>
      <c r="I58" s="29"/>
      <c r="J58" s="29"/>
      <c r="K58" s="29"/>
      <c r="L58" s="29"/>
      <c r="M58" s="29"/>
      <c r="N58" s="29"/>
      <c r="O58" s="3"/>
      <c r="P58" s="3"/>
      <c r="Q58" s="3"/>
      <c r="R58" s="3"/>
      <c r="S58" s="3"/>
    </row>
    <row r="59" ht="15.75" customHeight="1">
      <c r="A59" s="3"/>
      <c r="B59" s="31"/>
      <c r="C59" s="31"/>
      <c r="D59" s="32"/>
      <c r="E59" s="32"/>
      <c r="F59" s="29"/>
      <c r="G59" s="29"/>
      <c r="H59" s="3"/>
      <c r="I59" s="29"/>
      <c r="J59" s="29"/>
      <c r="K59" s="29"/>
      <c r="L59" s="29"/>
      <c r="M59" s="29"/>
      <c r="N59" s="29"/>
      <c r="O59" s="3"/>
      <c r="P59" s="3"/>
      <c r="Q59" s="3"/>
      <c r="R59" s="3"/>
      <c r="S59" s="3"/>
    </row>
    <row r="60" ht="15.75" customHeight="1">
      <c r="A60" s="3"/>
      <c r="B60" s="31"/>
      <c r="C60" s="31"/>
      <c r="D60" s="32"/>
      <c r="E60" s="32"/>
      <c r="F60" s="29"/>
      <c r="G60" s="29"/>
      <c r="H60" s="3"/>
      <c r="I60" s="29"/>
      <c r="J60" s="29"/>
      <c r="K60" s="29"/>
      <c r="L60" s="29"/>
      <c r="M60" s="29"/>
      <c r="N60" s="29"/>
      <c r="O60" s="3"/>
      <c r="P60" s="3"/>
      <c r="Q60" s="3"/>
      <c r="R60" s="3"/>
      <c r="S60" s="3"/>
    </row>
    <row r="61" ht="15.75" customHeight="1">
      <c r="A61" s="3"/>
      <c r="B61" s="31"/>
      <c r="C61" s="31"/>
      <c r="D61" s="32"/>
      <c r="E61" s="32"/>
      <c r="F61" s="29"/>
      <c r="G61" s="29"/>
      <c r="H61" s="3"/>
      <c r="I61" s="29"/>
      <c r="J61" s="29"/>
      <c r="K61" s="29"/>
      <c r="L61" s="29"/>
      <c r="M61" s="29"/>
      <c r="N61" s="29"/>
      <c r="O61" s="3"/>
      <c r="P61" s="3"/>
      <c r="Q61" s="3"/>
      <c r="R61" s="3"/>
      <c r="S61" s="3"/>
    </row>
    <row r="62" ht="15.75" customHeight="1">
      <c r="A62" s="3"/>
      <c r="B62" s="31"/>
      <c r="C62" s="31"/>
      <c r="D62" s="32"/>
      <c r="E62" s="32"/>
      <c r="F62" s="29"/>
      <c r="G62" s="29"/>
      <c r="H62" s="3"/>
      <c r="I62" s="29"/>
      <c r="J62" s="29"/>
      <c r="K62" s="29"/>
      <c r="L62" s="29"/>
      <c r="M62" s="29"/>
      <c r="N62" s="29"/>
      <c r="O62" s="3"/>
      <c r="P62" s="3"/>
      <c r="Q62" s="3"/>
      <c r="R62" s="3"/>
      <c r="S62" s="3"/>
    </row>
    <row r="63" ht="15.75" customHeight="1">
      <c r="A63" s="3"/>
      <c r="B63" s="31"/>
      <c r="C63" s="31"/>
      <c r="D63" s="32"/>
      <c r="E63" s="32"/>
      <c r="F63" s="29"/>
      <c r="G63" s="29"/>
      <c r="H63" s="3"/>
      <c r="I63" s="29"/>
      <c r="J63" s="29"/>
      <c r="K63" s="29"/>
      <c r="L63" s="29"/>
      <c r="M63" s="29"/>
      <c r="N63" s="29"/>
      <c r="O63" s="3"/>
      <c r="P63" s="3"/>
      <c r="Q63" s="3"/>
      <c r="R63" s="3"/>
      <c r="S63" s="3"/>
    </row>
    <row r="64" ht="15.75" customHeight="1">
      <c r="A64" s="3"/>
      <c r="B64" s="31"/>
      <c r="C64" s="31"/>
      <c r="D64" s="32"/>
      <c r="E64" s="32"/>
      <c r="F64" s="29"/>
      <c r="G64" s="29"/>
      <c r="H64" s="3"/>
      <c r="I64" s="29"/>
      <c r="J64" s="29"/>
      <c r="K64" s="29"/>
      <c r="L64" s="29"/>
      <c r="M64" s="29"/>
      <c r="N64" s="29"/>
      <c r="O64" s="3"/>
      <c r="P64" s="3"/>
      <c r="Q64" s="3"/>
      <c r="R64" s="3"/>
      <c r="S64" s="3"/>
    </row>
    <row r="65" ht="15.75" customHeight="1">
      <c r="A65" s="3"/>
      <c r="B65" s="31"/>
      <c r="C65" s="31"/>
      <c r="D65" s="32"/>
      <c r="E65" s="32"/>
      <c r="F65" s="29"/>
      <c r="G65" s="29"/>
      <c r="H65" s="3"/>
      <c r="I65" s="29"/>
      <c r="J65" s="29"/>
      <c r="K65" s="29"/>
      <c r="L65" s="29"/>
      <c r="M65" s="29"/>
      <c r="N65" s="29"/>
      <c r="O65" s="3"/>
      <c r="P65" s="3"/>
      <c r="Q65" s="3"/>
      <c r="R65" s="3"/>
      <c r="S65" s="3"/>
    </row>
    <row r="66" ht="15.75" customHeight="1">
      <c r="A66" s="3"/>
      <c r="B66" s="31"/>
      <c r="C66" s="31"/>
      <c r="D66" s="32"/>
      <c r="E66" s="32"/>
      <c r="F66" s="29"/>
      <c r="G66" s="29"/>
      <c r="H66" s="3"/>
      <c r="I66" s="29"/>
      <c r="J66" s="29"/>
      <c r="K66" s="29"/>
      <c r="L66" s="29"/>
      <c r="M66" s="29"/>
      <c r="N66" s="29"/>
      <c r="O66" s="3"/>
      <c r="P66" s="3"/>
      <c r="Q66" s="3"/>
      <c r="R66" s="3"/>
      <c r="S66" s="3"/>
    </row>
    <row r="67" ht="15.75" customHeight="1">
      <c r="A67" s="3"/>
      <c r="B67" s="31"/>
      <c r="C67" s="31"/>
      <c r="D67" s="32"/>
      <c r="E67" s="32"/>
      <c r="F67" s="29"/>
      <c r="G67" s="29"/>
      <c r="H67" s="3"/>
      <c r="I67" s="29"/>
      <c r="J67" s="29"/>
      <c r="K67" s="29"/>
      <c r="L67" s="29"/>
      <c r="M67" s="29"/>
      <c r="N67" s="29"/>
      <c r="O67" s="3"/>
      <c r="P67" s="3"/>
      <c r="Q67" s="3"/>
      <c r="R67" s="3"/>
      <c r="S67" s="3"/>
    </row>
    <row r="68" ht="15.75" customHeight="1">
      <c r="A68" s="3"/>
      <c r="B68" s="31"/>
      <c r="C68" s="31"/>
      <c r="D68" s="32"/>
      <c r="E68" s="32"/>
      <c r="F68" s="29"/>
      <c r="G68" s="29"/>
      <c r="H68" s="3"/>
      <c r="I68" s="29"/>
      <c r="J68" s="29"/>
      <c r="K68" s="29"/>
      <c r="L68" s="29"/>
      <c r="M68" s="29"/>
      <c r="N68" s="29"/>
      <c r="O68" s="3"/>
      <c r="P68" s="3"/>
      <c r="Q68" s="3"/>
      <c r="R68" s="3"/>
      <c r="S68" s="3"/>
    </row>
    <row r="69" ht="15.75" customHeight="1">
      <c r="A69" s="3"/>
      <c r="B69" s="31"/>
      <c r="C69" s="31"/>
      <c r="D69" s="32"/>
      <c r="E69" s="32"/>
      <c r="F69" s="29"/>
      <c r="G69" s="29"/>
      <c r="H69" s="3"/>
      <c r="I69" s="29"/>
      <c r="J69" s="29"/>
      <c r="K69" s="29"/>
      <c r="L69" s="29"/>
      <c r="M69" s="29"/>
      <c r="N69" s="29"/>
      <c r="O69" s="3"/>
      <c r="P69" s="3"/>
      <c r="Q69" s="3"/>
      <c r="R69" s="3"/>
      <c r="S69" s="3"/>
    </row>
    <row r="70" ht="15.75" customHeight="1">
      <c r="A70" s="3"/>
      <c r="B70" s="31"/>
      <c r="C70" s="31"/>
      <c r="D70" s="32"/>
      <c r="E70" s="32"/>
      <c r="F70" s="29"/>
      <c r="G70" s="29"/>
      <c r="H70" s="3"/>
      <c r="I70" s="29"/>
      <c r="J70" s="29"/>
      <c r="K70" s="29"/>
      <c r="L70" s="29"/>
      <c r="M70" s="29"/>
      <c r="N70" s="29"/>
      <c r="O70" s="3"/>
      <c r="P70" s="3"/>
      <c r="Q70" s="3"/>
      <c r="R70" s="3"/>
      <c r="S70" s="3"/>
    </row>
    <row r="71" ht="15.75" customHeight="1">
      <c r="A71" s="3"/>
      <c r="B71" s="31"/>
      <c r="C71" s="31"/>
      <c r="D71" s="32"/>
      <c r="E71" s="32"/>
      <c r="F71" s="29"/>
      <c r="G71" s="29"/>
      <c r="H71" s="3"/>
      <c r="I71" s="29"/>
      <c r="J71" s="29"/>
      <c r="K71" s="29"/>
      <c r="L71" s="29"/>
      <c r="M71" s="29"/>
      <c r="N71" s="29"/>
      <c r="O71" s="3"/>
      <c r="P71" s="3"/>
      <c r="Q71" s="3"/>
      <c r="R71" s="3"/>
      <c r="S71" s="3"/>
    </row>
    <row r="72" ht="15.75" customHeight="1">
      <c r="A72" s="3"/>
      <c r="B72" s="31"/>
      <c r="C72" s="31"/>
      <c r="D72" s="32"/>
      <c r="E72" s="32"/>
      <c r="F72" s="29"/>
      <c r="G72" s="29"/>
      <c r="H72" s="3"/>
      <c r="I72" s="29"/>
      <c r="J72" s="29"/>
      <c r="K72" s="29"/>
      <c r="L72" s="29"/>
      <c r="M72" s="29"/>
      <c r="N72" s="29"/>
      <c r="O72" s="3"/>
      <c r="P72" s="3"/>
      <c r="Q72" s="3"/>
      <c r="R72" s="3"/>
      <c r="S72" s="3"/>
    </row>
    <row r="73" ht="15.75" customHeight="1">
      <c r="A73" s="3"/>
      <c r="B73" s="31"/>
      <c r="C73" s="31"/>
      <c r="D73" s="32"/>
      <c r="E73" s="32"/>
      <c r="F73" s="29"/>
      <c r="G73" s="29"/>
      <c r="H73" s="3"/>
      <c r="I73" s="29"/>
      <c r="J73" s="29"/>
      <c r="K73" s="29"/>
      <c r="L73" s="29"/>
      <c r="M73" s="29"/>
      <c r="N73" s="29"/>
      <c r="O73" s="3"/>
      <c r="P73" s="3"/>
      <c r="Q73" s="3"/>
      <c r="R73" s="3"/>
      <c r="S73" s="3"/>
    </row>
    <row r="74" ht="15.75" customHeight="1">
      <c r="A74" s="3"/>
      <c r="B74" s="31"/>
      <c r="C74" s="31"/>
      <c r="D74" s="32"/>
      <c r="E74" s="32"/>
      <c r="F74" s="29"/>
      <c r="G74" s="29"/>
      <c r="H74" s="3"/>
      <c r="I74" s="29"/>
      <c r="J74" s="29"/>
      <c r="K74" s="29"/>
      <c r="L74" s="29"/>
      <c r="M74" s="29"/>
      <c r="N74" s="29"/>
      <c r="O74" s="3"/>
      <c r="P74" s="3"/>
      <c r="Q74" s="3"/>
      <c r="R74" s="3"/>
      <c r="S74" s="3"/>
    </row>
    <row r="75" ht="15.75" customHeight="1">
      <c r="A75" s="3"/>
      <c r="B75" s="31"/>
      <c r="C75" s="31"/>
      <c r="D75" s="32"/>
      <c r="E75" s="32"/>
      <c r="F75" s="29"/>
      <c r="G75" s="29"/>
      <c r="H75" s="3"/>
      <c r="I75" s="29"/>
      <c r="J75" s="29"/>
      <c r="K75" s="29"/>
      <c r="L75" s="29"/>
      <c r="M75" s="29"/>
      <c r="N75" s="29"/>
      <c r="O75" s="3"/>
      <c r="P75" s="3"/>
      <c r="Q75" s="3"/>
      <c r="R75" s="3"/>
      <c r="S75" s="3"/>
    </row>
    <row r="76" ht="15.75" customHeight="1">
      <c r="A76" s="3"/>
      <c r="B76" s="31"/>
      <c r="C76" s="31"/>
      <c r="D76" s="32"/>
      <c r="E76" s="32"/>
      <c r="F76" s="29"/>
      <c r="G76" s="29"/>
      <c r="H76" s="3"/>
      <c r="I76" s="29"/>
      <c r="J76" s="29"/>
      <c r="K76" s="29"/>
      <c r="L76" s="29"/>
      <c r="M76" s="29"/>
      <c r="N76" s="29"/>
      <c r="O76" s="3"/>
      <c r="P76" s="3"/>
      <c r="Q76" s="3"/>
      <c r="R76" s="3"/>
      <c r="S76" s="3"/>
    </row>
    <row r="77" ht="15.75" customHeight="1">
      <c r="A77" s="3"/>
      <c r="B77" s="31"/>
      <c r="C77" s="31"/>
      <c r="D77" s="32"/>
      <c r="E77" s="32"/>
      <c r="F77" s="29"/>
      <c r="G77" s="29"/>
      <c r="H77" s="3"/>
      <c r="I77" s="29"/>
      <c r="J77" s="29"/>
      <c r="K77" s="29"/>
      <c r="L77" s="29"/>
      <c r="M77" s="29"/>
      <c r="N77" s="29"/>
      <c r="O77" s="3"/>
      <c r="P77" s="3"/>
      <c r="Q77" s="3"/>
      <c r="R77" s="3"/>
      <c r="S77" s="3"/>
    </row>
    <row r="78" ht="15.75" customHeight="1">
      <c r="A78" s="3"/>
      <c r="B78" s="31"/>
      <c r="C78" s="31"/>
      <c r="D78" s="32"/>
      <c r="E78" s="32"/>
      <c r="F78" s="29"/>
      <c r="G78" s="29"/>
      <c r="H78" s="3"/>
      <c r="I78" s="29"/>
      <c r="J78" s="29"/>
      <c r="K78" s="29"/>
      <c r="L78" s="29"/>
      <c r="M78" s="29"/>
      <c r="N78" s="29"/>
      <c r="O78" s="3"/>
      <c r="P78" s="3"/>
      <c r="Q78" s="3"/>
      <c r="R78" s="3"/>
      <c r="S78" s="3"/>
    </row>
    <row r="79" ht="15.75" customHeight="1">
      <c r="A79" s="3"/>
      <c r="B79" s="31"/>
      <c r="C79" s="31"/>
      <c r="D79" s="32"/>
      <c r="E79" s="32"/>
      <c r="F79" s="29"/>
      <c r="G79" s="29"/>
      <c r="H79" s="3"/>
      <c r="I79" s="29"/>
      <c r="J79" s="29"/>
      <c r="K79" s="29"/>
      <c r="L79" s="29"/>
      <c r="M79" s="29"/>
      <c r="N79" s="29"/>
      <c r="O79" s="3"/>
      <c r="P79" s="3"/>
      <c r="Q79" s="3"/>
      <c r="R79" s="3"/>
      <c r="S79" s="3"/>
    </row>
    <row r="80" ht="15.75" customHeight="1">
      <c r="A80" s="3"/>
      <c r="B80" s="31"/>
      <c r="C80" s="31"/>
      <c r="D80" s="32"/>
      <c r="E80" s="32"/>
      <c r="F80" s="29"/>
      <c r="G80" s="29"/>
      <c r="H80" s="3"/>
      <c r="I80" s="29"/>
      <c r="J80" s="29"/>
      <c r="K80" s="29"/>
      <c r="L80" s="29"/>
      <c r="M80" s="29"/>
      <c r="N80" s="29"/>
      <c r="O80" s="3"/>
      <c r="P80" s="3"/>
      <c r="Q80" s="3"/>
      <c r="R80" s="3"/>
      <c r="S80" s="3"/>
    </row>
    <row r="81" ht="15.75" customHeight="1">
      <c r="A81" s="3"/>
      <c r="B81" s="31"/>
      <c r="C81" s="31"/>
      <c r="D81" s="32"/>
      <c r="E81" s="32"/>
      <c r="F81" s="29"/>
      <c r="G81" s="29"/>
      <c r="H81" s="3"/>
      <c r="I81" s="29"/>
      <c r="J81" s="29"/>
      <c r="K81" s="29"/>
      <c r="L81" s="29"/>
      <c r="M81" s="29"/>
      <c r="N81" s="29"/>
      <c r="O81" s="3"/>
      <c r="P81" s="3"/>
      <c r="Q81" s="3"/>
      <c r="R81" s="3"/>
      <c r="S81" s="3"/>
    </row>
    <row r="82" ht="15.75" customHeight="1">
      <c r="A82" s="3"/>
      <c r="B82" s="31"/>
      <c r="C82" s="31"/>
      <c r="D82" s="32"/>
      <c r="E82" s="32"/>
      <c r="F82" s="29"/>
      <c r="G82" s="29"/>
      <c r="H82" s="3"/>
      <c r="I82" s="29"/>
      <c r="J82" s="29"/>
      <c r="K82" s="29"/>
      <c r="L82" s="29"/>
      <c r="M82" s="29"/>
      <c r="N82" s="29"/>
      <c r="O82" s="3"/>
      <c r="P82" s="3"/>
      <c r="Q82" s="3"/>
      <c r="R82" s="3"/>
      <c r="S82" s="3"/>
    </row>
    <row r="83" ht="15.75" customHeight="1">
      <c r="A83" s="3"/>
      <c r="B83" s="31"/>
      <c r="C83" s="31"/>
      <c r="D83" s="32"/>
      <c r="E83" s="32"/>
      <c r="F83" s="29"/>
      <c r="G83" s="29"/>
      <c r="H83" s="3"/>
      <c r="I83" s="29"/>
      <c r="J83" s="29"/>
      <c r="K83" s="29"/>
      <c r="L83" s="29"/>
      <c r="M83" s="29"/>
      <c r="N83" s="29"/>
      <c r="O83" s="3"/>
      <c r="P83" s="3"/>
      <c r="Q83" s="3"/>
      <c r="R83" s="3"/>
      <c r="S83" s="3"/>
    </row>
    <row r="84" ht="15.75" customHeight="1">
      <c r="A84" s="3"/>
      <c r="B84" s="31"/>
      <c r="C84" s="31"/>
      <c r="D84" s="32"/>
      <c r="E84" s="32"/>
      <c r="F84" s="29"/>
      <c r="G84" s="29"/>
      <c r="H84" s="3"/>
      <c r="I84" s="29"/>
      <c r="J84" s="29"/>
      <c r="K84" s="29"/>
      <c r="L84" s="29"/>
      <c r="M84" s="29"/>
      <c r="N84" s="29"/>
      <c r="O84" s="3"/>
      <c r="P84" s="3"/>
      <c r="Q84" s="3"/>
      <c r="R84" s="3"/>
      <c r="S84" s="3"/>
    </row>
    <row r="85" ht="15.75" customHeight="1">
      <c r="A85" s="3"/>
      <c r="B85" s="31"/>
      <c r="C85" s="31"/>
      <c r="D85" s="32"/>
      <c r="E85" s="32"/>
      <c r="F85" s="29"/>
      <c r="G85" s="29"/>
      <c r="H85" s="3"/>
      <c r="I85" s="29"/>
      <c r="J85" s="29"/>
      <c r="K85" s="29"/>
      <c r="L85" s="29"/>
      <c r="M85" s="29"/>
      <c r="N85" s="29"/>
      <c r="O85" s="3"/>
      <c r="P85" s="3"/>
      <c r="Q85" s="3"/>
      <c r="R85" s="3"/>
      <c r="S85" s="3"/>
    </row>
    <row r="86" ht="15.75" customHeight="1">
      <c r="A86" s="3"/>
      <c r="B86" s="31"/>
      <c r="C86" s="31"/>
      <c r="D86" s="32"/>
      <c r="E86" s="32"/>
      <c r="F86" s="29"/>
      <c r="G86" s="29"/>
      <c r="H86" s="3"/>
      <c r="I86" s="29"/>
      <c r="J86" s="29"/>
      <c r="K86" s="29"/>
      <c r="L86" s="29"/>
      <c r="M86" s="29"/>
      <c r="N86" s="29"/>
      <c r="O86" s="3"/>
      <c r="P86" s="3"/>
      <c r="Q86" s="3"/>
      <c r="R86" s="3"/>
      <c r="S86" s="3"/>
    </row>
    <row r="87" ht="15.75" customHeight="1">
      <c r="A87" s="3"/>
      <c r="B87" s="31"/>
      <c r="C87" s="31"/>
      <c r="D87" s="32"/>
      <c r="E87" s="32"/>
      <c r="F87" s="29"/>
      <c r="G87" s="29"/>
      <c r="H87" s="3"/>
      <c r="I87" s="29"/>
      <c r="J87" s="29"/>
      <c r="K87" s="29"/>
      <c r="L87" s="29"/>
      <c r="M87" s="29"/>
      <c r="N87" s="29"/>
      <c r="O87" s="3"/>
      <c r="P87" s="3"/>
      <c r="Q87" s="3"/>
      <c r="R87" s="3"/>
      <c r="S87" s="3"/>
    </row>
    <row r="88" ht="15.75" customHeight="1">
      <c r="A88" s="3"/>
      <c r="B88" s="31"/>
      <c r="C88" s="31"/>
      <c r="D88" s="32"/>
      <c r="E88" s="32"/>
      <c r="F88" s="29"/>
      <c r="G88" s="29"/>
      <c r="H88" s="3"/>
      <c r="I88" s="29"/>
      <c r="J88" s="29"/>
      <c r="K88" s="29"/>
      <c r="L88" s="29"/>
      <c r="M88" s="29"/>
      <c r="N88" s="29"/>
      <c r="O88" s="3"/>
      <c r="P88" s="3"/>
      <c r="Q88" s="3"/>
      <c r="R88" s="3"/>
      <c r="S88" s="3"/>
    </row>
    <row r="89" ht="15.75" customHeight="1">
      <c r="A89" s="3"/>
      <c r="B89" s="31"/>
      <c r="C89" s="31"/>
      <c r="D89" s="32"/>
      <c r="E89" s="32"/>
      <c r="F89" s="29"/>
      <c r="G89" s="29"/>
      <c r="H89" s="3"/>
      <c r="I89" s="29"/>
      <c r="J89" s="29"/>
      <c r="K89" s="29"/>
      <c r="L89" s="29"/>
      <c r="M89" s="29"/>
      <c r="N89" s="29"/>
      <c r="O89" s="3"/>
      <c r="P89" s="3"/>
      <c r="Q89" s="3"/>
      <c r="R89" s="3"/>
      <c r="S89" s="3"/>
    </row>
    <row r="90" ht="15.75" customHeight="1">
      <c r="A90" s="3"/>
      <c r="B90" s="31"/>
      <c r="C90" s="31"/>
      <c r="D90" s="32"/>
      <c r="E90" s="32"/>
      <c r="F90" s="29"/>
      <c r="G90" s="29"/>
      <c r="H90" s="3"/>
      <c r="I90" s="29"/>
      <c r="J90" s="29"/>
      <c r="K90" s="29"/>
      <c r="L90" s="29"/>
      <c r="M90" s="29"/>
      <c r="N90" s="29"/>
      <c r="O90" s="3"/>
      <c r="P90" s="3"/>
      <c r="Q90" s="3"/>
      <c r="R90" s="3"/>
      <c r="S90" s="3"/>
    </row>
    <row r="91" ht="15.75" customHeight="1">
      <c r="A91" s="3"/>
      <c r="B91" s="31"/>
      <c r="C91" s="31"/>
      <c r="D91" s="32"/>
      <c r="E91" s="32"/>
      <c r="F91" s="29"/>
      <c r="G91" s="29"/>
      <c r="H91" s="3"/>
      <c r="I91" s="29"/>
      <c r="J91" s="29"/>
      <c r="K91" s="29"/>
      <c r="L91" s="29"/>
      <c r="M91" s="29"/>
      <c r="N91" s="29"/>
      <c r="O91" s="3"/>
      <c r="P91" s="3"/>
      <c r="Q91" s="3"/>
      <c r="R91" s="3"/>
      <c r="S91" s="3"/>
    </row>
    <row r="92" ht="15.75" customHeight="1">
      <c r="A92" s="3"/>
      <c r="B92" s="31"/>
      <c r="C92" s="31"/>
      <c r="D92" s="32"/>
      <c r="E92" s="32"/>
      <c r="F92" s="29"/>
      <c r="G92" s="29"/>
      <c r="H92" s="3"/>
      <c r="I92" s="29"/>
      <c r="J92" s="29"/>
      <c r="K92" s="29"/>
      <c r="L92" s="29"/>
      <c r="M92" s="29"/>
      <c r="N92" s="29"/>
      <c r="O92" s="3"/>
      <c r="P92" s="3"/>
      <c r="Q92" s="3"/>
      <c r="R92" s="3"/>
      <c r="S92" s="3"/>
    </row>
    <row r="93" ht="15.75" customHeight="1">
      <c r="A93" s="3"/>
      <c r="B93" s="31"/>
      <c r="C93" s="31"/>
      <c r="D93" s="32"/>
      <c r="E93" s="32"/>
      <c r="F93" s="29"/>
      <c r="G93" s="29"/>
      <c r="H93" s="3"/>
      <c r="I93" s="29"/>
      <c r="J93" s="29"/>
      <c r="K93" s="29"/>
      <c r="L93" s="29"/>
      <c r="M93" s="29"/>
      <c r="N93" s="29"/>
      <c r="O93" s="3"/>
      <c r="P93" s="3"/>
      <c r="Q93" s="3"/>
      <c r="R93" s="3"/>
      <c r="S93" s="3"/>
    </row>
    <row r="94" ht="15.75" customHeight="1">
      <c r="A94" s="3"/>
      <c r="B94" s="31"/>
      <c r="C94" s="31"/>
      <c r="D94" s="32"/>
      <c r="E94" s="32"/>
      <c r="F94" s="29"/>
      <c r="G94" s="29"/>
      <c r="H94" s="3"/>
      <c r="I94" s="29"/>
      <c r="J94" s="29"/>
      <c r="K94" s="29"/>
      <c r="L94" s="29"/>
      <c r="M94" s="29"/>
      <c r="N94" s="29"/>
      <c r="O94" s="3"/>
      <c r="P94" s="3"/>
      <c r="Q94" s="3"/>
      <c r="R94" s="3"/>
      <c r="S94" s="3"/>
    </row>
    <row r="95" ht="15.75" customHeight="1">
      <c r="A95" s="3"/>
      <c r="B95" s="31"/>
      <c r="C95" s="31"/>
      <c r="D95" s="32"/>
      <c r="E95" s="32"/>
      <c r="F95" s="29"/>
      <c r="G95" s="29"/>
      <c r="H95" s="3"/>
      <c r="I95" s="29"/>
      <c r="J95" s="29"/>
      <c r="K95" s="29"/>
      <c r="L95" s="29"/>
      <c r="M95" s="29"/>
      <c r="N95" s="29"/>
      <c r="O95" s="3"/>
      <c r="P95" s="3"/>
      <c r="Q95" s="3"/>
      <c r="R95" s="3"/>
      <c r="S95" s="3"/>
    </row>
    <row r="96" ht="15.75" customHeight="1">
      <c r="A96" s="3"/>
      <c r="B96" s="31"/>
      <c r="C96" s="31"/>
      <c r="D96" s="32"/>
      <c r="E96" s="32"/>
      <c r="F96" s="29"/>
      <c r="G96" s="29"/>
      <c r="H96" s="3"/>
      <c r="I96" s="29"/>
      <c r="J96" s="29"/>
      <c r="K96" s="29"/>
      <c r="L96" s="29"/>
      <c r="M96" s="29"/>
      <c r="N96" s="29"/>
      <c r="O96" s="3"/>
      <c r="P96" s="3"/>
      <c r="Q96" s="3"/>
      <c r="R96" s="3"/>
      <c r="S96" s="3"/>
    </row>
    <row r="97" ht="15.75" customHeight="1">
      <c r="A97" s="3"/>
      <c r="B97" s="31"/>
      <c r="C97" s="31"/>
      <c r="D97" s="32"/>
      <c r="E97" s="32"/>
      <c r="F97" s="29"/>
      <c r="G97" s="29"/>
      <c r="H97" s="3"/>
      <c r="I97" s="29"/>
      <c r="J97" s="29"/>
      <c r="K97" s="29"/>
      <c r="L97" s="29"/>
      <c r="M97" s="29"/>
      <c r="N97" s="29"/>
      <c r="O97" s="3"/>
      <c r="P97" s="3"/>
      <c r="Q97" s="3"/>
      <c r="R97" s="3"/>
      <c r="S97" s="3"/>
    </row>
    <row r="98" ht="15.75" customHeight="1">
      <c r="A98" s="3"/>
      <c r="B98" s="31"/>
      <c r="C98" s="31"/>
      <c r="D98" s="32"/>
      <c r="E98" s="32"/>
      <c r="F98" s="29"/>
      <c r="G98" s="29"/>
      <c r="H98" s="3"/>
      <c r="I98" s="29"/>
      <c r="J98" s="29"/>
      <c r="K98" s="29"/>
      <c r="L98" s="29"/>
      <c r="M98" s="29"/>
      <c r="N98" s="29"/>
      <c r="O98" s="3"/>
      <c r="P98" s="3"/>
      <c r="Q98" s="3"/>
      <c r="R98" s="3"/>
      <c r="S98" s="3"/>
    </row>
    <row r="99" ht="15.75" customHeight="1">
      <c r="A99" s="3"/>
      <c r="B99" s="31"/>
      <c r="C99" s="31"/>
      <c r="D99" s="32"/>
      <c r="E99" s="32"/>
      <c r="F99" s="29"/>
      <c r="G99" s="29"/>
      <c r="H99" s="3"/>
      <c r="I99" s="29"/>
      <c r="J99" s="29"/>
      <c r="K99" s="29"/>
      <c r="L99" s="29"/>
      <c r="M99" s="29"/>
      <c r="N99" s="29"/>
      <c r="O99" s="3"/>
      <c r="P99" s="3"/>
      <c r="Q99" s="3"/>
      <c r="R99" s="3"/>
      <c r="S99" s="3"/>
    </row>
    <row r="100" ht="15.75" customHeight="1">
      <c r="A100" s="3"/>
      <c r="B100" s="31"/>
      <c r="C100" s="31"/>
      <c r="D100" s="32"/>
      <c r="E100" s="32"/>
      <c r="F100" s="29"/>
      <c r="G100" s="29"/>
      <c r="H100" s="3"/>
      <c r="I100" s="29"/>
      <c r="J100" s="29"/>
      <c r="K100" s="29"/>
      <c r="L100" s="29"/>
      <c r="M100" s="29"/>
      <c r="N100" s="29"/>
      <c r="O100" s="3"/>
      <c r="P100" s="3"/>
      <c r="Q100" s="3"/>
      <c r="R100" s="3"/>
      <c r="S100" s="3"/>
    </row>
    <row r="101" ht="15.75" customHeight="1">
      <c r="A101" s="3"/>
      <c r="B101" s="31"/>
      <c r="C101" s="31"/>
      <c r="D101" s="32"/>
      <c r="E101" s="32"/>
      <c r="F101" s="29"/>
      <c r="G101" s="29"/>
      <c r="H101" s="3"/>
      <c r="I101" s="29"/>
      <c r="J101" s="29"/>
      <c r="K101" s="29"/>
      <c r="L101" s="29"/>
      <c r="M101" s="29"/>
      <c r="N101" s="29"/>
      <c r="O101" s="3"/>
      <c r="P101" s="3"/>
      <c r="Q101" s="3"/>
      <c r="R101" s="3"/>
      <c r="S101" s="3"/>
    </row>
    <row r="102" ht="15.75" customHeight="1">
      <c r="A102" s="3"/>
      <c r="B102" s="31"/>
      <c r="C102" s="31"/>
      <c r="D102" s="32"/>
      <c r="E102" s="32"/>
      <c r="F102" s="29"/>
      <c r="G102" s="29"/>
      <c r="H102" s="3"/>
      <c r="I102" s="29"/>
      <c r="J102" s="29"/>
      <c r="K102" s="29"/>
      <c r="L102" s="29"/>
      <c r="M102" s="29"/>
      <c r="N102" s="29"/>
      <c r="O102" s="3"/>
      <c r="P102" s="3"/>
      <c r="Q102" s="3"/>
      <c r="R102" s="3"/>
      <c r="S102" s="3"/>
    </row>
    <row r="103" ht="15.75" customHeight="1">
      <c r="A103" s="3"/>
      <c r="B103" s="31"/>
      <c r="C103" s="31"/>
      <c r="D103" s="32"/>
      <c r="E103" s="32"/>
      <c r="F103" s="29"/>
      <c r="G103" s="29"/>
      <c r="H103" s="3"/>
      <c r="I103" s="29"/>
      <c r="J103" s="29"/>
      <c r="K103" s="29"/>
      <c r="L103" s="29"/>
      <c r="M103" s="29"/>
      <c r="N103" s="29"/>
      <c r="O103" s="3"/>
      <c r="P103" s="3"/>
      <c r="Q103" s="3"/>
      <c r="R103" s="3"/>
      <c r="S103" s="3"/>
    </row>
    <row r="104" ht="15.75" customHeight="1">
      <c r="A104" s="3"/>
      <c r="B104" s="31"/>
      <c r="C104" s="31"/>
      <c r="D104" s="32"/>
      <c r="E104" s="32"/>
      <c r="F104" s="29"/>
      <c r="G104" s="29"/>
      <c r="H104" s="3"/>
      <c r="I104" s="29"/>
      <c r="J104" s="29"/>
      <c r="K104" s="29"/>
      <c r="L104" s="29"/>
      <c r="M104" s="29"/>
      <c r="N104" s="29"/>
      <c r="O104" s="3"/>
      <c r="P104" s="3"/>
      <c r="Q104" s="3"/>
      <c r="R104" s="3"/>
      <c r="S104" s="3"/>
    </row>
    <row r="105" ht="15.75" customHeight="1">
      <c r="A105" s="3"/>
      <c r="B105" s="31"/>
      <c r="C105" s="31"/>
      <c r="D105" s="32"/>
      <c r="E105" s="32"/>
      <c r="F105" s="29"/>
      <c r="G105" s="29"/>
      <c r="H105" s="3"/>
      <c r="I105" s="29"/>
      <c r="J105" s="29"/>
      <c r="K105" s="29"/>
      <c r="L105" s="29"/>
      <c r="M105" s="29"/>
      <c r="N105" s="29"/>
      <c r="O105" s="3"/>
      <c r="P105" s="3"/>
      <c r="Q105" s="3"/>
      <c r="R105" s="3"/>
      <c r="S105" s="3"/>
    </row>
    <row r="106" ht="15.75" customHeight="1">
      <c r="A106" s="3"/>
      <c r="B106" s="31"/>
      <c r="C106" s="31"/>
      <c r="D106" s="32"/>
      <c r="E106" s="32"/>
      <c r="F106" s="29"/>
      <c r="G106" s="29"/>
      <c r="H106" s="3"/>
      <c r="I106" s="29"/>
      <c r="J106" s="29"/>
      <c r="K106" s="29"/>
      <c r="L106" s="29"/>
      <c r="M106" s="29"/>
      <c r="N106" s="29"/>
      <c r="O106" s="3"/>
      <c r="P106" s="3"/>
      <c r="Q106" s="3"/>
      <c r="R106" s="3"/>
      <c r="S106" s="3"/>
    </row>
    <row r="107" ht="15.75" customHeight="1">
      <c r="A107" s="3"/>
      <c r="B107" s="31"/>
      <c r="C107" s="31"/>
      <c r="D107" s="32"/>
      <c r="E107" s="32"/>
      <c r="F107" s="29"/>
      <c r="G107" s="29"/>
      <c r="H107" s="3"/>
      <c r="I107" s="29"/>
      <c r="J107" s="29"/>
      <c r="K107" s="29"/>
      <c r="L107" s="29"/>
      <c r="M107" s="29"/>
      <c r="N107" s="29"/>
      <c r="O107" s="3"/>
      <c r="P107" s="3"/>
      <c r="Q107" s="3"/>
      <c r="R107" s="3"/>
      <c r="S107" s="3"/>
    </row>
    <row r="108" ht="15.75" customHeight="1">
      <c r="A108" s="3"/>
      <c r="B108" s="31"/>
      <c r="C108" s="31"/>
      <c r="D108" s="32"/>
      <c r="E108" s="32"/>
      <c r="F108" s="29"/>
      <c r="G108" s="29"/>
      <c r="H108" s="3"/>
      <c r="I108" s="29"/>
      <c r="J108" s="29"/>
      <c r="K108" s="29"/>
      <c r="L108" s="29"/>
      <c r="M108" s="29"/>
      <c r="N108" s="29"/>
      <c r="O108" s="3"/>
      <c r="P108" s="3"/>
      <c r="Q108" s="3"/>
      <c r="R108" s="3"/>
      <c r="S108" s="3"/>
    </row>
    <row r="109" ht="15.75" customHeight="1">
      <c r="A109" s="3"/>
      <c r="B109" s="31"/>
      <c r="C109" s="31"/>
      <c r="D109" s="32"/>
      <c r="E109" s="32"/>
      <c r="F109" s="29"/>
      <c r="G109" s="29"/>
      <c r="H109" s="3"/>
      <c r="I109" s="29"/>
      <c r="J109" s="29"/>
      <c r="K109" s="29"/>
      <c r="L109" s="29"/>
      <c r="M109" s="29"/>
      <c r="N109" s="29"/>
      <c r="O109" s="3"/>
      <c r="P109" s="3"/>
      <c r="Q109" s="3"/>
      <c r="R109" s="3"/>
      <c r="S109" s="3"/>
    </row>
    <row r="110" ht="15.75" customHeight="1">
      <c r="A110" s="3"/>
      <c r="B110" s="31"/>
      <c r="C110" s="31"/>
      <c r="D110" s="32"/>
      <c r="E110" s="32"/>
      <c r="F110" s="29"/>
      <c r="G110" s="29"/>
      <c r="H110" s="3"/>
      <c r="I110" s="29"/>
      <c r="J110" s="29"/>
      <c r="K110" s="29"/>
      <c r="L110" s="29"/>
      <c r="M110" s="29"/>
      <c r="N110" s="29"/>
      <c r="O110" s="3"/>
      <c r="P110" s="3"/>
      <c r="Q110" s="3"/>
      <c r="R110" s="3"/>
      <c r="S110" s="3"/>
    </row>
    <row r="111" ht="15.75" customHeight="1">
      <c r="A111" s="3"/>
      <c r="B111" s="31"/>
      <c r="C111" s="31"/>
      <c r="D111" s="32"/>
      <c r="E111" s="32"/>
      <c r="F111" s="29"/>
      <c r="G111" s="29"/>
      <c r="H111" s="3"/>
      <c r="I111" s="29"/>
      <c r="J111" s="29"/>
      <c r="K111" s="29"/>
      <c r="L111" s="29"/>
      <c r="M111" s="29"/>
      <c r="N111" s="29"/>
      <c r="O111" s="3"/>
      <c r="P111" s="3"/>
      <c r="Q111" s="3"/>
      <c r="R111" s="3"/>
      <c r="S111" s="3"/>
    </row>
    <row r="112" ht="15.75" customHeight="1">
      <c r="A112" s="3"/>
      <c r="B112" s="31"/>
      <c r="C112" s="31"/>
      <c r="D112" s="32"/>
      <c r="E112" s="32"/>
      <c r="F112" s="29"/>
      <c r="G112" s="29"/>
      <c r="H112" s="3"/>
      <c r="I112" s="29"/>
      <c r="J112" s="29"/>
      <c r="K112" s="29"/>
      <c r="L112" s="29"/>
      <c r="M112" s="29"/>
      <c r="N112" s="29"/>
      <c r="O112" s="3"/>
      <c r="P112" s="3"/>
      <c r="Q112" s="3"/>
      <c r="R112" s="3"/>
      <c r="S112" s="3"/>
    </row>
    <row r="113" ht="15.75" customHeight="1">
      <c r="A113" s="3"/>
      <c r="B113" s="31"/>
      <c r="C113" s="31"/>
      <c r="D113" s="32"/>
      <c r="E113" s="32"/>
      <c r="F113" s="29"/>
      <c r="G113" s="29"/>
      <c r="H113" s="3"/>
      <c r="I113" s="29"/>
      <c r="J113" s="29"/>
      <c r="K113" s="29"/>
      <c r="L113" s="29"/>
      <c r="M113" s="29"/>
      <c r="N113" s="29"/>
      <c r="O113" s="3"/>
      <c r="P113" s="3"/>
      <c r="Q113" s="3"/>
      <c r="R113" s="3"/>
      <c r="S113" s="3"/>
    </row>
    <row r="114" ht="15.75" customHeight="1">
      <c r="A114" s="3"/>
      <c r="B114" s="31"/>
      <c r="C114" s="31"/>
      <c r="D114" s="32"/>
      <c r="E114" s="32"/>
      <c r="F114" s="29"/>
      <c r="G114" s="29"/>
      <c r="H114" s="3"/>
      <c r="I114" s="29"/>
      <c r="J114" s="29"/>
      <c r="K114" s="29"/>
      <c r="L114" s="29"/>
      <c r="M114" s="29"/>
      <c r="N114" s="29"/>
      <c r="O114" s="3"/>
      <c r="P114" s="3"/>
      <c r="Q114" s="3"/>
      <c r="R114" s="3"/>
      <c r="S114" s="3"/>
    </row>
    <row r="115" ht="15.75" customHeight="1">
      <c r="A115" s="3"/>
      <c r="B115" s="31"/>
      <c r="C115" s="31"/>
      <c r="D115" s="32"/>
      <c r="E115" s="32"/>
      <c r="F115" s="29"/>
      <c r="G115" s="29"/>
      <c r="H115" s="3"/>
      <c r="I115" s="29"/>
      <c r="J115" s="29"/>
      <c r="K115" s="29"/>
      <c r="L115" s="29"/>
      <c r="M115" s="29"/>
      <c r="N115" s="29"/>
      <c r="O115" s="3"/>
      <c r="P115" s="3"/>
      <c r="Q115" s="3"/>
      <c r="R115" s="3"/>
      <c r="S115" s="3"/>
    </row>
    <row r="116" ht="15.75" customHeight="1">
      <c r="A116" s="3"/>
      <c r="B116" s="31"/>
      <c r="C116" s="31"/>
      <c r="D116" s="32"/>
      <c r="E116" s="32"/>
      <c r="F116" s="29"/>
      <c r="G116" s="29"/>
      <c r="H116" s="3"/>
      <c r="I116" s="29"/>
      <c r="J116" s="29"/>
      <c r="K116" s="29"/>
      <c r="L116" s="29"/>
      <c r="M116" s="29"/>
      <c r="N116" s="29"/>
      <c r="O116" s="3"/>
      <c r="P116" s="3"/>
      <c r="Q116" s="3"/>
      <c r="R116" s="3"/>
      <c r="S116" s="3"/>
    </row>
    <row r="117" ht="15.75" customHeight="1">
      <c r="A117" s="3"/>
      <c r="B117" s="31"/>
      <c r="C117" s="31"/>
      <c r="D117" s="32"/>
      <c r="E117" s="32"/>
      <c r="F117" s="29"/>
      <c r="G117" s="29"/>
      <c r="H117" s="3"/>
      <c r="I117" s="29"/>
      <c r="J117" s="29"/>
      <c r="K117" s="29"/>
      <c r="L117" s="29"/>
      <c r="M117" s="29"/>
      <c r="N117" s="29"/>
      <c r="O117" s="3"/>
      <c r="P117" s="3"/>
      <c r="Q117" s="3"/>
      <c r="R117" s="3"/>
      <c r="S117" s="3"/>
    </row>
    <row r="118" ht="15.75" customHeight="1">
      <c r="A118" s="3"/>
      <c r="B118" s="31"/>
      <c r="C118" s="31"/>
      <c r="D118" s="32"/>
      <c r="E118" s="32"/>
      <c r="F118" s="29"/>
      <c r="G118" s="29"/>
      <c r="H118" s="3"/>
      <c r="I118" s="29"/>
      <c r="J118" s="29"/>
      <c r="K118" s="29"/>
      <c r="L118" s="29"/>
      <c r="M118" s="29"/>
      <c r="N118" s="29"/>
      <c r="O118" s="3"/>
      <c r="P118" s="3"/>
      <c r="Q118" s="3"/>
      <c r="R118" s="3"/>
      <c r="S118" s="3"/>
    </row>
    <row r="119" ht="15.75" customHeight="1">
      <c r="A119" s="3"/>
      <c r="B119" s="31"/>
      <c r="C119" s="31"/>
      <c r="D119" s="32"/>
      <c r="E119" s="32"/>
      <c r="F119" s="29"/>
      <c r="G119" s="29"/>
      <c r="H119" s="3"/>
      <c r="I119" s="29"/>
      <c r="J119" s="29"/>
      <c r="K119" s="29"/>
      <c r="L119" s="29"/>
      <c r="M119" s="29"/>
      <c r="N119" s="29"/>
      <c r="O119" s="3"/>
      <c r="P119" s="3"/>
      <c r="Q119" s="3"/>
      <c r="R119" s="3"/>
      <c r="S119" s="3"/>
    </row>
    <row r="120" ht="15.75" customHeight="1">
      <c r="A120" s="3"/>
      <c r="B120" s="31"/>
      <c r="C120" s="31"/>
      <c r="D120" s="32"/>
      <c r="E120" s="32"/>
      <c r="F120" s="29"/>
      <c r="G120" s="29"/>
      <c r="H120" s="3"/>
      <c r="I120" s="29"/>
      <c r="J120" s="29"/>
      <c r="K120" s="29"/>
      <c r="L120" s="29"/>
      <c r="M120" s="29"/>
      <c r="N120" s="29"/>
      <c r="O120" s="3"/>
      <c r="P120" s="3"/>
      <c r="Q120" s="3"/>
      <c r="R120" s="3"/>
      <c r="S120" s="3"/>
    </row>
    <row r="121" ht="15.75" customHeight="1">
      <c r="A121" s="3"/>
      <c r="B121" s="31"/>
      <c r="C121" s="31"/>
      <c r="D121" s="32"/>
      <c r="E121" s="32"/>
      <c r="F121" s="29"/>
      <c r="G121" s="29"/>
      <c r="H121" s="3"/>
      <c r="I121" s="29"/>
      <c r="J121" s="29"/>
      <c r="K121" s="29"/>
      <c r="L121" s="29"/>
      <c r="M121" s="29"/>
      <c r="N121" s="29"/>
      <c r="O121" s="3"/>
      <c r="P121" s="3"/>
      <c r="Q121" s="3"/>
      <c r="R121" s="3"/>
      <c r="S121" s="3"/>
    </row>
    <row r="122" ht="15.75" customHeight="1">
      <c r="A122" s="3"/>
      <c r="B122" s="31"/>
      <c r="C122" s="31"/>
      <c r="D122" s="32"/>
      <c r="E122" s="32"/>
      <c r="F122" s="29"/>
      <c r="G122" s="29"/>
      <c r="H122" s="3"/>
      <c r="I122" s="29"/>
      <c r="J122" s="29"/>
      <c r="K122" s="29"/>
      <c r="L122" s="29"/>
      <c r="M122" s="29"/>
      <c r="N122" s="29"/>
      <c r="O122" s="3"/>
      <c r="P122" s="3"/>
      <c r="Q122" s="3"/>
      <c r="R122" s="3"/>
      <c r="S122" s="3"/>
    </row>
    <row r="123" ht="15.75" customHeight="1">
      <c r="A123" s="3"/>
      <c r="B123" s="31"/>
      <c r="C123" s="31"/>
      <c r="D123" s="32"/>
      <c r="E123" s="32"/>
      <c r="F123" s="29"/>
      <c r="G123" s="29"/>
      <c r="H123" s="3"/>
      <c r="I123" s="29"/>
      <c r="J123" s="29"/>
      <c r="K123" s="29"/>
      <c r="L123" s="29"/>
      <c r="M123" s="29"/>
      <c r="N123" s="29"/>
      <c r="O123" s="3"/>
      <c r="P123" s="3"/>
      <c r="Q123" s="3"/>
      <c r="R123" s="3"/>
      <c r="S123" s="3"/>
    </row>
    <row r="124" ht="15.75" customHeight="1">
      <c r="A124" s="3"/>
      <c r="B124" s="31"/>
      <c r="C124" s="31"/>
      <c r="D124" s="32"/>
      <c r="E124" s="32"/>
      <c r="F124" s="29"/>
      <c r="G124" s="29"/>
      <c r="H124" s="3"/>
      <c r="I124" s="29"/>
      <c r="J124" s="29"/>
      <c r="K124" s="29"/>
      <c r="L124" s="29"/>
      <c r="M124" s="29"/>
      <c r="N124" s="29"/>
      <c r="O124" s="3"/>
      <c r="P124" s="3"/>
      <c r="Q124" s="3"/>
      <c r="R124" s="3"/>
      <c r="S124" s="3"/>
    </row>
    <row r="125" ht="15.75" customHeight="1">
      <c r="A125" s="3"/>
      <c r="B125" s="31"/>
      <c r="C125" s="31"/>
      <c r="D125" s="32"/>
      <c r="E125" s="32"/>
      <c r="F125" s="29"/>
      <c r="G125" s="29"/>
      <c r="H125" s="3"/>
      <c r="I125" s="29"/>
      <c r="J125" s="29"/>
      <c r="K125" s="29"/>
      <c r="L125" s="29"/>
      <c r="M125" s="29"/>
      <c r="N125" s="29"/>
      <c r="O125" s="3"/>
      <c r="P125" s="3"/>
      <c r="Q125" s="3"/>
      <c r="R125" s="3"/>
      <c r="S125" s="3"/>
    </row>
    <row r="126" ht="15.75" customHeight="1">
      <c r="A126" s="3"/>
      <c r="B126" s="31"/>
      <c r="C126" s="31"/>
      <c r="D126" s="32"/>
      <c r="E126" s="32"/>
      <c r="F126" s="29"/>
      <c r="G126" s="29"/>
      <c r="H126" s="3"/>
      <c r="I126" s="29"/>
      <c r="J126" s="29"/>
      <c r="K126" s="29"/>
      <c r="L126" s="29"/>
      <c r="M126" s="29"/>
      <c r="N126" s="29"/>
      <c r="O126" s="3"/>
      <c r="P126" s="3"/>
      <c r="Q126" s="3"/>
      <c r="R126" s="3"/>
      <c r="S126" s="3"/>
    </row>
    <row r="127" ht="15.75" customHeight="1">
      <c r="A127" s="3"/>
      <c r="B127" s="31"/>
      <c r="C127" s="31"/>
      <c r="D127" s="32"/>
      <c r="E127" s="32"/>
      <c r="F127" s="29"/>
      <c r="G127" s="29"/>
      <c r="H127" s="3"/>
      <c r="I127" s="29"/>
      <c r="J127" s="29"/>
      <c r="K127" s="29"/>
      <c r="L127" s="29"/>
      <c r="M127" s="29"/>
      <c r="N127" s="29"/>
      <c r="O127" s="3"/>
      <c r="P127" s="3"/>
      <c r="Q127" s="3"/>
      <c r="R127" s="3"/>
      <c r="S127" s="3"/>
    </row>
    <row r="128" ht="15.75" customHeight="1">
      <c r="A128" s="3"/>
      <c r="B128" s="31"/>
      <c r="C128" s="31"/>
      <c r="D128" s="32"/>
      <c r="E128" s="32"/>
      <c r="F128" s="29"/>
      <c r="G128" s="29"/>
      <c r="H128" s="3"/>
      <c r="I128" s="29"/>
      <c r="J128" s="29"/>
      <c r="K128" s="29"/>
      <c r="L128" s="29"/>
      <c r="M128" s="29"/>
      <c r="N128" s="29"/>
      <c r="O128" s="3"/>
      <c r="P128" s="3"/>
      <c r="Q128" s="3"/>
      <c r="R128" s="3"/>
      <c r="S128" s="3"/>
    </row>
    <row r="129" ht="15.75" customHeight="1">
      <c r="A129" s="3"/>
      <c r="B129" s="31"/>
      <c r="C129" s="31"/>
      <c r="D129" s="32"/>
      <c r="E129" s="32"/>
      <c r="F129" s="29"/>
      <c r="G129" s="29"/>
      <c r="H129" s="3"/>
      <c r="I129" s="29"/>
      <c r="J129" s="29"/>
      <c r="K129" s="29"/>
      <c r="L129" s="29"/>
      <c r="M129" s="29"/>
      <c r="N129" s="29"/>
      <c r="O129" s="3"/>
      <c r="P129" s="3"/>
      <c r="Q129" s="3"/>
      <c r="R129" s="3"/>
      <c r="S129" s="3"/>
    </row>
    <row r="130" ht="15.75" customHeight="1">
      <c r="A130" s="3"/>
      <c r="B130" s="31"/>
      <c r="C130" s="31"/>
      <c r="D130" s="32"/>
      <c r="E130" s="32"/>
      <c r="F130" s="29"/>
      <c r="G130" s="29"/>
      <c r="H130" s="3"/>
      <c r="I130" s="29"/>
      <c r="J130" s="29"/>
      <c r="K130" s="29"/>
      <c r="L130" s="29"/>
      <c r="M130" s="29"/>
      <c r="N130" s="29"/>
      <c r="O130" s="3"/>
      <c r="P130" s="3"/>
      <c r="Q130" s="3"/>
      <c r="R130" s="3"/>
      <c r="S130" s="3"/>
    </row>
    <row r="131" ht="15.75" customHeight="1">
      <c r="A131" s="3"/>
      <c r="B131" s="31"/>
      <c r="C131" s="31"/>
      <c r="D131" s="32"/>
      <c r="E131" s="32"/>
      <c r="F131" s="29"/>
      <c r="G131" s="29"/>
      <c r="H131" s="3"/>
      <c r="I131" s="29"/>
      <c r="J131" s="29"/>
      <c r="K131" s="29"/>
      <c r="L131" s="29"/>
      <c r="M131" s="29"/>
      <c r="N131" s="29"/>
      <c r="O131" s="3"/>
      <c r="P131" s="3"/>
      <c r="Q131" s="3"/>
      <c r="R131" s="3"/>
      <c r="S131" s="3"/>
    </row>
    <row r="132" ht="15.75" customHeight="1">
      <c r="A132" s="3"/>
      <c r="B132" s="31"/>
      <c r="C132" s="31"/>
      <c r="D132" s="32"/>
      <c r="E132" s="32"/>
      <c r="F132" s="29"/>
      <c r="G132" s="29"/>
      <c r="H132" s="3"/>
      <c r="I132" s="29"/>
      <c r="J132" s="29"/>
      <c r="K132" s="29"/>
      <c r="L132" s="29"/>
      <c r="M132" s="29"/>
      <c r="N132" s="29"/>
      <c r="O132" s="3"/>
      <c r="P132" s="3"/>
      <c r="Q132" s="3"/>
      <c r="R132" s="3"/>
      <c r="S132" s="3"/>
    </row>
    <row r="133" ht="15.75" customHeight="1">
      <c r="A133" s="3"/>
      <c r="B133" s="31"/>
      <c r="C133" s="31"/>
      <c r="D133" s="32"/>
      <c r="E133" s="32"/>
      <c r="F133" s="29"/>
      <c r="G133" s="29"/>
      <c r="H133" s="3"/>
      <c r="I133" s="29"/>
      <c r="J133" s="29"/>
      <c r="K133" s="29"/>
      <c r="L133" s="29"/>
      <c r="M133" s="29"/>
      <c r="N133" s="29"/>
      <c r="O133" s="3"/>
      <c r="P133" s="3"/>
      <c r="Q133" s="3"/>
      <c r="R133" s="3"/>
      <c r="S133" s="3"/>
    </row>
    <row r="134" ht="15.75" customHeight="1">
      <c r="A134" s="3"/>
      <c r="B134" s="31"/>
      <c r="C134" s="31"/>
      <c r="D134" s="32"/>
      <c r="E134" s="32"/>
      <c r="F134" s="29"/>
      <c r="G134" s="29"/>
      <c r="H134" s="3"/>
      <c r="I134" s="29"/>
      <c r="J134" s="29"/>
      <c r="K134" s="29"/>
      <c r="L134" s="29"/>
      <c r="M134" s="29"/>
      <c r="N134" s="29"/>
      <c r="O134" s="3"/>
      <c r="P134" s="3"/>
      <c r="Q134" s="3"/>
      <c r="R134" s="3"/>
      <c r="S134" s="3"/>
    </row>
    <row r="135" ht="15.75" customHeight="1">
      <c r="A135" s="3"/>
      <c r="B135" s="31"/>
      <c r="C135" s="31"/>
      <c r="D135" s="32"/>
      <c r="E135" s="32"/>
      <c r="F135" s="29"/>
      <c r="G135" s="29"/>
      <c r="H135" s="3"/>
      <c r="I135" s="29"/>
      <c r="J135" s="29"/>
      <c r="K135" s="29"/>
      <c r="L135" s="29"/>
      <c r="M135" s="29"/>
      <c r="N135" s="29"/>
      <c r="O135" s="3"/>
      <c r="P135" s="3"/>
      <c r="Q135" s="3"/>
      <c r="R135" s="3"/>
      <c r="S135" s="3"/>
    </row>
    <row r="136" ht="15.75" customHeight="1">
      <c r="A136" s="3"/>
      <c r="B136" s="31"/>
      <c r="C136" s="31"/>
      <c r="D136" s="32"/>
      <c r="E136" s="32"/>
      <c r="F136" s="29"/>
      <c r="G136" s="29"/>
      <c r="H136" s="3"/>
      <c r="I136" s="29"/>
      <c r="J136" s="29"/>
      <c r="K136" s="29"/>
      <c r="L136" s="29"/>
      <c r="M136" s="29"/>
      <c r="N136" s="29"/>
      <c r="O136" s="3"/>
      <c r="P136" s="3"/>
      <c r="Q136" s="3"/>
      <c r="R136" s="3"/>
      <c r="S136" s="3"/>
    </row>
    <row r="137" ht="15.75" customHeight="1">
      <c r="A137" s="3"/>
      <c r="B137" s="31"/>
      <c r="C137" s="31"/>
      <c r="D137" s="32"/>
      <c r="E137" s="32"/>
      <c r="F137" s="29"/>
      <c r="G137" s="29"/>
      <c r="H137" s="3"/>
      <c r="I137" s="29"/>
      <c r="J137" s="29"/>
      <c r="K137" s="29"/>
      <c r="L137" s="29"/>
      <c r="M137" s="29"/>
      <c r="N137" s="29"/>
      <c r="O137" s="3"/>
      <c r="P137" s="3"/>
      <c r="Q137" s="3"/>
      <c r="R137" s="3"/>
      <c r="S137" s="3"/>
    </row>
    <row r="138" ht="15.75" customHeight="1">
      <c r="A138" s="3"/>
      <c r="B138" s="31"/>
      <c r="C138" s="31"/>
      <c r="D138" s="32"/>
      <c r="E138" s="32"/>
      <c r="F138" s="29"/>
      <c r="G138" s="29"/>
      <c r="H138" s="3"/>
      <c r="I138" s="29"/>
      <c r="J138" s="29"/>
      <c r="K138" s="29"/>
      <c r="L138" s="29"/>
      <c r="M138" s="29"/>
      <c r="N138" s="29"/>
      <c r="O138" s="3"/>
      <c r="P138" s="3"/>
      <c r="Q138" s="3"/>
      <c r="R138" s="3"/>
      <c r="S138" s="3"/>
    </row>
    <row r="139" ht="15.75" customHeight="1">
      <c r="A139" s="3"/>
      <c r="B139" s="31"/>
      <c r="C139" s="31"/>
      <c r="D139" s="32"/>
      <c r="E139" s="32"/>
      <c r="F139" s="29"/>
      <c r="G139" s="29"/>
      <c r="H139" s="3"/>
      <c r="I139" s="29"/>
      <c r="J139" s="29"/>
      <c r="K139" s="29"/>
      <c r="L139" s="29"/>
      <c r="M139" s="29"/>
      <c r="N139" s="29"/>
      <c r="O139" s="3"/>
      <c r="P139" s="3"/>
      <c r="Q139" s="3"/>
      <c r="R139" s="3"/>
      <c r="S139" s="3"/>
    </row>
    <row r="140" ht="15.75" customHeight="1">
      <c r="A140" s="3"/>
      <c r="B140" s="31"/>
      <c r="C140" s="31"/>
      <c r="D140" s="32"/>
      <c r="E140" s="32"/>
      <c r="F140" s="29"/>
      <c r="G140" s="29"/>
      <c r="H140" s="3"/>
      <c r="I140" s="29"/>
      <c r="J140" s="29"/>
      <c r="K140" s="29"/>
      <c r="L140" s="29"/>
      <c r="M140" s="29"/>
      <c r="N140" s="29"/>
      <c r="O140" s="3"/>
      <c r="P140" s="3"/>
      <c r="Q140" s="3"/>
      <c r="R140" s="3"/>
      <c r="S140" s="3"/>
    </row>
    <row r="141" ht="15.75" customHeight="1">
      <c r="A141" s="3"/>
      <c r="B141" s="31"/>
      <c r="C141" s="31"/>
      <c r="D141" s="32"/>
      <c r="E141" s="32"/>
      <c r="F141" s="29"/>
      <c r="G141" s="29"/>
      <c r="H141" s="3"/>
      <c r="I141" s="29"/>
      <c r="J141" s="29"/>
      <c r="K141" s="29"/>
      <c r="L141" s="29"/>
      <c r="M141" s="29"/>
      <c r="N141" s="29"/>
      <c r="O141" s="3"/>
      <c r="P141" s="3"/>
      <c r="Q141" s="3"/>
      <c r="R141" s="3"/>
      <c r="S141" s="3"/>
    </row>
    <row r="142" ht="15.75" customHeight="1">
      <c r="A142" s="3"/>
      <c r="B142" s="31"/>
      <c r="C142" s="31"/>
      <c r="D142" s="32"/>
      <c r="E142" s="32"/>
      <c r="F142" s="29"/>
      <c r="G142" s="29"/>
      <c r="H142" s="3"/>
      <c r="I142" s="29"/>
      <c r="J142" s="29"/>
      <c r="K142" s="29"/>
      <c r="L142" s="29"/>
      <c r="M142" s="29"/>
      <c r="N142" s="29"/>
      <c r="O142" s="3"/>
      <c r="P142" s="3"/>
      <c r="Q142" s="3"/>
      <c r="R142" s="3"/>
      <c r="S142" s="3"/>
    </row>
    <row r="143" ht="15.75" customHeight="1">
      <c r="A143" s="3"/>
      <c r="B143" s="31"/>
      <c r="C143" s="31"/>
      <c r="D143" s="32"/>
      <c r="E143" s="32"/>
      <c r="F143" s="29"/>
      <c r="G143" s="29"/>
      <c r="H143" s="3"/>
      <c r="I143" s="29"/>
      <c r="J143" s="29"/>
      <c r="K143" s="29"/>
      <c r="L143" s="29"/>
      <c r="M143" s="29"/>
      <c r="N143" s="29"/>
      <c r="O143" s="3"/>
      <c r="P143" s="3"/>
      <c r="Q143" s="3"/>
      <c r="R143" s="3"/>
      <c r="S143" s="3"/>
    </row>
    <row r="144" ht="15.75" customHeight="1">
      <c r="A144" s="3"/>
      <c r="B144" s="31"/>
      <c r="C144" s="31"/>
      <c r="D144" s="32"/>
      <c r="E144" s="32"/>
      <c r="F144" s="29"/>
      <c r="G144" s="29"/>
      <c r="H144" s="3"/>
      <c r="I144" s="29"/>
      <c r="J144" s="29"/>
      <c r="K144" s="29"/>
      <c r="L144" s="29"/>
      <c r="M144" s="29"/>
      <c r="N144" s="29"/>
      <c r="O144" s="3"/>
      <c r="P144" s="3"/>
      <c r="Q144" s="3"/>
      <c r="R144" s="3"/>
      <c r="S144" s="3"/>
    </row>
    <row r="145" ht="15.75" customHeight="1">
      <c r="A145" s="3"/>
      <c r="B145" s="31"/>
      <c r="C145" s="31"/>
      <c r="D145" s="32"/>
      <c r="E145" s="32"/>
      <c r="F145" s="29"/>
      <c r="G145" s="29"/>
      <c r="H145" s="3"/>
      <c r="I145" s="29"/>
      <c r="J145" s="29"/>
      <c r="K145" s="29"/>
      <c r="L145" s="29"/>
      <c r="M145" s="29"/>
      <c r="N145" s="29"/>
      <c r="O145" s="3"/>
      <c r="P145" s="3"/>
      <c r="Q145" s="3"/>
      <c r="R145" s="3"/>
      <c r="S145" s="3"/>
    </row>
    <row r="146" ht="15.75" customHeight="1">
      <c r="A146" s="3"/>
      <c r="B146" s="31"/>
      <c r="C146" s="31"/>
      <c r="D146" s="32"/>
      <c r="E146" s="32"/>
      <c r="F146" s="29"/>
      <c r="G146" s="29"/>
      <c r="H146" s="3"/>
      <c r="I146" s="29"/>
      <c r="J146" s="29"/>
      <c r="K146" s="29"/>
      <c r="L146" s="29"/>
      <c r="M146" s="29"/>
      <c r="N146" s="29"/>
      <c r="O146" s="3"/>
      <c r="P146" s="3"/>
      <c r="Q146" s="3"/>
      <c r="R146" s="3"/>
      <c r="S146" s="3"/>
    </row>
    <row r="147" ht="15.75" customHeight="1">
      <c r="A147" s="3"/>
      <c r="B147" s="31"/>
      <c r="C147" s="31"/>
      <c r="D147" s="32"/>
      <c r="E147" s="32"/>
      <c r="F147" s="29"/>
      <c r="G147" s="29"/>
      <c r="H147" s="3"/>
      <c r="I147" s="29"/>
      <c r="J147" s="29"/>
      <c r="K147" s="29"/>
      <c r="L147" s="29"/>
      <c r="M147" s="29"/>
      <c r="N147" s="29"/>
      <c r="O147" s="3"/>
      <c r="P147" s="3"/>
      <c r="Q147" s="3"/>
      <c r="R147" s="3"/>
      <c r="S147" s="3"/>
    </row>
    <row r="148" ht="15.75" customHeight="1">
      <c r="A148" s="3"/>
      <c r="B148" s="31"/>
      <c r="C148" s="31"/>
      <c r="D148" s="32"/>
      <c r="E148" s="32"/>
      <c r="F148" s="29"/>
      <c r="G148" s="29"/>
      <c r="H148" s="3"/>
      <c r="I148" s="29"/>
      <c r="J148" s="29"/>
      <c r="K148" s="29"/>
      <c r="L148" s="29"/>
      <c r="M148" s="29"/>
      <c r="N148" s="29"/>
      <c r="O148" s="3"/>
      <c r="P148" s="3"/>
      <c r="Q148" s="3"/>
      <c r="R148" s="3"/>
      <c r="S148" s="3"/>
    </row>
    <row r="149" ht="15.75" customHeight="1">
      <c r="A149" s="3"/>
      <c r="B149" s="31"/>
      <c r="C149" s="31"/>
      <c r="D149" s="32"/>
      <c r="E149" s="32"/>
      <c r="F149" s="29"/>
      <c r="G149" s="29"/>
      <c r="H149" s="3"/>
      <c r="I149" s="29"/>
      <c r="J149" s="29"/>
      <c r="K149" s="29"/>
      <c r="L149" s="29"/>
      <c r="M149" s="29"/>
      <c r="N149" s="29"/>
      <c r="O149" s="3"/>
      <c r="P149" s="3"/>
      <c r="Q149" s="3"/>
      <c r="R149" s="3"/>
      <c r="S149" s="3"/>
    </row>
    <row r="150" ht="15.75" customHeight="1">
      <c r="A150" s="3"/>
      <c r="B150" s="31"/>
      <c r="C150" s="31"/>
      <c r="D150" s="32"/>
      <c r="E150" s="32"/>
      <c r="F150" s="29"/>
      <c r="G150" s="29"/>
      <c r="H150" s="3"/>
      <c r="I150" s="29"/>
      <c r="J150" s="29"/>
      <c r="K150" s="29"/>
      <c r="L150" s="29"/>
      <c r="M150" s="29"/>
      <c r="N150" s="29"/>
      <c r="O150" s="3"/>
      <c r="P150" s="3"/>
      <c r="Q150" s="3"/>
      <c r="R150" s="3"/>
      <c r="S150" s="3"/>
    </row>
    <row r="151" ht="15.75" customHeight="1">
      <c r="A151" s="3"/>
      <c r="B151" s="31"/>
      <c r="C151" s="31"/>
      <c r="D151" s="32"/>
      <c r="E151" s="32"/>
      <c r="F151" s="29"/>
      <c r="G151" s="29"/>
      <c r="H151" s="3"/>
      <c r="I151" s="29"/>
      <c r="J151" s="29"/>
      <c r="K151" s="29"/>
      <c r="L151" s="29"/>
      <c r="M151" s="29"/>
      <c r="N151" s="29"/>
      <c r="O151" s="3"/>
      <c r="P151" s="3"/>
      <c r="Q151" s="3"/>
      <c r="R151" s="3"/>
      <c r="S151" s="3"/>
    </row>
    <row r="152" ht="15.75" customHeight="1">
      <c r="A152" s="3"/>
      <c r="B152" s="31"/>
      <c r="C152" s="31"/>
      <c r="D152" s="32"/>
      <c r="E152" s="32"/>
      <c r="F152" s="29"/>
      <c r="G152" s="29"/>
      <c r="H152" s="3"/>
      <c r="I152" s="29"/>
      <c r="J152" s="29"/>
      <c r="K152" s="29"/>
      <c r="L152" s="29"/>
      <c r="M152" s="29"/>
      <c r="N152" s="29"/>
      <c r="O152" s="3"/>
      <c r="P152" s="3"/>
      <c r="Q152" s="3"/>
      <c r="R152" s="3"/>
      <c r="S152" s="3"/>
    </row>
    <row r="153" ht="15.75" customHeight="1">
      <c r="A153" s="3"/>
      <c r="B153" s="31"/>
      <c r="C153" s="31"/>
      <c r="D153" s="32"/>
      <c r="E153" s="32"/>
      <c r="F153" s="29"/>
      <c r="G153" s="29"/>
      <c r="H153" s="3"/>
      <c r="I153" s="29"/>
      <c r="J153" s="29"/>
      <c r="K153" s="29"/>
      <c r="L153" s="29"/>
      <c r="M153" s="29"/>
      <c r="N153" s="29"/>
      <c r="O153" s="3"/>
      <c r="P153" s="3"/>
      <c r="Q153" s="3"/>
      <c r="R153" s="3"/>
      <c r="S153" s="3"/>
    </row>
    <row r="154" ht="15.75" customHeight="1">
      <c r="A154" s="3"/>
      <c r="B154" s="31"/>
      <c r="C154" s="31"/>
      <c r="D154" s="32"/>
      <c r="E154" s="32"/>
      <c r="F154" s="29"/>
      <c r="G154" s="29"/>
      <c r="H154" s="3"/>
      <c r="I154" s="29"/>
      <c r="J154" s="29"/>
      <c r="K154" s="29"/>
      <c r="L154" s="29"/>
      <c r="M154" s="29"/>
      <c r="N154" s="29"/>
      <c r="O154" s="3"/>
      <c r="P154" s="3"/>
      <c r="Q154" s="3"/>
      <c r="R154" s="3"/>
      <c r="S154" s="3"/>
    </row>
    <row r="155" ht="15.75" customHeight="1">
      <c r="A155" s="3"/>
      <c r="B155" s="31"/>
      <c r="C155" s="31"/>
      <c r="D155" s="32"/>
      <c r="E155" s="32"/>
      <c r="F155" s="29"/>
      <c r="G155" s="29"/>
      <c r="H155" s="3"/>
      <c r="I155" s="29"/>
      <c r="J155" s="29"/>
      <c r="K155" s="29"/>
      <c r="L155" s="29"/>
      <c r="M155" s="29"/>
      <c r="N155" s="29"/>
      <c r="O155" s="3"/>
      <c r="P155" s="3"/>
      <c r="Q155" s="3"/>
      <c r="R155" s="3"/>
      <c r="S155" s="3"/>
    </row>
    <row r="156" ht="15.75" customHeight="1">
      <c r="A156" s="3"/>
      <c r="B156" s="31"/>
      <c r="C156" s="31"/>
      <c r="D156" s="32"/>
      <c r="E156" s="32"/>
      <c r="F156" s="29"/>
      <c r="G156" s="29"/>
      <c r="H156" s="3"/>
      <c r="I156" s="29"/>
      <c r="J156" s="29"/>
      <c r="K156" s="29"/>
      <c r="L156" s="29"/>
      <c r="M156" s="29"/>
      <c r="N156" s="29"/>
      <c r="O156" s="3"/>
      <c r="P156" s="3"/>
      <c r="Q156" s="3"/>
      <c r="R156" s="3"/>
      <c r="S156" s="3"/>
    </row>
    <row r="157" ht="15.75" customHeight="1">
      <c r="A157" s="3"/>
      <c r="B157" s="31"/>
      <c r="C157" s="31"/>
      <c r="D157" s="32"/>
      <c r="E157" s="32"/>
      <c r="F157" s="29"/>
      <c r="G157" s="29"/>
      <c r="H157" s="3"/>
      <c r="I157" s="29"/>
      <c r="J157" s="29"/>
      <c r="K157" s="29"/>
      <c r="L157" s="29"/>
      <c r="M157" s="29"/>
      <c r="N157" s="29"/>
      <c r="O157" s="3"/>
      <c r="P157" s="3"/>
      <c r="Q157" s="3"/>
      <c r="R157" s="3"/>
      <c r="S157" s="3"/>
    </row>
    <row r="158" ht="15.75" customHeight="1">
      <c r="A158" s="3"/>
      <c r="B158" s="31"/>
      <c r="C158" s="31"/>
      <c r="D158" s="32"/>
      <c r="E158" s="32"/>
      <c r="F158" s="29"/>
      <c r="G158" s="29"/>
      <c r="H158" s="3"/>
      <c r="I158" s="29"/>
      <c r="J158" s="29"/>
      <c r="K158" s="29"/>
      <c r="L158" s="29"/>
      <c r="M158" s="29"/>
      <c r="N158" s="29"/>
      <c r="O158" s="3"/>
      <c r="P158" s="3"/>
      <c r="Q158" s="3"/>
      <c r="R158" s="3"/>
      <c r="S158" s="3"/>
    </row>
    <row r="159" ht="15.75" customHeight="1">
      <c r="A159" s="3"/>
      <c r="B159" s="31"/>
      <c r="C159" s="31"/>
      <c r="D159" s="32"/>
      <c r="E159" s="32"/>
      <c r="F159" s="29"/>
      <c r="G159" s="29"/>
      <c r="H159" s="3"/>
      <c r="I159" s="29"/>
      <c r="J159" s="29"/>
      <c r="K159" s="29"/>
      <c r="L159" s="29"/>
      <c r="M159" s="29"/>
      <c r="N159" s="29"/>
      <c r="O159" s="3"/>
      <c r="P159" s="3"/>
      <c r="Q159" s="3"/>
      <c r="R159" s="3"/>
      <c r="S159" s="3"/>
    </row>
    <row r="160" ht="15.75" customHeight="1">
      <c r="A160" s="3"/>
      <c r="B160" s="31"/>
      <c r="C160" s="31"/>
      <c r="D160" s="32"/>
      <c r="E160" s="32"/>
      <c r="F160" s="29"/>
      <c r="G160" s="29"/>
      <c r="H160" s="3"/>
      <c r="I160" s="29"/>
      <c r="J160" s="29"/>
      <c r="K160" s="29"/>
      <c r="L160" s="29"/>
      <c r="M160" s="29"/>
      <c r="N160" s="29"/>
      <c r="O160" s="3"/>
      <c r="P160" s="3"/>
      <c r="Q160" s="3"/>
      <c r="R160" s="3"/>
      <c r="S160" s="3"/>
    </row>
    <row r="161" ht="15.75" customHeight="1">
      <c r="A161" s="3"/>
      <c r="B161" s="31"/>
      <c r="C161" s="31"/>
      <c r="D161" s="32"/>
      <c r="E161" s="32"/>
      <c r="F161" s="29"/>
      <c r="G161" s="29"/>
      <c r="H161" s="3"/>
      <c r="I161" s="29"/>
      <c r="J161" s="29"/>
      <c r="K161" s="29"/>
      <c r="L161" s="29"/>
      <c r="M161" s="29"/>
      <c r="N161" s="29"/>
      <c r="O161" s="3"/>
      <c r="P161" s="3"/>
      <c r="Q161" s="3"/>
      <c r="R161" s="3"/>
      <c r="S161" s="3"/>
    </row>
    <row r="162" ht="15.75" customHeight="1">
      <c r="A162" s="3"/>
      <c r="B162" s="31"/>
      <c r="C162" s="31"/>
      <c r="D162" s="32"/>
      <c r="E162" s="32"/>
      <c r="F162" s="29"/>
      <c r="G162" s="29"/>
      <c r="H162" s="3"/>
      <c r="I162" s="29"/>
      <c r="J162" s="29"/>
      <c r="K162" s="29"/>
      <c r="L162" s="29"/>
      <c r="M162" s="29"/>
      <c r="N162" s="29"/>
      <c r="O162" s="3"/>
      <c r="P162" s="3"/>
      <c r="Q162" s="3"/>
      <c r="R162" s="3"/>
      <c r="S162" s="3"/>
    </row>
    <row r="163" ht="15.75" customHeight="1">
      <c r="A163" s="3"/>
      <c r="B163" s="31"/>
      <c r="C163" s="31"/>
      <c r="D163" s="32"/>
      <c r="E163" s="32"/>
      <c r="F163" s="29"/>
      <c r="G163" s="29"/>
      <c r="H163" s="3"/>
      <c r="I163" s="29"/>
      <c r="J163" s="29"/>
      <c r="K163" s="29"/>
      <c r="L163" s="29"/>
      <c r="M163" s="29"/>
      <c r="N163" s="29"/>
      <c r="O163" s="3"/>
      <c r="P163" s="3"/>
      <c r="Q163" s="3"/>
      <c r="R163" s="3"/>
      <c r="S163" s="3"/>
    </row>
    <row r="164" ht="15.75" customHeight="1">
      <c r="A164" s="3"/>
      <c r="B164" s="31"/>
      <c r="C164" s="31"/>
      <c r="D164" s="32"/>
      <c r="E164" s="32"/>
      <c r="F164" s="29"/>
      <c r="G164" s="29"/>
      <c r="H164" s="3"/>
      <c r="I164" s="29"/>
      <c r="J164" s="29"/>
      <c r="K164" s="29"/>
      <c r="L164" s="29"/>
      <c r="M164" s="29"/>
      <c r="N164" s="29"/>
      <c r="O164" s="3"/>
      <c r="P164" s="3"/>
      <c r="Q164" s="3"/>
      <c r="R164" s="3"/>
      <c r="S164" s="3"/>
    </row>
    <row r="165" ht="15.75" customHeight="1">
      <c r="A165" s="3"/>
      <c r="B165" s="31"/>
      <c r="C165" s="31"/>
      <c r="D165" s="32"/>
      <c r="E165" s="32"/>
      <c r="F165" s="29"/>
      <c r="G165" s="29"/>
      <c r="H165" s="3"/>
      <c r="I165" s="29"/>
      <c r="J165" s="29"/>
      <c r="K165" s="29"/>
      <c r="L165" s="29"/>
      <c r="M165" s="29"/>
      <c r="N165" s="29"/>
      <c r="O165" s="3"/>
      <c r="P165" s="3"/>
      <c r="Q165" s="3"/>
      <c r="R165" s="3"/>
      <c r="S165" s="3"/>
    </row>
    <row r="166" ht="15.75" customHeight="1">
      <c r="A166" s="3"/>
      <c r="B166" s="31"/>
      <c r="C166" s="31"/>
      <c r="D166" s="32"/>
      <c r="E166" s="32"/>
      <c r="F166" s="29"/>
      <c r="G166" s="29"/>
      <c r="H166" s="3"/>
      <c r="I166" s="29"/>
      <c r="J166" s="29"/>
      <c r="K166" s="29"/>
      <c r="L166" s="29"/>
      <c r="M166" s="29"/>
      <c r="N166" s="29"/>
      <c r="O166" s="3"/>
      <c r="P166" s="3"/>
      <c r="Q166" s="3"/>
      <c r="R166" s="3"/>
      <c r="S166" s="3"/>
    </row>
    <row r="167" ht="15.75" customHeight="1">
      <c r="A167" s="3"/>
      <c r="B167" s="31"/>
      <c r="C167" s="31"/>
      <c r="D167" s="32"/>
      <c r="E167" s="32"/>
      <c r="F167" s="29"/>
      <c r="G167" s="29"/>
      <c r="H167" s="3"/>
      <c r="I167" s="29"/>
      <c r="J167" s="29"/>
      <c r="K167" s="29"/>
      <c r="L167" s="29"/>
      <c r="M167" s="29"/>
      <c r="N167" s="29"/>
      <c r="O167" s="3"/>
      <c r="P167" s="3"/>
      <c r="Q167" s="3"/>
      <c r="R167" s="3"/>
      <c r="S167" s="3"/>
    </row>
    <row r="168" ht="15.75" customHeight="1">
      <c r="A168" s="3"/>
      <c r="B168" s="31"/>
      <c r="C168" s="31"/>
      <c r="D168" s="32"/>
      <c r="E168" s="32"/>
      <c r="F168" s="29"/>
      <c r="G168" s="29"/>
      <c r="H168" s="3"/>
      <c r="I168" s="29"/>
      <c r="J168" s="29"/>
      <c r="K168" s="29"/>
      <c r="L168" s="29"/>
      <c r="M168" s="29"/>
      <c r="N168" s="29"/>
      <c r="O168" s="3"/>
      <c r="P168" s="3"/>
      <c r="Q168" s="3"/>
      <c r="R168" s="3"/>
      <c r="S168" s="3"/>
    </row>
    <row r="169" ht="15.75" customHeight="1">
      <c r="A169" s="3"/>
      <c r="B169" s="31"/>
      <c r="C169" s="31"/>
      <c r="D169" s="32"/>
      <c r="E169" s="32"/>
      <c r="F169" s="29"/>
      <c r="G169" s="29"/>
      <c r="H169" s="3"/>
      <c r="I169" s="29"/>
      <c r="J169" s="29"/>
      <c r="K169" s="29"/>
      <c r="L169" s="29"/>
      <c r="M169" s="29"/>
      <c r="N169" s="29"/>
      <c r="O169" s="3"/>
      <c r="P169" s="3"/>
      <c r="Q169" s="3"/>
      <c r="R169" s="3"/>
      <c r="S169" s="3"/>
    </row>
    <row r="170" ht="15.75" customHeight="1">
      <c r="A170" s="3"/>
      <c r="B170" s="31"/>
      <c r="C170" s="31"/>
      <c r="D170" s="32"/>
      <c r="E170" s="32"/>
      <c r="F170" s="29"/>
      <c r="G170" s="29"/>
      <c r="H170" s="3"/>
      <c r="I170" s="29"/>
      <c r="J170" s="29"/>
      <c r="K170" s="29"/>
      <c r="L170" s="29"/>
      <c r="M170" s="29"/>
      <c r="N170" s="29"/>
      <c r="O170" s="3"/>
      <c r="P170" s="3"/>
      <c r="Q170" s="3"/>
      <c r="R170" s="3"/>
      <c r="S170" s="3"/>
    </row>
    <row r="171" ht="15.75" customHeight="1">
      <c r="A171" s="3"/>
      <c r="B171" s="31"/>
      <c r="C171" s="31"/>
      <c r="D171" s="32"/>
      <c r="E171" s="32"/>
      <c r="F171" s="29"/>
      <c r="G171" s="29"/>
      <c r="H171" s="3"/>
      <c r="I171" s="29"/>
      <c r="J171" s="29"/>
      <c r="K171" s="29"/>
      <c r="L171" s="29"/>
      <c r="M171" s="29"/>
      <c r="N171" s="29"/>
      <c r="O171" s="3"/>
      <c r="P171" s="3"/>
      <c r="Q171" s="3"/>
      <c r="R171" s="3"/>
      <c r="S171" s="3"/>
    </row>
    <row r="172" ht="15.75" customHeight="1">
      <c r="A172" s="3"/>
      <c r="B172" s="31"/>
      <c r="C172" s="31"/>
      <c r="D172" s="32"/>
      <c r="E172" s="32"/>
      <c r="F172" s="29"/>
      <c r="G172" s="29"/>
      <c r="H172" s="3"/>
      <c r="I172" s="29"/>
      <c r="J172" s="29"/>
      <c r="K172" s="29"/>
      <c r="L172" s="29"/>
      <c r="M172" s="29"/>
      <c r="N172" s="29"/>
      <c r="O172" s="3"/>
      <c r="P172" s="3"/>
      <c r="Q172" s="3"/>
      <c r="R172" s="3"/>
      <c r="S172" s="3"/>
    </row>
    <row r="173" ht="15.75" customHeight="1">
      <c r="A173" s="3"/>
      <c r="B173" s="31"/>
      <c r="C173" s="31"/>
      <c r="D173" s="32"/>
      <c r="E173" s="32"/>
      <c r="F173" s="29"/>
      <c r="G173" s="29"/>
      <c r="H173" s="3"/>
      <c r="I173" s="29"/>
      <c r="J173" s="29"/>
      <c r="K173" s="29"/>
      <c r="L173" s="29"/>
      <c r="M173" s="29"/>
      <c r="N173" s="29"/>
      <c r="O173" s="3"/>
      <c r="P173" s="3"/>
      <c r="Q173" s="3"/>
      <c r="R173" s="3"/>
      <c r="S173" s="3"/>
    </row>
    <row r="174" ht="15.75" customHeight="1">
      <c r="A174" s="3"/>
      <c r="B174" s="31"/>
      <c r="C174" s="31"/>
      <c r="D174" s="32"/>
      <c r="E174" s="32"/>
      <c r="F174" s="29"/>
      <c r="G174" s="29"/>
      <c r="H174" s="3"/>
      <c r="I174" s="29"/>
      <c r="J174" s="29"/>
      <c r="K174" s="29"/>
      <c r="L174" s="29"/>
      <c r="M174" s="29"/>
      <c r="N174" s="29"/>
      <c r="O174" s="3"/>
      <c r="P174" s="3"/>
      <c r="Q174" s="3"/>
      <c r="R174" s="3"/>
      <c r="S174" s="3"/>
    </row>
    <row r="175" ht="15.75" customHeight="1">
      <c r="A175" s="3"/>
      <c r="B175" s="31"/>
      <c r="C175" s="31"/>
      <c r="D175" s="32"/>
      <c r="E175" s="32"/>
      <c r="F175" s="29"/>
      <c r="G175" s="29"/>
      <c r="H175" s="3"/>
      <c r="I175" s="29"/>
      <c r="J175" s="29"/>
      <c r="K175" s="29"/>
      <c r="L175" s="29"/>
      <c r="M175" s="29"/>
      <c r="N175" s="29"/>
      <c r="O175" s="3"/>
      <c r="P175" s="3"/>
      <c r="Q175" s="3"/>
      <c r="R175" s="3"/>
      <c r="S175" s="3"/>
    </row>
    <row r="176" ht="15.75" customHeight="1">
      <c r="A176" s="3"/>
      <c r="B176" s="31"/>
      <c r="C176" s="31"/>
      <c r="D176" s="32"/>
      <c r="E176" s="32"/>
      <c r="F176" s="29"/>
      <c r="G176" s="29"/>
      <c r="H176" s="3"/>
      <c r="I176" s="29"/>
      <c r="J176" s="29"/>
      <c r="K176" s="29"/>
      <c r="L176" s="29"/>
      <c r="M176" s="29"/>
      <c r="N176" s="29"/>
      <c r="O176" s="3"/>
      <c r="P176" s="3"/>
      <c r="Q176" s="3"/>
      <c r="R176" s="3"/>
      <c r="S176" s="3"/>
    </row>
    <row r="177" ht="15.75" customHeight="1">
      <c r="A177" s="3"/>
      <c r="B177" s="31"/>
      <c r="C177" s="31"/>
      <c r="D177" s="32"/>
      <c r="E177" s="32"/>
      <c r="F177" s="29"/>
      <c r="G177" s="29"/>
      <c r="H177" s="3"/>
      <c r="I177" s="29"/>
      <c r="J177" s="29"/>
      <c r="K177" s="29"/>
      <c r="L177" s="29"/>
      <c r="M177" s="29"/>
      <c r="N177" s="29"/>
      <c r="O177" s="3"/>
      <c r="P177" s="3"/>
      <c r="Q177" s="3"/>
      <c r="R177" s="3"/>
      <c r="S177" s="3"/>
    </row>
    <row r="178" ht="15.75" customHeight="1">
      <c r="A178" s="3"/>
      <c r="B178" s="31"/>
      <c r="C178" s="31"/>
      <c r="D178" s="32"/>
      <c r="E178" s="32"/>
      <c r="F178" s="29"/>
      <c r="G178" s="29"/>
      <c r="H178" s="3"/>
      <c r="I178" s="29"/>
      <c r="J178" s="29"/>
      <c r="K178" s="29"/>
      <c r="L178" s="29"/>
      <c r="M178" s="29"/>
      <c r="N178" s="29"/>
      <c r="O178" s="3"/>
      <c r="P178" s="3"/>
      <c r="Q178" s="3"/>
      <c r="R178" s="3"/>
      <c r="S178" s="3"/>
    </row>
    <row r="179" ht="15.75" customHeight="1">
      <c r="A179" s="3"/>
      <c r="B179" s="31"/>
      <c r="C179" s="31"/>
      <c r="D179" s="32"/>
      <c r="E179" s="32"/>
      <c r="F179" s="29"/>
      <c r="G179" s="29"/>
      <c r="H179" s="3"/>
      <c r="I179" s="29"/>
      <c r="J179" s="29"/>
      <c r="K179" s="29"/>
      <c r="L179" s="29"/>
      <c r="M179" s="29"/>
      <c r="N179" s="29"/>
      <c r="O179" s="3"/>
      <c r="P179" s="3"/>
      <c r="Q179" s="3"/>
      <c r="R179" s="3"/>
      <c r="S179" s="3"/>
    </row>
    <row r="180" ht="15.75" customHeight="1">
      <c r="A180" s="3"/>
      <c r="B180" s="31"/>
      <c r="C180" s="31"/>
      <c r="D180" s="32"/>
      <c r="E180" s="32"/>
      <c r="F180" s="29"/>
      <c r="G180" s="29"/>
      <c r="H180" s="3"/>
      <c r="I180" s="29"/>
      <c r="J180" s="29"/>
      <c r="K180" s="29"/>
      <c r="L180" s="29"/>
      <c r="M180" s="29"/>
      <c r="N180" s="29"/>
      <c r="O180" s="3"/>
      <c r="P180" s="3"/>
      <c r="Q180" s="3"/>
      <c r="R180" s="3"/>
      <c r="S180" s="3"/>
    </row>
    <row r="181" ht="15.75" customHeight="1">
      <c r="A181" s="3"/>
      <c r="B181" s="31"/>
      <c r="C181" s="31"/>
      <c r="D181" s="32"/>
      <c r="E181" s="32"/>
      <c r="F181" s="29"/>
      <c r="G181" s="29"/>
      <c r="H181" s="3"/>
      <c r="I181" s="29"/>
      <c r="J181" s="29"/>
      <c r="K181" s="29"/>
      <c r="L181" s="29"/>
      <c r="M181" s="29"/>
      <c r="N181" s="29"/>
      <c r="O181" s="3"/>
      <c r="P181" s="3"/>
      <c r="Q181" s="3"/>
      <c r="R181" s="3"/>
      <c r="S181" s="3"/>
    </row>
    <row r="182" ht="15.75" customHeight="1">
      <c r="A182" s="3"/>
      <c r="B182" s="31"/>
      <c r="C182" s="31"/>
      <c r="D182" s="32"/>
      <c r="E182" s="32"/>
      <c r="F182" s="29"/>
      <c r="G182" s="29"/>
      <c r="H182" s="3"/>
      <c r="I182" s="29"/>
      <c r="J182" s="29"/>
      <c r="K182" s="29"/>
      <c r="L182" s="29"/>
      <c r="M182" s="29"/>
      <c r="N182" s="29"/>
      <c r="O182" s="3"/>
      <c r="P182" s="3"/>
      <c r="Q182" s="3"/>
      <c r="R182" s="3"/>
      <c r="S182" s="3"/>
    </row>
    <row r="183" ht="15.75" customHeight="1">
      <c r="A183" s="3"/>
      <c r="B183" s="31"/>
      <c r="C183" s="31"/>
      <c r="D183" s="32"/>
      <c r="E183" s="32"/>
      <c r="F183" s="29"/>
      <c r="G183" s="29"/>
      <c r="H183" s="3"/>
      <c r="I183" s="29"/>
      <c r="J183" s="29"/>
      <c r="K183" s="29"/>
      <c r="L183" s="29"/>
      <c r="M183" s="29"/>
      <c r="N183" s="29"/>
      <c r="O183" s="3"/>
      <c r="P183" s="3"/>
      <c r="Q183" s="3"/>
      <c r="R183" s="3"/>
      <c r="S183" s="3"/>
    </row>
    <row r="184" ht="15.75" customHeight="1">
      <c r="A184" s="3"/>
      <c r="B184" s="31"/>
      <c r="C184" s="31"/>
      <c r="D184" s="32"/>
      <c r="E184" s="32"/>
      <c r="F184" s="29"/>
      <c r="G184" s="29"/>
      <c r="H184" s="3"/>
      <c r="I184" s="29"/>
      <c r="J184" s="29"/>
      <c r="K184" s="29"/>
      <c r="L184" s="29"/>
      <c r="M184" s="29"/>
      <c r="N184" s="29"/>
      <c r="O184" s="3"/>
      <c r="P184" s="3"/>
      <c r="Q184" s="3"/>
      <c r="R184" s="3"/>
      <c r="S184" s="3"/>
    </row>
    <row r="185" ht="15.75" customHeight="1">
      <c r="A185" s="3"/>
      <c r="B185" s="31"/>
      <c r="C185" s="31"/>
      <c r="D185" s="32"/>
      <c r="E185" s="32"/>
      <c r="F185" s="29"/>
      <c r="G185" s="29"/>
      <c r="H185" s="3"/>
      <c r="I185" s="29"/>
      <c r="J185" s="29"/>
      <c r="K185" s="29"/>
      <c r="L185" s="29"/>
      <c r="M185" s="29"/>
      <c r="N185" s="29"/>
      <c r="O185" s="3"/>
      <c r="P185" s="3"/>
      <c r="Q185" s="3"/>
      <c r="R185" s="3"/>
      <c r="S185" s="3"/>
    </row>
    <row r="186" ht="15.75" customHeight="1">
      <c r="A186" s="3"/>
      <c r="B186" s="31"/>
      <c r="C186" s="31"/>
      <c r="D186" s="32"/>
      <c r="E186" s="32"/>
      <c r="F186" s="29"/>
      <c r="G186" s="29"/>
      <c r="H186" s="3"/>
      <c r="I186" s="29"/>
      <c r="J186" s="29"/>
      <c r="K186" s="29"/>
      <c r="L186" s="29"/>
      <c r="M186" s="29"/>
      <c r="N186" s="29"/>
      <c r="O186" s="3"/>
      <c r="P186" s="3"/>
      <c r="Q186" s="3"/>
      <c r="R186" s="3"/>
      <c r="S186" s="3"/>
    </row>
    <row r="187" ht="15.75" customHeight="1">
      <c r="A187" s="3"/>
      <c r="B187" s="31"/>
      <c r="C187" s="31"/>
      <c r="D187" s="32"/>
      <c r="E187" s="32"/>
      <c r="F187" s="29"/>
      <c r="G187" s="29"/>
      <c r="H187" s="3"/>
      <c r="I187" s="29"/>
      <c r="J187" s="29"/>
      <c r="K187" s="29"/>
      <c r="L187" s="29"/>
      <c r="M187" s="29"/>
      <c r="N187" s="29"/>
      <c r="O187" s="3"/>
      <c r="P187" s="3"/>
      <c r="Q187" s="3"/>
      <c r="R187" s="3"/>
      <c r="S187" s="3"/>
    </row>
    <row r="188" ht="15.75" customHeight="1">
      <c r="A188" s="3"/>
      <c r="B188" s="31"/>
      <c r="C188" s="31"/>
      <c r="D188" s="32"/>
      <c r="E188" s="32"/>
      <c r="F188" s="29"/>
      <c r="G188" s="29"/>
      <c r="H188" s="3"/>
      <c r="I188" s="29"/>
      <c r="J188" s="29"/>
      <c r="K188" s="29"/>
      <c r="L188" s="29"/>
      <c r="M188" s="29"/>
      <c r="N188" s="29"/>
      <c r="O188" s="3"/>
      <c r="P188" s="3"/>
      <c r="Q188" s="3"/>
      <c r="R188" s="3"/>
      <c r="S188" s="3"/>
    </row>
    <row r="189" ht="15.75" customHeight="1">
      <c r="A189" s="3"/>
      <c r="B189" s="31"/>
      <c r="C189" s="31"/>
      <c r="D189" s="32"/>
      <c r="E189" s="32"/>
      <c r="F189" s="29"/>
      <c r="G189" s="29"/>
      <c r="H189" s="3"/>
      <c r="I189" s="29"/>
      <c r="J189" s="29"/>
      <c r="K189" s="29"/>
      <c r="L189" s="29"/>
      <c r="M189" s="29"/>
      <c r="N189" s="29"/>
      <c r="O189" s="3"/>
      <c r="P189" s="3"/>
      <c r="Q189" s="3"/>
      <c r="R189" s="3"/>
      <c r="S189" s="3"/>
    </row>
    <row r="190" ht="15.75" customHeight="1">
      <c r="A190" s="3"/>
      <c r="B190" s="31"/>
      <c r="C190" s="31"/>
      <c r="D190" s="32"/>
      <c r="E190" s="32"/>
      <c r="F190" s="29"/>
      <c r="G190" s="29"/>
      <c r="H190" s="3"/>
      <c r="I190" s="29"/>
      <c r="J190" s="29"/>
      <c r="K190" s="29"/>
      <c r="L190" s="29"/>
      <c r="M190" s="29"/>
      <c r="N190" s="29"/>
      <c r="O190" s="3"/>
      <c r="P190" s="3"/>
      <c r="Q190" s="3"/>
      <c r="R190" s="3"/>
      <c r="S190" s="3"/>
    </row>
    <row r="191" ht="15.75" customHeight="1">
      <c r="A191" s="3"/>
      <c r="B191" s="31"/>
      <c r="C191" s="31"/>
      <c r="D191" s="32"/>
      <c r="E191" s="32"/>
      <c r="F191" s="29"/>
      <c r="G191" s="29"/>
      <c r="H191" s="3"/>
      <c r="I191" s="29"/>
      <c r="J191" s="29"/>
      <c r="K191" s="29"/>
      <c r="L191" s="29"/>
      <c r="M191" s="29"/>
      <c r="N191" s="29"/>
      <c r="O191" s="3"/>
      <c r="P191" s="3"/>
      <c r="Q191" s="3"/>
      <c r="R191" s="3"/>
      <c r="S191" s="3"/>
    </row>
    <row r="192" ht="15.75" customHeight="1">
      <c r="A192" s="3"/>
      <c r="B192" s="31"/>
      <c r="C192" s="31"/>
      <c r="D192" s="32"/>
      <c r="E192" s="32"/>
      <c r="F192" s="29"/>
      <c r="G192" s="29"/>
      <c r="H192" s="3"/>
      <c r="I192" s="29"/>
      <c r="J192" s="29"/>
      <c r="K192" s="29"/>
      <c r="L192" s="29"/>
      <c r="M192" s="29"/>
      <c r="N192" s="29"/>
      <c r="O192" s="3"/>
      <c r="P192" s="3"/>
      <c r="Q192" s="3"/>
      <c r="R192" s="3"/>
      <c r="S192" s="3"/>
    </row>
    <row r="193" ht="15.75" customHeight="1">
      <c r="A193" s="3"/>
      <c r="B193" s="31"/>
      <c r="C193" s="31"/>
      <c r="D193" s="32"/>
      <c r="E193" s="32"/>
      <c r="F193" s="29"/>
      <c r="G193" s="29"/>
      <c r="H193" s="3"/>
      <c r="I193" s="29"/>
      <c r="J193" s="29"/>
      <c r="K193" s="29"/>
      <c r="L193" s="29"/>
      <c r="M193" s="29"/>
      <c r="N193" s="29"/>
      <c r="O193" s="3"/>
      <c r="P193" s="3"/>
      <c r="Q193" s="3"/>
      <c r="R193" s="3"/>
      <c r="S193" s="3"/>
    </row>
    <row r="194" ht="15.75" customHeight="1">
      <c r="A194" s="3"/>
      <c r="B194" s="31"/>
      <c r="C194" s="31"/>
      <c r="D194" s="32"/>
      <c r="E194" s="32"/>
      <c r="F194" s="29"/>
      <c r="G194" s="29"/>
      <c r="H194" s="3"/>
      <c r="I194" s="29"/>
      <c r="J194" s="29"/>
      <c r="K194" s="29"/>
      <c r="L194" s="29"/>
      <c r="M194" s="29"/>
      <c r="N194" s="29"/>
      <c r="O194" s="3"/>
      <c r="P194" s="3"/>
      <c r="Q194" s="3"/>
      <c r="R194" s="3"/>
      <c r="S194" s="3"/>
    </row>
    <row r="195" ht="15.75" customHeight="1">
      <c r="A195" s="3"/>
      <c r="B195" s="31"/>
      <c r="C195" s="31"/>
      <c r="D195" s="32"/>
      <c r="E195" s="32"/>
      <c r="F195" s="29"/>
      <c r="G195" s="29"/>
      <c r="H195" s="3"/>
      <c r="I195" s="29"/>
      <c r="J195" s="29"/>
      <c r="K195" s="29"/>
      <c r="L195" s="29"/>
      <c r="M195" s="29"/>
      <c r="N195" s="29"/>
      <c r="O195" s="3"/>
      <c r="P195" s="3"/>
      <c r="Q195" s="3"/>
      <c r="R195" s="3"/>
      <c r="S195" s="3"/>
    </row>
    <row r="196" ht="15.75" customHeight="1">
      <c r="A196" s="3"/>
      <c r="B196" s="31"/>
      <c r="C196" s="31"/>
      <c r="D196" s="32"/>
      <c r="E196" s="32"/>
      <c r="F196" s="29"/>
      <c r="G196" s="29"/>
      <c r="H196" s="3"/>
      <c r="I196" s="29"/>
      <c r="J196" s="29"/>
      <c r="K196" s="29"/>
      <c r="L196" s="29"/>
      <c r="M196" s="29"/>
      <c r="N196" s="29"/>
      <c r="O196" s="3"/>
      <c r="P196" s="3"/>
      <c r="Q196" s="3"/>
      <c r="R196" s="3"/>
      <c r="S196" s="3"/>
    </row>
    <row r="197" ht="15.75" customHeight="1">
      <c r="A197" s="3"/>
      <c r="B197" s="31"/>
      <c r="C197" s="31"/>
      <c r="D197" s="32"/>
      <c r="E197" s="32"/>
      <c r="F197" s="29"/>
      <c r="G197" s="29"/>
      <c r="H197" s="3"/>
      <c r="I197" s="29"/>
      <c r="J197" s="29"/>
      <c r="K197" s="29"/>
      <c r="L197" s="29"/>
      <c r="M197" s="29"/>
      <c r="N197" s="29"/>
      <c r="O197" s="3"/>
      <c r="P197" s="3"/>
      <c r="Q197" s="3"/>
      <c r="R197" s="3"/>
      <c r="S197" s="3"/>
    </row>
    <row r="198" ht="15.75" customHeight="1">
      <c r="A198" s="3"/>
      <c r="B198" s="31"/>
      <c r="C198" s="31"/>
      <c r="D198" s="32"/>
      <c r="E198" s="32"/>
      <c r="F198" s="29"/>
      <c r="G198" s="29"/>
      <c r="H198" s="3"/>
      <c r="I198" s="29"/>
      <c r="J198" s="29"/>
      <c r="K198" s="29"/>
      <c r="L198" s="29"/>
      <c r="M198" s="29"/>
      <c r="N198" s="29"/>
      <c r="O198" s="3"/>
      <c r="P198" s="3"/>
      <c r="Q198" s="3"/>
      <c r="R198" s="3"/>
      <c r="S198" s="3"/>
    </row>
    <row r="199" ht="15.75" customHeight="1">
      <c r="A199" s="3"/>
      <c r="B199" s="31"/>
      <c r="C199" s="31"/>
      <c r="D199" s="32"/>
      <c r="E199" s="32"/>
      <c r="F199" s="29"/>
      <c r="G199" s="29"/>
      <c r="H199" s="3"/>
      <c r="I199" s="29"/>
      <c r="J199" s="29"/>
      <c r="K199" s="29"/>
      <c r="L199" s="29"/>
      <c r="M199" s="29"/>
      <c r="N199" s="29"/>
      <c r="O199" s="3"/>
      <c r="P199" s="3"/>
      <c r="Q199" s="3"/>
      <c r="R199" s="3"/>
      <c r="S199" s="3"/>
    </row>
    <row r="200" ht="15.75" customHeight="1">
      <c r="A200" s="3"/>
      <c r="B200" s="31"/>
      <c r="C200" s="31"/>
      <c r="D200" s="32"/>
      <c r="E200" s="32"/>
      <c r="F200" s="29"/>
      <c r="G200" s="29"/>
      <c r="H200" s="3"/>
      <c r="I200" s="29"/>
      <c r="J200" s="29"/>
      <c r="K200" s="29"/>
      <c r="L200" s="29"/>
      <c r="M200" s="29"/>
      <c r="N200" s="29"/>
      <c r="O200" s="3"/>
      <c r="P200" s="3"/>
      <c r="Q200" s="3"/>
      <c r="R200" s="3"/>
      <c r="S200" s="3"/>
    </row>
    <row r="201" ht="15.75" customHeight="1">
      <c r="A201" s="3"/>
      <c r="B201" s="31"/>
      <c r="C201" s="31"/>
      <c r="D201" s="32"/>
      <c r="E201" s="32"/>
      <c r="F201" s="29"/>
      <c r="G201" s="29"/>
      <c r="H201" s="3"/>
      <c r="I201" s="29"/>
      <c r="J201" s="29"/>
      <c r="K201" s="29"/>
      <c r="L201" s="29"/>
      <c r="M201" s="29"/>
      <c r="N201" s="29"/>
      <c r="O201" s="3"/>
      <c r="P201" s="3"/>
      <c r="Q201" s="3"/>
      <c r="R201" s="3"/>
      <c r="S201" s="3"/>
    </row>
    <row r="202" ht="15.75" customHeight="1">
      <c r="A202" s="3"/>
      <c r="B202" s="31"/>
      <c r="C202" s="31"/>
      <c r="D202" s="32"/>
      <c r="E202" s="32"/>
      <c r="F202" s="29"/>
      <c r="G202" s="29"/>
      <c r="H202" s="3"/>
      <c r="I202" s="29"/>
      <c r="J202" s="29"/>
      <c r="K202" s="29"/>
      <c r="L202" s="29"/>
      <c r="M202" s="29"/>
      <c r="N202" s="29"/>
      <c r="O202" s="3"/>
      <c r="P202" s="3"/>
      <c r="Q202" s="3"/>
      <c r="R202" s="3"/>
      <c r="S202" s="3"/>
    </row>
    <row r="203" ht="15.75" customHeight="1">
      <c r="A203" s="3"/>
      <c r="B203" s="31"/>
      <c r="C203" s="31"/>
      <c r="D203" s="32"/>
      <c r="E203" s="32"/>
      <c r="F203" s="29"/>
      <c r="G203" s="29"/>
      <c r="H203" s="3"/>
      <c r="I203" s="29"/>
      <c r="J203" s="29"/>
      <c r="K203" s="29"/>
      <c r="L203" s="29"/>
      <c r="M203" s="29"/>
      <c r="N203" s="29"/>
      <c r="O203" s="3"/>
      <c r="P203" s="3"/>
      <c r="Q203" s="3"/>
      <c r="R203" s="3"/>
      <c r="S203" s="3"/>
    </row>
    <row r="204" ht="15.75" customHeight="1">
      <c r="A204" s="3"/>
      <c r="B204" s="31"/>
      <c r="C204" s="31"/>
      <c r="D204" s="32"/>
      <c r="E204" s="32"/>
      <c r="F204" s="29"/>
      <c r="G204" s="29"/>
      <c r="H204" s="3"/>
      <c r="I204" s="29"/>
      <c r="J204" s="29"/>
      <c r="K204" s="29"/>
      <c r="L204" s="29"/>
      <c r="M204" s="29"/>
      <c r="N204" s="29"/>
      <c r="O204" s="3"/>
      <c r="P204" s="3"/>
      <c r="Q204" s="3"/>
      <c r="R204" s="3"/>
      <c r="S204" s="3"/>
    </row>
    <row r="205" ht="15.75" customHeight="1">
      <c r="A205" s="3"/>
      <c r="B205" s="31"/>
      <c r="C205" s="31"/>
      <c r="D205" s="32"/>
      <c r="E205" s="32"/>
      <c r="F205" s="29"/>
      <c r="G205" s="29"/>
      <c r="H205" s="3"/>
      <c r="I205" s="29"/>
      <c r="J205" s="29"/>
      <c r="K205" s="29"/>
      <c r="L205" s="29"/>
      <c r="M205" s="29"/>
      <c r="N205" s="29"/>
      <c r="O205" s="3"/>
      <c r="P205" s="3"/>
      <c r="Q205" s="3"/>
      <c r="R205" s="3"/>
      <c r="S205" s="3"/>
    </row>
    <row r="206" ht="15.75" customHeight="1">
      <c r="A206" s="3"/>
      <c r="B206" s="31"/>
      <c r="C206" s="31"/>
      <c r="D206" s="32"/>
      <c r="E206" s="32"/>
      <c r="F206" s="29"/>
      <c r="G206" s="29"/>
      <c r="H206" s="3"/>
      <c r="I206" s="29"/>
      <c r="J206" s="29"/>
      <c r="K206" s="29"/>
      <c r="L206" s="29"/>
      <c r="M206" s="29"/>
      <c r="N206" s="29"/>
      <c r="O206" s="3"/>
      <c r="P206" s="3"/>
      <c r="Q206" s="3"/>
      <c r="R206" s="3"/>
      <c r="S206" s="3"/>
    </row>
    <row r="207" ht="15.75" customHeight="1">
      <c r="A207" s="3"/>
      <c r="B207" s="31"/>
      <c r="C207" s="31"/>
      <c r="D207" s="32"/>
      <c r="E207" s="32"/>
      <c r="F207" s="29"/>
      <c r="G207" s="29"/>
      <c r="H207" s="3"/>
      <c r="I207" s="29"/>
      <c r="J207" s="29"/>
      <c r="K207" s="29"/>
      <c r="L207" s="29"/>
      <c r="M207" s="29"/>
      <c r="N207" s="29"/>
      <c r="O207" s="3"/>
      <c r="P207" s="3"/>
      <c r="Q207" s="3"/>
      <c r="R207" s="3"/>
      <c r="S207" s="3"/>
    </row>
    <row r="208" ht="15.75" customHeight="1">
      <c r="A208" s="3"/>
      <c r="B208" s="31"/>
      <c r="C208" s="31"/>
      <c r="D208" s="32"/>
      <c r="E208" s="32"/>
      <c r="F208" s="29"/>
      <c r="G208" s="29"/>
      <c r="H208" s="3"/>
      <c r="I208" s="29"/>
      <c r="J208" s="29"/>
      <c r="K208" s="29"/>
      <c r="L208" s="29"/>
      <c r="M208" s="29"/>
      <c r="N208" s="29"/>
      <c r="O208" s="3"/>
      <c r="P208" s="3"/>
      <c r="Q208" s="3"/>
      <c r="R208" s="3"/>
      <c r="S208" s="3"/>
    </row>
    <row r="209" ht="15.75" customHeight="1">
      <c r="A209" s="3"/>
      <c r="B209" s="31"/>
      <c r="C209" s="31"/>
      <c r="D209" s="32"/>
      <c r="E209" s="32"/>
      <c r="F209" s="29"/>
      <c r="G209" s="29"/>
      <c r="H209" s="3"/>
      <c r="I209" s="29"/>
      <c r="J209" s="29"/>
      <c r="K209" s="29"/>
      <c r="L209" s="29"/>
      <c r="M209" s="29"/>
      <c r="N209" s="29"/>
      <c r="O209" s="3"/>
      <c r="P209" s="3"/>
      <c r="Q209" s="3"/>
      <c r="R209" s="3"/>
      <c r="S209" s="3"/>
    </row>
    <row r="210" ht="15.75" customHeight="1">
      <c r="A210" s="3"/>
      <c r="B210" s="31"/>
      <c r="C210" s="31"/>
      <c r="D210" s="32"/>
      <c r="E210" s="32"/>
      <c r="F210" s="29"/>
      <c r="G210" s="29"/>
      <c r="H210" s="3"/>
      <c r="I210" s="29"/>
      <c r="J210" s="29"/>
      <c r="K210" s="29"/>
      <c r="L210" s="29"/>
      <c r="M210" s="29"/>
      <c r="N210" s="29"/>
      <c r="O210" s="3"/>
      <c r="P210" s="3"/>
      <c r="Q210" s="3"/>
      <c r="R210" s="3"/>
      <c r="S210" s="3"/>
    </row>
    <row r="211" ht="15.75" customHeight="1">
      <c r="A211" s="3"/>
      <c r="B211" s="31"/>
      <c r="C211" s="31"/>
      <c r="D211" s="32"/>
      <c r="E211" s="32"/>
      <c r="F211" s="29"/>
      <c r="G211" s="29"/>
      <c r="H211" s="3"/>
      <c r="I211" s="29"/>
      <c r="J211" s="29"/>
      <c r="K211" s="29"/>
      <c r="L211" s="29"/>
      <c r="M211" s="29"/>
      <c r="N211" s="29"/>
      <c r="O211" s="3"/>
      <c r="P211" s="3"/>
      <c r="Q211" s="3"/>
      <c r="R211" s="3"/>
      <c r="S211" s="3"/>
    </row>
    <row r="212" ht="15.75" customHeight="1">
      <c r="A212" s="3"/>
      <c r="B212" s="31"/>
      <c r="C212" s="31"/>
      <c r="D212" s="32"/>
      <c r="E212" s="32"/>
      <c r="F212" s="29"/>
      <c r="G212" s="29"/>
      <c r="H212" s="3"/>
      <c r="I212" s="29"/>
      <c r="J212" s="29"/>
      <c r="K212" s="29"/>
      <c r="L212" s="29"/>
      <c r="M212" s="29"/>
      <c r="N212" s="29"/>
      <c r="O212" s="3"/>
      <c r="P212" s="3"/>
      <c r="Q212" s="3"/>
      <c r="R212" s="3"/>
      <c r="S212" s="3"/>
    </row>
    <row r="213" ht="15.75" customHeight="1">
      <c r="A213" s="3"/>
      <c r="B213" s="31"/>
      <c r="C213" s="31"/>
      <c r="D213" s="32"/>
      <c r="E213" s="32"/>
      <c r="F213" s="29"/>
      <c r="G213" s="29"/>
      <c r="H213" s="3"/>
      <c r="I213" s="29"/>
      <c r="J213" s="29"/>
      <c r="K213" s="29"/>
      <c r="L213" s="29"/>
      <c r="M213" s="29"/>
      <c r="N213" s="29"/>
      <c r="O213" s="3"/>
      <c r="P213" s="3"/>
      <c r="Q213" s="3"/>
      <c r="R213" s="3"/>
      <c r="S213" s="3"/>
    </row>
    <row r="214" ht="15.75" customHeight="1">
      <c r="A214" s="3"/>
      <c r="B214" s="31"/>
      <c r="C214" s="31"/>
      <c r="D214" s="32"/>
      <c r="E214" s="32"/>
      <c r="F214" s="29"/>
      <c r="G214" s="29"/>
      <c r="H214" s="3"/>
      <c r="I214" s="29"/>
      <c r="J214" s="29"/>
      <c r="K214" s="29"/>
      <c r="L214" s="29"/>
      <c r="M214" s="29"/>
      <c r="N214" s="29"/>
      <c r="O214" s="3"/>
      <c r="P214" s="3"/>
      <c r="Q214" s="3"/>
      <c r="R214" s="3"/>
      <c r="S214" s="3"/>
    </row>
    <row r="215" ht="15.75" customHeight="1">
      <c r="A215" s="3"/>
      <c r="B215" s="31"/>
      <c r="C215" s="31"/>
      <c r="D215" s="32"/>
      <c r="E215" s="32"/>
      <c r="F215" s="29"/>
      <c r="G215" s="29"/>
      <c r="H215" s="3"/>
      <c r="I215" s="29"/>
      <c r="J215" s="29"/>
      <c r="K215" s="29"/>
      <c r="L215" s="29"/>
      <c r="M215" s="29"/>
      <c r="N215" s="29"/>
      <c r="O215" s="3"/>
      <c r="P215" s="3"/>
      <c r="Q215" s="3"/>
      <c r="R215" s="3"/>
      <c r="S215" s="3"/>
    </row>
    <row r="216" ht="15.75" customHeight="1">
      <c r="A216" s="3"/>
      <c r="B216" s="31"/>
      <c r="C216" s="31"/>
      <c r="D216" s="32"/>
      <c r="E216" s="32"/>
      <c r="F216" s="29"/>
      <c r="G216" s="29"/>
      <c r="H216" s="3"/>
      <c r="I216" s="29"/>
      <c r="J216" s="29"/>
      <c r="K216" s="29"/>
      <c r="L216" s="29"/>
      <c r="M216" s="29"/>
      <c r="N216" s="29"/>
      <c r="O216" s="3"/>
      <c r="P216" s="3"/>
      <c r="Q216" s="3"/>
      <c r="R216" s="3"/>
      <c r="S216" s="3"/>
    </row>
    <row r="217" ht="15.75" customHeight="1">
      <c r="A217" s="3"/>
      <c r="B217" s="31"/>
      <c r="C217" s="31"/>
      <c r="D217" s="32"/>
      <c r="E217" s="32"/>
      <c r="F217" s="29"/>
      <c r="G217" s="29"/>
      <c r="H217" s="3"/>
      <c r="I217" s="29"/>
      <c r="J217" s="29"/>
      <c r="K217" s="29"/>
      <c r="L217" s="29"/>
      <c r="M217" s="29"/>
      <c r="N217" s="29"/>
      <c r="O217" s="3"/>
      <c r="P217" s="3"/>
      <c r="Q217" s="3"/>
      <c r="R217" s="3"/>
      <c r="S217" s="3"/>
    </row>
    <row r="218" ht="15.75" customHeight="1">
      <c r="A218" s="3"/>
      <c r="B218" s="31"/>
      <c r="C218" s="31"/>
      <c r="D218" s="32"/>
      <c r="E218" s="32"/>
      <c r="F218" s="29"/>
      <c r="G218" s="29"/>
      <c r="H218" s="3"/>
      <c r="I218" s="29"/>
      <c r="J218" s="29"/>
      <c r="K218" s="29"/>
      <c r="L218" s="29"/>
      <c r="M218" s="29"/>
      <c r="N218" s="29"/>
      <c r="O218" s="3"/>
      <c r="P218" s="3"/>
      <c r="Q218" s="3"/>
      <c r="R218" s="3"/>
      <c r="S218" s="3"/>
    </row>
    <row r="219" ht="15.75" customHeight="1">
      <c r="A219" s="3"/>
      <c r="B219" s="31"/>
      <c r="C219" s="31"/>
      <c r="D219" s="32"/>
      <c r="E219" s="32"/>
      <c r="F219" s="29"/>
      <c r="G219" s="29"/>
      <c r="H219" s="3"/>
      <c r="I219" s="29"/>
      <c r="J219" s="29"/>
      <c r="K219" s="29"/>
      <c r="L219" s="29"/>
      <c r="M219" s="29"/>
      <c r="N219" s="29"/>
      <c r="O219" s="3"/>
      <c r="P219" s="3"/>
      <c r="Q219" s="3"/>
      <c r="R219" s="3"/>
      <c r="S219" s="3"/>
    </row>
    <row r="220" ht="15.75" customHeight="1">
      <c r="A220" s="3"/>
      <c r="B220" s="31"/>
      <c r="C220" s="31"/>
      <c r="D220" s="32"/>
      <c r="E220" s="32"/>
      <c r="F220" s="29"/>
      <c r="G220" s="29"/>
      <c r="H220" s="3"/>
      <c r="I220" s="29"/>
      <c r="J220" s="29"/>
      <c r="K220" s="29"/>
      <c r="L220" s="29"/>
      <c r="M220" s="29"/>
      <c r="N220" s="29"/>
      <c r="O220" s="3"/>
      <c r="P220" s="3"/>
      <c r="Q220" s="3"/>
      <c r="R220" s="3"/>
      <c r="S220" s="3"/>
    </row>
    <row r="221" ht="15.75" customHeight="1">
      <c r="A221" s="3"/>
      <c r="B221" s="31"/>
      <c r="C221" s="31"/>
      <c r="D221" s="32"/>
      <c r="E221" s="32"/>
      <c r="F221" s="29"/>
      <c r="G221" s="29"/>
      <c r="H221" s="3"/>
      <c r="I221" s="29"/>
      <c r="J221" s="29"/>
      <c r="K221" s="29"/>
      <c r="L221" s="29"/>
      <c r="M221" s="29"/>
      <c r="N221" s="29"/>
      <c r="O221" s="3"/>
      <c r="P221" s="3"/>
      <c r="Q221" s="3"/>
      <c r="R221" s="3"/>
      <c r="S221" s="3"/>
    </row>
    <row r="222" ht="15.75" customHeight="1">
      <c r="A222" s="3"/>
      <c r="B222" s="31"/>
      <c r="C222" s="31"/>
      <c r="D222" s="32"/>
      <c r="E222" s="32"/>
      <c r="F222" s="29"/>
      <c r="G222" s="29"/>
      <c r="H222" s="3"/>
      <c r="I222" s="29"/>
      <c r="J222" s="29"/>
      <c r="K222" s="29"/>
      <c r="L222" s="29"/>
      <c r="M222" s="29"/>
      <c r="N222" s="29"/>
      <c r="O222" s="3"/>
      <c r="P222" s="3"/>
      <c r="Q222" s="3"/>
      <c r="R222" s="3"/>
      <c r="S222" s="3"/>
    </row>
    <row r="223" ht="15.75" customHeight="1">
      <c r="A223" s="3"/>
      <c r="B223" s="31"/>
      <c r="C223" s="31"/>
      <c r="D223" s="32"/>
      <c r="E223" s="32"/>
      <c r="F223" s="29"/>
      <c r="G223" s="29"/>
      <c r="H223" s="3"/>
      <c r="I223" s="29"/>
      <c r="J223" s="29"/>
      <c r="K223" s="29"/>
      <c r="L223" s="29"/>
      <c r="M223" s="29"/>
      <c r="N223" s="29"/>
      <c r="O223" s="3"/>
      <c r="P223" s="3"/>
      <c r="Q223" s="3"/>
      <c r="R223" s="3"/>
      <c r="S223" s="3"/>
    </row>
    <row r="224" ht="15.75" customHeight="1">
      <c r="A224" s="3"/>
      <c r="B224" s="31"/>
      <c r="C224" s="31"/>
      <c r="D224" s="32"/>
      <c r="E224" s="32"/>
      <c r="F224" s="29"/>
      <c r="G224" s="29"/>
      <c r="H224" s="3"/>
      <c r="I224" s="29"/>
      <c r="J224" s="29"/>
      <c r="K224" s="29"/>
      <c r="L224" s="29"/>
      <c r="M224" s="29"/>
      <c r="N224" s="29"/>
      <c r="O224" s="3"/>
      <c r="P224" s="3"/>
      <c r="Q224" s="3"/>
      <c r="R224" s="3"/>
      <c r="S224" s="3"/>
    </row>
    <row r="225" ht="15.75" customHeight="1">
      <c r="A225" s="3"/>
      <c r="B225" s="31"/>
      <c r="C225" s="31"/>
      <c r="D225" s="32"/>
      <c r="E225" s="32"/>
      <c r="F225" s="29"/>
      <c r="G225" s="29"/>
      <c r="H225" s="3"/>
      <c r="I225" s="29"/>
      <c r="J225" s="29"/>
      <c r="K225" s="29"/>
      <c r="L225" s="29"/>
      <c r="M225" s="29"/>
      <c r="N225" s="29"/>
      <c r="O225" s="3"/>
      <c r="P225" s="3"/>
      <c r="Q225" s="3"/>
      <c r="R225" s="3"/>
      <c r="S225" s="3"/>
    </row>
    <row r="226" ht="15.75" customHeight="1">
      <c r="A226" s="3"/>
      <c r="B226" s="31"/>
      <c r="C226" s="31"/>
      <c r="D226" s="32"/>
      <c r="E226" s="32"/>
      <c r="F226" s="29"/>
      <c r="G226" s="29"/>
      <c r="H226" s="3"/>
      <c r="I226" s="29"/>
      <c r="J226" s="29"/>
      <c r="K226" s="29"/>
      <c r="L226" s="29"/>
      <c r="M226" s="29"/>
      <c r="N226" s="29"/>
      <c r="O226" s="3"/>
      <c r="P226" s="3"/>
      <c r="Q226" s="3"/>
      <c r="R226" s="3"/>
      <c r="S226" s="3"/>
    </row>
    <row r="227" ht="15.75" customHeight="1">
      <c r="A227" s="3"/>
      <c r="B227" s="31"/>
      <c r="C227" s="31"/>
      <c r="D227" s="32"/>
      <c r="E227" s="32"/>
      <c r="F227" s="29"/>
      <c r="G227" s="29"/>
      <c r="H227" s="3"/>
      <c r="I227" s="29"/>
      <c r="J227" s="29"/>
      <c r="K227" s="29"/>
      <c r="L227" s="29"/>
      <c r="M227" s="29"/>
      <c r="N227" s="29"/>
      <c r="O227" s="3"/>
      <c r="P227" s="3"/>
      <c r="Q227" s="3"/>
      <c r="R227" s="3"/>
      <c r="S227" s="3"/>
    </row>
    <row r="228" ht="15.75" customHeight="1">
      <c r="A228" s="3"/>
      <c r="B228" s="31"/>
      <c r="C228" s="31"/>
      <c r="D228" s="32"/>
      <c r="E228" s="32"/>
      <c r="F228" s="29"/>
      <c r="G228" s="29"/>
      <c r="H228" s="3"/>
      <c r="I228" s="29"/>
      <c r="J228" s="29"/>
      <c r="K228" s="29"/>
      <c r="L228" s="29"/>
      <c r="M228" s="29"/>
      <c r="N228" s="29"/>
      <c r="O228" s="3"/>
      <c r="P228" s="3"/>
      <c r="Q228" s="3"/>
      <c r="R228" s="3"/>
      <c r="S228" s="3"/>
    </row>
    <row r="229" ht="15.75" customHeight="1">
      <c r="A229" s="3"/>
      <c r="B229" s="31"/>
      <c r="C229" s="31"/>
      <c r="D229" s="32"/>
      <c r="E229" s="32"/>
      <c r="F229" s="29"/>
      <c r="G229" s="29"/>
      <c r="H229" s="3"/>
      <c r="I229" s="29"/>
      <c r="J229" s="29"/>
      <c r="K229" s="29"/>
      <c r="L229" s="29"/>
      <c r="M229" s="29"/>
      <c r="N229" s="29"/>
      <c r="O229" s="3"/>
      <c r="P229" s="3"/>
      <c r="Q229" s="3"/>
      <c r="R229" s="3"/>
      <c r="S229" s="3"/>
    </row>
    <row r="230" ht="15.75" customHeight="1">
      <c r="A230" s="3"/>
      <c r="B230" s="31"/>
      <c r="C230" s="31"/>
      <c r="D230" s="32"/>
      <c r="E230" s="32"/>
      <c r="F230" s="29"/>
      <c r="G230" s="29"/>
      <c r="H230" s="3"/>
      <c r="I230" s="29"/>
      <c r="J230" s="29"/>
      <c r="K230" s="29"/>
      <c r="L230" s="29"/>
      <c r="M230" s="29"/>
      <c r="N230" s="29"/>
      <c r="O230" s="3"/>
      <c r="P230" s="3"/>
      <c r="Q230" s="3"/>
      <c r="R230" s="3"/>
      <c r="S230" s="3"/>
    </row>
    <row r="231" ht="15.75" customHeight="1">
      <c r="A231" s="3"/>
      <c r="B231" s="31"/>
      <c r="C231" s="31"/>
      <c r="D231" s="32"/>
      <c r="E231" s="32"/>
      <c r="F231" s="29"/>
      <c r="G231" s="29"/>
      <c r="H231" s="3"/>
      <c r="I231" s="29"/>
      <c r="J231" s="29"/>
      <c r="K231" s="29"/>
      <c r="L231" s="29"/>
      <c r="M231" s="29"/>
      <c r="N231" s="29"/>
      <c r="O231" s="3"/>
      <c r="P231" s="3"/>
      <c r="Q231" s="3"/>
      <c r="R231" s="3"/>
      <c r="S231" s="3"/>
    </row>
    <row r="232" ht="15.75" customHeight="1">
      <c r="A232" s="3"/>
      <c r="B232" s="31"/>
      <c r="C232" s="31"/>
      <c r="D232" s="32"/>
      <c r="E232" s="32"/>
      <c r="F232" s="29"/>
      <c r="G232" s="29"/>
      <c r="H232" s="3"/>
      <c r="I232" s="29"/>
      <c r="J232" s="29"/>
      <c r="K232" s="29"/>
      <c r="L232" s="29"/>
      <c r="M232" s="29"/>
      <c r="N232" s="29"/>
      <c r="O232" s="3"/>
      <c r="P232" s="3"/>
      <c r="Q232" s="3"/>
      <c r="R232" s="3"/>
      <c r="S232" s="3"/>
    </row>
    <row r="233" ht="15.75" customHeight="1">
      <c r="A233" s="3"/>
      <c r="B233" s="31"/>
      <c r="C233" s="31"/>
      <c r="D233" s="32"/>
      <c r="E233" s="32"/>
      <c r="F233" s="29"/>
      <c r="G233" s="29"/>
      <c r="H233" s="3"/>
      <c r="I233" s="29"/>
      <c r="J233" s="29"/>
      <c r="K233" s="29"/>
      <c r="L233" s="29"/>
      <c r="M233" s="29"/>
      <c r="N233" s="29"/>
      <c r="O233" s="3"/>
      <c r="P233" s="3"/>
      <c r="Q233" s="3"/>
      <c r="R233" s="3"/>
      <c r="S233" s="3"/>
    </row>
    <row r="234" ht="15.75" customHeight="1">
      <c r="A234" s="3"/>
      <c r="B234" s="31"/>
      <c r="C234" s="31"/>
      <c r="D234" s="32"/>
      <c r="E234" s="32"/>
      <c r="F234" s="29"/>
      <c r="G234" s="29"/>
      <c r="H234" s="3"/>
      <c r="I234" s="29"/>
      <c r="J234" s="29"/>
      <c r="K234" s="29"/>
      <c r="L234" s="29"/>
      <c r="M234" s="29"/>
      <c r="N234" s="29"/>
      <c r="O234" s="3"/>
      <c r="P234" s="3"/>
      <c r="Q234" s="3"/>
      <c r="R234" s="3"/>
      <c r="S234" s="3"/>
    </row>
    <row r="235" ht="15.75" customHeight="1">
      <c r="A235" s="3"/>
      <c r="B235" s="31"/>
      <c r="C235" s="31"/>
      <c r="D235" s="32"/>
      <c r="E235" s="32"/>
      <c r="F235" s="29"/>
      <c r="G235" s="29"/>
      <c r="H235" s="3"/>
      <c r="I235" s="29"/>
      <c r="J235" s="29"/>
      <c r="K235" s="29"/>
      <c r="L235" s="29"/>
      <c r="M235" s="29"/>
      <c r="N235" s="29"/>
      <c r="O235" s="3"/>
      <c r="P235" s="3"/>
      <c r="Q235" s="3"/>
      <c r="R235" s="3"/>
      <c r="S235" s="3"/>
    </row>
    <row r="236" ht="15.75" customHeight="1">
      <c r="A236" s="3"/>
      <c r="B236" s="31"/>
      <c r="C236" s="31"/>
      <c r="D236" s="32"/>
      <c r="E236" s="32"/>
      <c r="F236" s="29"/>
      <c r="G236" s="29"/>
      <c r="H236" s="3"/>
      <c r="I236" s="29"/>
      <c r="J236" s="29"/>
      <c r="K236" s="29"/>
      <c r="L236" s="29"/>
      <c r="M236" s="29"/>
      <c r="N236" s="29"/>
      <c r="O236" s="3"/>
      <c r="P236" s="3"/>
      <c r="Q236" s="3"/>
      <c r="R236" s="3"/>
      <c r="S236" s="3"/>
    </row>
    <row r="237" ht="15.75" customHeight="1">
      <c r="A237" s="3"/>
      <c r="B237" s="31"/>
      <c r="C237" s="31"/>
      <c r="D237" s="32"/>
      <c r="E237" s="32"/>
      <c r="F237" s="29"/>
      <c r="G237" s="29"/>
      <c r="H237" s="3"/>
      <c r="I237" s="29"/>
      <c r="J237" s="29"/>
      <c r="K237" s="29"/>
      <c r="L237" s="29"/>
      <c r="M237" s="29"/>
      <c r="N237" s="29"/>
      <c r="O237" s="3"/>
      <c r="P237" s="3"/>
      <c r="Q237" s="3"/>
      <c r="R237" s="3"/>
      <c r="S237" s="3"/>
    </row>
    <row r="238" ht="15.75" customHeight="1">
      <c r="A238" s="3"/>
      <c r="B238" s="31"/>
      <c r="C238" s="31"/>
      <c r="D238" s="32"/>
      <c r="E238" s="32"/>
      <c r="F238" s="29"/>
      <c r="G238" s="29"/>
      <c r="H238" s="3"/>
      <c r="I238" s="29"/>
      <c r="J238" s="29"/>
      <c r="K238" s="29"/>
      <c r="L238" s="29"/>
      <c r="M238" s="29"/>
      <c r="N238" s="29"/>
      <c r="O238" s="3"/>
      <c r="P238" s="3"/>
      <c r="Q238" s="3"/>
      <c r="R238" s="3"/>
      <c r="S238" s="3"/>
    </row>
    <row r="239" ht="15.75" customHeight="1">
      <c r="A239" s="3"/>
      <c r="B239" s="31"/>
      <c r="C239" s="31"/>
      <c r="D239" s="32"/>
      <c r="E239" s="32"/>
      <c r="F239" s="29"/>
      <c r="G239" s="29"/>
      <c r="H239" s="3"/>
      <c r="I239" s="29"/>
      <c r="J239" s="29"/>
      <c r="K239" s="29"/>
      <c r="L239" s="29"/>
      <c r="M239" s="29"/>
      <c r="N239" s="29"/>
      <c r="O239" s="3"/>
      <c r="P239" s="3"/>
      <c r="Q239" s="3"/>
      <c r="R239" s="3"/>
      <c r="S239" s="3"/>
    </row>
    <row r="240" ht="15.75" customHeight="1">
      <c r="A240" s="3"/>
      <c r="B240" s="31"/>
      <c r="C240" s="31"/>
      <c r="D240" s="32"/>
      <c r="E240" s="32"/>
      <c r="F240" s="29"/>
      <c r="G240" s="29"/>
      <c r="H240" s="3"/>
      <c r="I240" s="29"/>
      <c r="J240" s="29"/>
      <c r="K240" s="29"/>
      <c r="L240" s="29"/>
      <c r="M240" s="29"/>
      <c r="N240" s="29"/>
      <c r="O240" s="3"/>
      <c r="P240" s="3"/>
      <c r="Q240" s="3"/>
      <c r="R240" s="3"/>
      <c r="S240" s="3"/>
    </row>
    <row r="241" ht="15.75" customHeight="1">
      <c r="A241" s="3"/>
      <c r="B241" s="31"/>
      <c r="C241" s="31"/>
      <c r="D241" s="32"/>
      <c r="E241" s="32"/>
      <c r="F241" s="29"/>
      <c r="G241" s="29"/>
      <c r="H241" s="3"/>
      <c r="I241" s="29"/>
      <c r="J241" s="29"/>
      <c r="K241" s="29"/>
      <c r="L241" s="29"/>
      <c r="M241" s="29"/>
      <c r="N241" s="29"/>
      <c r="O241" s="3"/>
      <c r="P241" s="3"/>
      <c r="Q241" s="3"/>
      <c r="R241" s="3"/>
      <c r="S241" s="3"/>
    </row>
    <row r="242" ht="15.75" customHeight="1">
      <c r="A242" s="3"/>
      <c r="B242" s="31"/>
      <c r="C242" s="31"/>
      <c r="D242" s="32"/>
      <c r="E242" s="32"/>
      <c r="F242" s="29"/>
      <c r="G242" s="29"/>
      <c r="H242" s="3"/>
      <c r="I242" s="29"/>
      <c r="J242" s="29"/>
      <c r="K242" s="29"/>
      <c r="L242" s="29"/>
      <c r="M242" s="29"/>
      <c r="N242" s="29"/>
      <c r="O242" s="3"/>
      <c r="P242" s="3"/>
      <c r="Q242" s="3"/>
      <c r="R242" s="3"/>
      <c r="S242" s="3"/>
    </row>
    <row r="243" ht="15.75" customHeight="1">
      <c r="A243" s="3"/>
      <c r="B243" s="31"/>
      <c r="C243" s="31"/>
      <c r="D243" s="32"/>
      <c r="E243" s="32"/>
      <c r="F243" s="29"/>
      <c r="G243" s="29"/>
      <c r="H243" s="3"/>
      <c r="I243" s="29"/>
      <c r="J243" s="29"/>
      <c r="K243" s="29"/>
      <c r="L243" s="29"/>
      <c r="M243" s="29"/>
      <c r="N243" s="29"/>
      <c r="O243" s="3"/>
      <c r="P243" s="3"/>
      <c r="Q243" s="3"/>
      <c r="R243" s="3"/>
      <c r="S243" s="3"/>
    </row>
    <row r="244" ht="15.75" customHeight="1">
      <c r="A244" s="3"/>
      <c r="B244" s="31"/>
      <c r="C244" s="31"/>
      <c r="D244" s="32"/>
      <c r="E244" s="32"/>
      <c r="F244" s="29"/>
      <c r="G244" s="29"/>
      <c r="H244" s="3"/>
      <c r="I244" s="29"/>
      <c r="J244" s="29"/>
      <c r="K244" s="29"/>
      <c r="L244" s="29"/>
      <c r="M244" s="29"/>
      <c r="N244" s="29"/>
      <c r="O244" s="3"/>
      <c r="P244" s="3"/>
      <c r="Q244" s="3"/>
      <c r="R244" s="3"/>
      <c r="S244" s="3"/>
    </row>
    <row r="245" ht="15.75" customHeight="1">
      <c r="A245" s="3"/>
      <c r="B245" s="31"/>
      <c r="C245" s="31"/>
      <c r="D245" s="32"/>
      <c r="E245" s="32"/>
      <c r="F245" s="29"/>
      <c r="G245" s="29"/>
      <c r="H245" s="3"/>
      <c r="I245" s="29"/>
      <c r="J245" s="29"/>
      <c r="K245" s="29"/>
      <c r="L245" s="29"/>
      <c r="M245" s="29"/>
      <c r="N245" s="29"/>
      <c r="O245" s="3"/>
      <c r="P245" s="3"/>
      <c r="Q245" s="3"/>
      <c r="R245" s="3"/>
      <c r="S245" s="3"/>
    </row>
    <row r="246" ht="15.75" customHeight="1">
      <c r="A246" s="3"/>
      <c r="B246" s="31"/>
      <c r="C246" s="31"/>
      <c r="D246" s="32"/>
      <c r="E246" s="32"/>
      <c r="F246" s="29"/>
      <c r="G246" s="29"/>
      <c r="H246" s="3"/>
      <c r="I246" s="29"/>
      <c r="J246" s="29"/>
      <c r="K246" s="29"/>
      <c r="L246" s="29"/>
      <c r="M246" s="29"/>
      <c r="N246" s="29"/>
      <c r="O246" s="3"/>
      <c r="P246" s="3"/>
      <c r="Q246" s="3"/>
      <c r="R246" s="3"/>
      <c r="S246" s="3"/>
    </row>
    <row r="247" ht="15.75" customHeight="1">
      <c r="A247" s="3"/>
      <c r="B247" s="31"/>
      <c r="C247" s="31"/>
      <c r="D247" s="32"/>
      <c r="E247" s="32"/>
      <c r="F247" s="29"/>
      <c r="G247" s="29"/>
      <c r="H247" s="3"/>
      <c r="I247" s="29"/>
      <c r="J247" s="29"/>
      <c r="K247" s="29"/>
      <c r="L247" s="29"/>
      <c r="M247" s="29"/>
      <c r="N247" s="29"/>
      <c r="O247" s="3"/>
      <c r="P247" s="3"/>
      <c r="Q247" s="3"/>
      <c r="R247" s="3"/>
      <c r="S247" s="3"/>
    </row>
    <row r="248" ht="15.75" customHeight="1">
      <c r="A248" s="3"/>
      <c r="B248" s="31"/>
      <c r="C248" s="31"/>
      <c r="D248" s="32"/>
      <c r="E248" s="32"/>
      <c r="F248" s="29"/>
      <c r="G248" s="29"/>
      <c r="H248" s="3"/>
      <c r="I248" s="29"/>
      <c r="J248" s="29"/>
      <c r="K248" s="29"/>
      <c r="L248" s="29"/>
      <c r="M248" s="29"/>
      <c r="N248" s="29"/>
      <c r="O248" s="3"/>
      <c r="P248" s="3"/>
      <c r="Q248" s="3"/>
      <c r="R248" s="3"/>
      <c r="S248" s="3"/>
    </row>
    <row r="249" ht="15.75" customHeight="1">
      <c r="A249" s="3"/>
      <c r="B249" s="31"/>
      <c r="C249" s="31"/>
      <c r="D249" s="32"/>
      <c r="E249" s="32"/>
      <c r="F249" s="29"/>
      <c r="G249" s="29"/>
      <c r="H249" s="3"/>
      <c r="I249" s="29"/>
      <c r="J249" s="29"/>
      <c r="K249" s="29"/>
      <c r="L249" s="29"/>
      <c r="M249" s="29"/>
      <c r="N249" s="29"/>
      <c r="O249" s="3"/>
      <c r="P249" s="3"/>
      <c r="Q249" s="3"/>
      <c r="R249" s="3"/>
      <c r="S249" s="3"/>
    </row>
    <row r="250" ht="15.75" customHeight="1">
      <c r="A250" s="3"/>
      <c r="B250" s="31"/>
      <c r="C250" s="31"/>
      <c r="D250" s="32"/>
      <c r="E250" s="32"/>
      <c r="F250" s="29"/>
      <c r="G250" s="29"/>
      <c r="H250" s="3"/>
      <c r="I250" s="29"/>
      <c r="J250" s="29"/>
      <c r="K250" s="29"/>
      <c r="L250" s="29"/>
      <c r="M250" s="29"/>
      <c r="N250" s="29"/>
      <c r="O250" s="3"/>
      <c r="P250" s="3"/>
      <c r="Q250" s="3"/>
      <c r="R250" s="3"/>
      <c r="S250" s="3"/>
    </row>
    <row r="251" ht="15.75" customHeight="1">
      <c r="A251" s="3"/>
      <c r="B251" s="31"/>
      <c r="C251" s="31"/>
      <c r="D251" s="32"/>
      <c r="E251" s="32"/>
      <c r="F251" s="29"/>
      <c r="G251" s="29"/>
      <c r="H251" s="3"/>
      <c r="I251" s="29"/>
      <c r="J251" s="29"/>
      <c r="K251" s="29"/>
      <c r="L251" s="29"/>
      <c r="M251" s="29"/>
      <c r="N251" s="29"/>
      <c r="O251" s="3"/>
      <c r="P251" s="3"/>
      <c r="Q251" s="3"/>
      <c r="R251" s="3"/>
      <c r="S251" s="3"/>
    </row>
    <row r="252" ht="15.75" customHeight="1">
      <c r="A252" s="3"/>
      <c r="B252" s="31"/>
      <c r="C252" s="31"/>
      <c r="D252" s="32"/>
      <c r="E252" s="32"/>
      <c r="F252" s="29"/>
      <c r="G252" s="29"/>
      <c r="H252" s="3"/>
      <c r="I252" s="29"/>
      <c r="J252" s="29"/>
      <c r="K252" s="29"/>
      <c r="L252" s="29"/>
      <c r="M252" s="29"/>
      <c r="N252" s="29"/>
      <c r="O252" s="3"/>
      <c r="P252" s="3"/>
      <c r="Q252" s="3"/>
      <c r="R252" s="3"/>
      <c r="S252" s="3"/>
    </row>
    <row r="253" ht="15.75" customHeight="1">
      <c r="A253" s="3"/>
      <c r="B253" s="31"/>
      <c r="C253" s="31"/>
      <c r="D253" s="32"/>
      <c r="E253" s="32"/>
      <c r="F253" s="29"/>
      <c r="G253" s="29"/>
      <c r="H253" s="3"/>
      <c r="I253" s="29"/>
      <c r="J253" s="29"/>
      <c r="K253" s="29"/>
      <c r="L253" s="29"/>
      <c r="M253" s="29"/>
      <c r="N253" s="29"/>
      <c r="O253" s="3"/>
      <c r="P253" s="3"/>
      <c r="Q253" s="3"/>
      <c r="R253" s="3"/>
      <c r="S253" s="3"/>
    </row>
    <row r="254" ht="15.75" customHeight="1">
      <c r="A254" s="3"/>
      <c r="B254" s="31"/>
      <c r="C254" s="31"/>
      <c r="D254" s="32"/>
      <c r="E254" s="32"/>
      <c r="F254" s="29"/>
      <c r="G254" s="29"/>
      <c r="H254" s="3"/>
      <c r="I254" s="29"/>
      <c r="J254" s="29"/>
      <c r="K254" s="29"/>
      <c r="L254" s="29"/>
      <c r="M254" s="29"/>
      <c r="N254" s="29"/>
      <c r="O254" s="3"/>
      <c r="P254" s="3"/>
      <c r="Q254" s="3"/>
      <c r="R254" s="3"/>
      <c r="S254" s="3"/>
    </row>
    <row r="255" ht="15.75" customHeight="1">
      <c r="A255" s="3"/>
      <c r="B255" s="31"/>
      <c r="C255" s="31"/>
      <c r="D255" s="32"/>
      <c r="E255" s="32"/>
      <c r="F255" s="29"/>
      <c r="G255" s="29"/>
      <c r="H255" s="3"/>
      <c r="I255" s="29"/>
      <c r="J255" s="29"/>
      <c r="K255" s="29"/>
      <c r="L255" s="29"/>
      <c r="M255" s="29"/>
      <c r="N255" s="29"/>
      <c r="O255" s="3"/>
      <c r="P255" s="3"/>
      <c r="Q255" s="3"/>
      <c r="R255" s="3"/>
      <c r="S255" s="3"/>
    </row>
    <row r="256" ht="15.75" customHeight="1">
      <c r="A256" s="3"/>
      <c r="B256" s="31"/>
      <c r="C256" s="31"/>
      <c r="D256" s="32"/>
      <c r="E256" s="32"/>
      <c r="F256" s="29"/>
      <c r="G256" s="29"/>
      <c r="H256" s="3"/>
      <c r="I256" s="29"/>
      <c r="J256" s="29"/>
      <c r="K256" s="29"/>
      <c r="L256" s="29"/>
      <c r="M256" s="29"/>
      <c r="N256" s="29"/>
      <c r="O256" s="3"/>
      <c r="P256" s="3"/>
      <c r="Q256" s="3"/>
      <c r="R256" s="3"/>
      <c r="S256" s="3"/>
    </row>
    <row r="257" ht="15.75" customHeight="1">
      <c r="A257" s="3"/>
      <c r="B257" s="31"/>
      <c r="C257" s="31"/>
      <c r="D257" s="32"/>
      <c r="E257" s="32"/>
      <c r="F257" s="29"/>
      <c r="G257" s="29"/>
      <c r="H257" s="3"/>
      <c r="I257" s="29"/>
      <c r="J257" s="29"/>
      <c r="K257" s="29"/>
      <c r="L257" s="29"/>
      <c r="M257" s="29"/>
      <c r="N257" s="29"/>
      <c r="O257" s="3"/>
      <c r="P257" s="3"/>
      <c r="Q257" s="3"/>
      <c r="R257" s="3"/>
      <c r="S257" s="3"/>
    </row>
    <row r="258" ht="15.75" customHeight="1">
      <c r="A258" s="3"/>
      <c r="B258" s="31"/>
      <c r="C258" s="31"/>
      <c r="D258" s="32"/>
      <c r="E258" s="32"/>
      <c r="F258" s="29"/>
      <c r="G258" s="29"/>
      <c r="H258" s="3"/>
      <c r="I258" s="29"/>
      <c r="J258" s="29"/>
      <c r="K258" s="29"/>
      <c r="L258" s="29"/>
      <c r="M258" s="29"/>
      <c r="N258" s="29"/>
      <c r="O258" s="3"/>
      <c r="P258" s="3"/>
      <c r="Q258" s="3"/>
      <c r="R258" s="3"/>
      <c r="S258" s="3"/>
    </row>
    <row r="259" ht="15.75" customHeight="1">
      <c r="A259" s="3"/>
      <c r="B259" s="31"/>
      <c r="C259" s="31"/>
      <c r="D259" s="32"/>
      <c r="E259" s="32"/>
      <c r="F259" s="29"/>
      <c r="G259" s="29"/>
      <c r="H259" s="3"/>
      <c r="I259" s="29"/>
      <c r="J259" s="29"/>
      <c r="K259" s="29"/>
      <c r="L259" s="29"/>
      <c r="M259" s="29"/>
      <c r="N259" s="29"/>
      <c r="O259" s="3"/>
      <c r="P259" s="3"/>
      <c r="Q259" s="3"/>
      <c r="R259" s="3"/>
      <c r="S259" s="3"/>
    </row>
    <row r="260" ht="15.75" customHeight="1">
      <c r="A260" s="3"/>
      <c r="B260" s="31"/>
      <c r="C260" s="31"/>
      <c r="D260" s="32"/>
      <c r="E260" s="32"/>
      <c r="F260" s="29"/>
      <c r="G260" s="29"/>
      <c r="H260" s="3"/>
      <c r="I260" s="29"/>
      <c r="J260" s="29"/>
      <c r="K260" s="29"/>
      <c r="L260" s="29"/>
      <c r="M260" s="29"/>
      <c r="N260" s="29"/>
      <c r="O260" s="3"/>
      <c r="P260" s="3"/>
      <c r="Q260" s="3"/>
      <c r="R260" s="3"/>
      <c r="S260" s="3"/>
    </row>
    <row r="261" ht="15.75" customHeight="1">
      <c r="A261" s="3"/>
      <c r="B261" s="31"/>
      <c r="C261" s="31"/>
      <c r="D261" s="32"/>
      <c r="E261" s="32"/>
      <c r="F261" s="29"/>
      <c r="G261" s="29"/>
      <c r="H261" s="3"/>
      <c r="I261" s="29"/>
      <c r="J261" s="29"/>
      <c r="K261" s="29"/>
      <c r="L261" s="29"/>
      <c r="M261" s="29"/>
      <c r="N261" s="29"/>
      <c r="O261" s="3"/>
      <c r="P261" s="3"/>
      <c r="Q261" s="3"/>
      <c r="R261" s="3"/>
      <c r="S261" s="3"/>
    </row>
    <row r="262" ht="15.75" customHeight="1">
      <c r="A262" s="3"/>
      <c r="B262" s="31"/>
      <c r="C262" s="31"/>
      <c r="D262" s="32"/>
      <c r="E262" s="32"/>
      <c r="F262" s="29"/>
      <c r="G262" s="29"/>
      <c r="H262" s="3"/>
      <c r="I262" s="29"/>
      <c r="J262" s="29"/>
      <c r="K262" s="29"/>
      <c r="L262" s="29"/>
      <c r="M262" s="29"/>
      <c r="N262" s="29"/>
      <c r="O262" s="3"/>
      <c r="P262" s="3"/>
      <c r="Q262" s="3"/>
      <c r="R262" s="3"/>
      <c r="S262" s="3"/>
    </row>
    <row r="263" ht="15.75" customHeight="1">
      <c r="A263" s="3"/>
      <c r="B263" s="31"/>
      <c r="C263" s="31"/>
      <c r="D263" s="32"/>
      <c r="E263" s="32"/>
      <c r="F263" s="29"/>
      <c r="G263" s="29"/>
      <c r="H263" s="3"/>
      <c r="I263" s="29"/>
      <c r="J263" s="29"/>
      <c r="K263" s="29"/>
      <c r="L263" s="29"/>
      <c r="M263" s="29"/>
      <c r="N263" s="29"/>
      <c r="O263" s="3"/>
      <c r="P263" s="3"/>
      <c r="Q263" s="3"/>
      <c r="R263" s="3"/>
      <c r="S263" s="3"/>
    </row>
    <row r="264" ht="15.75" customHeight="1">
      <c r="A264" s="3"/>
      <c r="B264" s="31"/>
      <c r="C264" s="31"/>
      <c r="D264" s="32"/>
      <c r="E264" s="32"/>
      <c r="F264" s="29"/>
      <c r="G264" s="29"/>
      <c r="H264" s="3"/>
      <c r="I264" s="29"/>
      <c r="J264" s="29"/>
      <c r="K264" s="29"/>
      <c r="L264" s="29"/>
      <c r="M264" s="29"/>
      <c r="N264" s="29"/>
      <c r="O264" s="3"/>
      <c r="P264" s="3"/>
      <c r="Q264" s="3"/>
      <c r="R264" s="3"/>
      <c r="S264" s="3"/>
    </row>
    <row r="265" ht="15.75" customHeight="1">
      <c r="A265" s="3"/>
      <c r="B265" s="31"/>
      <c r="C265" s="31"/>
      <c r="D265" s="32"/>
      <c r="E265" s="32"/>
      <c r="F265" s="29"/>
      <c r="G265" s="29"/>
      <c r="H265" s="3"/>
      <c r="I265" s="29"/>
      <c r="J265" s="29"/>
      <c r="K265" s="29"/>
      <c r="L265" s="29"/>
      <c r="M265" s="29"/>
      <c r="N265" s="29"/>
      <c r="O265" s="3"/>
      <c r="P265" s="3"/>
      <c r="Q265" s="3"/>
      <c r="R265" s="3"/>
      <c r="S265" s="3"/>
    </row>
    <row r="266" ht="15.75" customHeight="1">
      <c r="A266" s="3"/>
      <c r="B266" s="31"/>
      <c r="C266" s="31"/>
      <c r="D266" s="32"/>
      <c r="E266" s="32"/>
      <c r="F266" s="29"/>
      <c r="G266" s="29"/>
      <c r="H266" s="3"/>
      <c r="I266" s="29"/>
      <c r="J266" s="29"/>
      <c r="K266" s="29"/>
      <c r="L266" s="29"/>
      <c r="M266" s="29"/>
      <c r="N266" s="29"/>
      <c r="O266" s="3"/>
      <c r="P266" s="3"/>
      <c r="Q266" s="3"/>
      <c r="R266" s="3"/>
      <c r="S266" s="3"/>
    </row>
    <row r="267" ht="15.75" customHeight="1">
      <c r="A267" s="3"/>
      <c r="B267" s="31"/>
      <c r="C267" s="31"/>
      <c r="D267" s="32"/>
      <c r="E267" s="32"/>
      <c r="F267" s="29"/>
      <c r="G267" s="29"/>
      <c r="H267" s="3"/>
      <c r="I267" s="29"/>
      <c r="J267" s="29"/>
      <c r="K267" s="29"/>
      <c r="L267" s="29"/>
      <c r="M267" s="29"/>
      <c r="N267" s="29"/>
      <c r="O267" s="3"/>
      <c r="P267" s="3"/>
      <c r="Q267" s="3"/>
      <c r="R267" s="3"/>
      <c r="S267" s="3"/>
    </row>
    <row r="268" ht="15.75" customHeight="1">
      <c r="A268" s="3"/>
      <c r="B268" s="31"/>
      <c r="C268" s="31"/>
      <c r="D268" s="32"/>
      <c r="E268" s="32"/>
      <c r="F268" s="29"/>
      <c r="G268" s="29"/>
      <c r="H268" s="3"/>
      <c r="I268" s="29"/>
      <c r="J268" s="29"/>
      <c r="K268" s="29"/>
      <c r="L268" s="29"/>
      <c r="M268" s="29"/>
      <c r="N268" s="29"/>
      <c r="O268" s="3"/>
      <c r="P268" s="3"/>
      <c r="Q268" s="3"/>
      <c r="R268" s="3"/>
      <c r="S268" s="3"/>
    </row>
    <row r="269" ht="15.75" customHeight="1">
      <c r="A269" s="3"/>
      <c r="B269" s="31"/>
      <c r="C269" s="31"/>
      <c r="D269" s="32"/>
      <c r="E269" s="32"/>
      <c r="F269" s="29"/>
      <c r="G269" s="29"/>
      <c r="H269" s="3"/>
      <c r="I269" s="29"/>
      <c r="J269" s="29"/>
      <c r="K269" s="29"/>
      <c r="L269" s="29"/>
      <c r="M269" s="29"/>
      <c r="N269" s="29"/>
      <c r="O269" s="3"/>
      <c r="P269" s="3"/>
      <c r="Q269" s="3"/>
      <c r="R269" s="3"/>
      <c r="S269" s="3"/>
    </row>
    <row r="270" ht="15.75" customHeight="1">
      <c r="A270" s="3"/>
      <c r="B270" s="31"/>
      <c r="C270" s="31"/>
      <c r="D270" s="32"/>
      <c r="E270" s="32"/>
      <c r="F270" s="29"/>
      <c r="G270" s="29"/>
      <c r="H270" s="3"/>
      <c r="I270" s="29"/>
      <c r="J270" s="29"/>
      <c r="K270" s="29"/>
      <c r="L270" s="29"/>
      <c r="M270" s="29"/>
      <c r="N270" s="29"/>
      <c r="O270" s="3"/>
      <c r="P270" s="3"/>
      <c r="Q270" s="3"/>
      <c r="R270" s="3"/>
      <c r="S270" s="3"/>
    </row>
    <row r="271" ht="15.75" customHeight="1">
      <c r="A271" s="3"/>
      <c r="B271" s="31"/>
      <c r="C271" s="31"/>
      <c r="D271" s="32"/>
      <c r="E271" s="32"/>
      <c r="F271" s="29"/>
      <c r="G271" s="29"/>
      <c r="H271" s="3"/>
      <c r="I271" s="29"/>
      <c r="J271" s="29"/>
      <c r="K271" s="29"/>
      <c r="L271" s="29"/>
      <c r="M271" s="29"/>
      <c r="N271" s="29"/>
      <c r="O271" s="3"/>
      <c r="P271" s="3"/>
      <c r="Q271" s="3"/>
      <c r="R271" s="3"/>
      <c r="S271" s="3"/>
    </row>
    <row r="272" ht="15.75" customHeight="1">
      <c r="A272" s="3"/>
      <c r="B272" s="31"/>
      <c r="C272" s="31"/>
      <c r="D272" s="32"/>
      <c r="E272" s="32"/>
      <c r="F272" s="29"/>
      <c r="G272" s="29"/>
      <c r="H272" s="3"/>
      <c r="I272" s="29"/>
      <c r="J272" s="29"/>
      <c r="K272" s="29"/>
      <c r="L272" s="29"/>
      <c r="M272" s="29"/>
      <c r="N272" s="29"/>
      <c r="O272" s="3"/>
      <c r="P272" s="3"/>
      <c r="Q272" s="3"/>
      <c r="R272" s="3"/>
      <c r="S272" s="3"/>
    </row>
    <row r="273" ht="15.75" customHeight="1">
      <c r="A273" s="3"/>
      <c r="B273" s="31"/>
      <c r="C273" s="31"/>
      <c r="D273" s="32"/>
      <c r="E273" s="32"/>
      <c r="F273" s="29"/>
      <c r="G273" s="29"/>
      <c r="H273" s="3"/>
      <c r="I273" s="29"/>
      <c r="J273" s="29"/>
      <c r="K273" s="29"/>
      <c r="L273" s="29"/>
      <c r="M273" s="29"/>
      <c r="N273" s="29"/>
      <c r="O273" s="3"/>
      <c r="P273" s="3"/>
      <c r="Q273" s="3"/>
      <c r="R273" s="3"/>
      <c r="S273" s="3"/>
    </row>
    <row r="274" ht="15.75" customHeight="1">
      <c r="A274" s="3"/>
      <c r="B274" s="31"/>
      <c r="C274" s="31"/>
      <c r="D274" s="32"/>
      <c r="E274" s="32"/>
      <c r="F274" s="29"/>
      <c r="G274" s="29"/>
      <c r="H274" s="3"/>
      <c r="I274" s="29"/>
      <c r="J274" s="29"/>
      <c r="K274" s="29"/>
      <c r="L274" s="29"/>
      <c r="M274" s="29"/>
      <c r="N274" s="29"/>
      <c r="O274" s="3"/>
      <c r="P274" s="3"/>
      <c r="Q274" s="3"/>
      <c r="R274" s="3"/>
      <c r="S274" s="3"/>
    </row>
    <row r="275" ht="15.75" customHeight="1">
      <c r="A275" s="3"/>
      <c r="B275" s="31"/>
      <c r="C275" s="31"/>
      <c r="D275" s="32"/>
      <c r="E275" s="32"/>
      <c r="F275" s="29"/>
      <c r="G275" s="29"/>
      <c r="H275" s="3"/>
      <c r="I275" s="29"/>
      <c r="J275" s="29"/>
      <c r="K275" s="29"/>
      <c r="L275" s="29"/>
      <c r="M275" s="29"/>
      <c r="N275" s="29"/>
      <c r="O275" s="3"/>
      <c r="P275" s="3"/>
      <c r="Q275" s="3"/>
      <c r="R275" s="3"/>
      <c r="S275" s="3"/>
    </row>
    <row r="276" ht="15.75" customHeight="1">
      <c r="A276" s="3"/>
      <c r="B276" s="31"/>
      <c r="C276" s="31"/>
      <c r="D276" s="32"/>
      <c r="E276" s="32"/>
      <c r="F276" s="29"/>
      <c r="G276" s="29"/>
      <c r="H276" s="3"/>
      <c r="I276" s="29"/>
      <c r="J276" s="29"/>
      <c r="K276" s="29"/>
      <c r="L276" s="29"/>
      <c r="M276" s="29"/>
      <c r="N276" s="29"/>
      <c r="O276" s="3"/>
      <c r="P276" s="3"/>
      <c r="Q276" s="3"/>
      <c r="R276" s="3"/>
      <c r="S276" s="3"/>
    </row>
    <row r="277" ht="15.75" customHeight="1">
      <c r="A277" s="3"/>
      <c r="B277" s="31"/>
      <c r="C277" s="31"/>
      <c r="D277" s="32"/>
      <c r="E277" s="32"/>
      <c r="F277" s="29"/>
      <c r="G277" s="29"/>
      <c r="H277" s="3"/>
      <c r="I277" s="29"/>
      <c r="J277" s="29"/>
      <c r="K277" s="29"/>
      <c r="L277" s="29"/>
      <c r="M277" s="29"/>
      <c r="N277" s="29"/>
      <c r="O277" s="3"/>
      <c r="P277" s="3"/>
      <c r="Q277" s="3"/>
      <c r="R277" s="3"/>
      <c r="S277" s="3"/>
    </row>
    <row r="278" ht="15.75" customHeight="1">
      <c r="A278" s="3"/>
      <c r="B278" s="31"/>
      <c r="C278" s="31"/>
      <c r="D278" s="32"/>
      <c r="E278" s="32"/>
      <c r="F278" s="29"/>
      <c r="G278" s="29"/>
      <c r="H278" s="3"/>
      <c r="I278" s="29"/>
      <c r="J278" s="29"/>
      <c r="K278" s="29"/>
      <c r="L278" s="29"/>
      <c r="M278" s="29"/>
      <c r="N278" s="29"/>
      <c r="O278" s="3"/>
      <c r="P278" s="3"/>
      <c r="Q278" s="3"/>
      <c r="R278" s="3"/>
      <c r="S278" s="3"/>
    </row>
    <row r="279" ht="15.75" customHeight="1">
      <c r="A279" s="3"/>
      <c r="B279" s="31"/>
      <c r="C279" s="31"/>
      <c r="D279" s="32"/>
      <c r="E279" s="32"/>
      <c r="F279" s="29"/>
      <c r="G279" s="29"/>
      <c r="H279" s="3"/>
      <c r="I279" s="29"/>
      <c r="J279" s="29"/>
      <c r="K279" s="29"/>
      <c r="L279" s="29"/>
      <c r="M279" s="29"/>
      <c r="N279" s="29"/>
      <c r="O279" s="3"/>
      <c r="P279" s="3"/>
      <c r="Q279" s="3"/>
      <c r="R279" s="3"/>
      <c r="S279" s="3"/>
    </row>
    <row r="280" ht="15.75" customHeight="1">
      <c r="A280" s="3"/>
      <c r="B280" s="31"/>
      <c r="C280" s="31"/>
      <c r="D280" s="32"/>
      <c r="E280" s="32"/>
      <c r="F280" s="29"/>
      <c r="G280" s="29"/>
      <c r="H280" s="3"/>
      <c r="I280" s="29"/>
      <c r="J280" s="29"/>
      <c r="K280" s="29"/>
      <c r="L280" s="29"/>
      <c r="M280" s="29"/>
      <c r="N280" s="29"/>
      <c r="O280" s="3"/>
      <c r="P280" s="3"/>
      <c r="Q280" s="3"/>
      <c r="R280" s="3"/>
      <c r="S280" s="3"/>
    </row>
    <row r="281" ht="15.75" customHeight="1">
      <c r="A281" s="3"/>
      <c r="B281" s="31"/>
      <c r="C281" s="31"/>
      <c r="D281" s="32"/>
      <c r="E281" s="32"/>
      <c r="F281" s="29"/>
      <c r="G281" s="29"/>
      <c r="H281" s="3"/>
      <c r="I281" s="29"/>
      <c r="J281" s="29"/>
      <c r="K281" s="29"/>
      <c r="L281" s="29"/>
      <c r="M281" s="29"/>
      <c r="N281" s="29"/>
      <c r="O281" s="3"/>
      <c r="P281" s="3"/>
      <c r="Q281" s="3"/>
      <c r="R281" s="3"/>
      <c r="S281" s="3"/>
    </row>
    <row r="282" ht="15.75" customHeight="1">
      <c r="A282" s="3"/>
      <c r="B282" s="31"/>
      <c r="C282" s="31"/>
      <c r="D282" s="32"/>
      <c r="E282" s="32"/>
      <c r="F282" s="29"/>
      <c r="G282" s="29"/>
      <c r="H282" s="3"/>
      <c r="I282" s="29"/>
      <c r="J282" s="29"/>
      <c r="K282" s="29"/>
      <c r="L282" s="29"/>
      <c r="M282" s="29"/>
      <c r="N282" s="29"/>
      <c r="O282" s="3"/>
      <c r="P282" s="3"/>
      <c r="Q282" s="3"/>
      <c r="R282" s="3"/>
      <c r="S282" s="3"/>
    </row>
    <row r="283" ht="15.75" customHeight="1">
      <c r="A283" s="3"/>
      <c r="B283" s="31"/>
      <c r="C283" s="31"/>
      <c r="D283" s="32"/>
      <c r="E283" s="32"/>
      <c r="F283" s="29"/>
      <c r="G283" s="29"/>
      <c r="H283" s="3"/>
      <c r="I283" s="29"/>
      <c r="J283" s="29"/>
      <c r="K283" s="29"/>
      <c r="L283" s="29"/>
      <c r="M283" s="29"/>
      <c r="N283" s="29"/>
      <c r="O283" s="3"/>
      <c r="P283" s="3"/>
      <c r="Q283" s="3"/>
      <c r="R283" s="3"/>
      <c r="S283" s="3"/>
    </row>
    <row r="284" ht="15.75" customHeight="1">
      <c r="A284" s="3"/>
      <c r="B284" s="31"/>
      <c r="C284" s="31"/>
      <c r="D284" s="32"/>
      <c r="E284" s="32"/>
      <c r="F284" s="29"/>
      <c r="G284" s="29"/>
      <c r="H284" s="3"/>
      <c r="I284" s="29"/>
      <c r="J284" s="29"/>
      <c r="K284" s="29"/>
      <c r="L284" s="29"/>
      <c r="M284" s="29"/>
      <c r="N284" s="29"/>
      <c r="O284" s="3"/>
      <c r="P284" s="3"/>
      <c r="Q284" s="3"/>
      <c r="R284" s="3"/>
      <c r="S284" s="3"/>
    </row>
    <row r="285" ht="15.75" customHeight="1">
      <c r="A285" s="3"/>
      <c r="B285" s="31"/>
      <c r="C285" s="31"/>
      <c r="D285" s="32"/>
      <c r="E285" s="32"/>
      <c r="F285" s="29"/>
      <c r="G285" s="29"/>
      <c r="H285" s="3"/>
      <c r="I285" s="29"/>
      <c r="J285" s="29"/>
      <c r="K285" s="29"/>
      <c r="L285" s="29"/>
      <c r="M285" s="29"/>
      <c r="N285" s="29"/>
      <c r="O285" s="3"/>
      <c r="P285" s="3"/>
      <c r="Q285" s="3"/>
      <c r="R285" s="3"/>
      <c r="S285" s="3"/>
    </row>
    <row r="286" ht="15.75" customHeight="1">
      <c r="A286" s="3"/>
      <c r="B286" s="31"/>
      <c r="C286" s="31"/>
      <c r="D286" s="32"/>
      <c r="E286" s="32"/>
      <c r="F286" s="29"/>
      <c r="G286" s="29"/>
      <c r="H286" s="3"/>
      <c r="I286" s="29"/>
      <c r="J286" s="29"/>
      <c r="K286" s="29"/>
      <c r="L286" s="29"/>
      <c r="M286" s="29"/>
      <c r="N286" s="29"/>
      <c r="O286" s="3"/>
      <c r="P286" s="3"/>
      <c r="Q286" s="3"/>
      <c r="R286" s="3"/>
      <c r="S286" s="3"/>
    </row>
    <row r="287" ht="15.75" customHeight="1">
      <c r="A287" s="3"/>
      <c r="B287" s="31"/>
      <c r="C287" s="31"/>
      <c r="D287" s="32"/>
      <c r="E287" s="32"/>
      <c r="F287" s="29"/>
      <c r="G287" s="29"/>
      <c r="H287" s="3"/>
      <c r="I287" s="29"/>
      <c r="J287" s="29"/>
      <c r="K287" s="29"/>
      <c r="L287" s="29"/>
      <c r="M287" s="29"/>
      <c r="N287" s="29"/>
      <c r="O287" s="3"/>
      <c r="P287" s="3"/>
      <c r="Q287" s="3"/>
      <c r="R287" s="3"/>
      <c r="S287" s="3"/>
    </row>
    <row r="288" ht="15.75" customHeight="1">
      <c r="A288" s="3"/>
      <c r="B288" s="31"/>
      <c r="C288" s="31"/>
      <c r="D288" s="32"/>
      <c r="E288" s="32"/>
      <c r="F288" s="29"/>
      <c r="G288" s="29"/>
      <c r="H288" s="3"/>
      <c r="I288" s="29"/>
      <c r="J288" s="29"/>
      <c r="K288" s="29"/>
      <c r="L288" s="29"/>
      <c r="M288" s="29"/>
      <c r="N288" s="29"/>
      <c r="O288" s="3"/>
      <c r="P288" s="3"/>
      <c r="Q288" s="3"/>
      <c r="R288" s="3"/>
      <c r="S288" s="3"/>
    </row>
    <row r="289" ht="15.75" customHeight="1">
      <c r="A289" s="3"/>
      <c r="B289" s="31"/>
      <c r="C289" s="31"/>
      <c r="D289" s="32"/>
      <c r="E289" s="32"/>
      <c r="F289" s="29"/>
      <c r="G289" s="29"/>
      <c r="H289" s="3"/>
      <c r="I289" s="29"/>
      <c r="J289" s="29"/>
      <c r="K289" s="29"/>
      <c r="L289" s="29"/>
      <c r="M289" s="29"/>
      <c r="N289" s="29"/>
      <c r="O289" s="3"/>
      <c r="P289" s="3"/>
      <c r="Q289" s="3"/>
      <c r="R289" s="3"/>
      <c r="S289" s="3"/>
    </row>
    <row r="290" ht="15.75" customHeight="1">
      <c r="A290" s="3"/>
      <c r="B290" s="31"/>
      <c r="C290" s="31"/>
      <c r="D290" s="32"/>
      <c r="E290" s="32"/>
      <c r="F290" s="29"/>
      <c r="G290" s="29"/>
      <c r="H290" s="3"/>
      <c r="I290" s="29"/>
      <c r="J290" s="29"/>
      <c r="K290" s="29"/>
      <c r="L290" s="29"/>
      <c r="M290" s="29"/>
      <c r="N290" s="29"/>
      <c r="O290" s="3"/>
      <c r="P290" s="3"/>
      <c r="Q290" s="3"/>
      <c r="R290" s="3"/>
      <c r="S290" s="3"/>
    </row>
    <row r="291" ht="15.75" customHeight="1">
      <c r="A291" s="3"/>
      <c r="B291" s="31"/>
      <c r="C291" s="31"/>
      <c r="D291" s="32"/>
      <c r="E291" s="32"/>
      <c r="F291" s="29"/>
      <c r="G291" s="29"/>
      <c r="H291" s="3"/>
      <c r="I291" s="29"/>
      <c r="J291" s="29"/>
      <c r="K291" s="29"/>
      <c r="L291" s="29"/>
      <c r="M291" s="29"/>
      <c r="N291" s="29"/>
      <c r="O291" s="3"/>
      <c r="P291" s="3"/>
      <c r="Q291" s="3"/>
      <c r="R291" s="3"/>
      <c r="S291" s="3"/>
    </row>
    <row r="292" ht="15.75" customHeight="1">
      <c r="A292" s="3"/>
      <c r="B292" s="31"/>
      <c r="C292" s="31"/>
      <c r="D292" s="32"/>
      <c r="E292" s="32"/>
      <c r="F292" s="29"/>
      <c r="G292" s="29"/>
      <c r="H292" s="3"/>
      <c r="I292" s="29"/>
      <c r="J292" s="29"/>
      <c r="K292" s="29"/>
      <c r="L292" s="29"/>
      <c r="M292" s="29"/>
      <c r="N292" s="29"/>
      <c r="O292" s="3"/>
      <c r="P292" s="3"/>
      <c r="Q292" s="3"/>
      <c r="R292" s="3"/>
      <c r="S292" s="3"/>
    </row>
    <row r="293" ht="15.75" customHeight="1">
      <c r="A293" s="3"/>
      <c r="B293" s="31"/>
      <c r="C293" s="31"/>
      <c r="D293" s="32"/>
      <c r="E293" s="32"/>
      <c r="F293" s="29"/>
      <c r="G293" s="29"/>
      <c r="H293" s="3"/>
      <c r="I293" s="29"/>
      <c r="J293" s="29"/>
      <c r="K293" s="29"/>
      <c r="L293" s="29"/>
      <c r="M293" s="29"/>
      <c r="N293" s="29"/>
      <c r="O293" s="3"/>
      <c r="P293" s="3"/>
      <c r="Q293" s="3"/>
      <c r="R293" s="3"/>
      <c r="S293" s="3"/>
    </row>
    <row r="294" ht="15.75" customHeight="1">
      <c r="A294" s="3"/>
      <c r="B294" s="31"/>
      <c r="C294" s="31"/>
      <c r="D294" s="32"/>
      <c r="E294" s="32"/>
      <c r="F294" s="29"/>
      <c r="G294" s="29"/>
      <c r="H294" s="3"/>
      <c r="I294" s="29"/>
      <c r="J294" s="29"/>
      <c r="K294" s="29"/>
      <c r="L294" s="29"/>
      <c r="M294" s="29"/>
      <c r="N294" s="29"/>
      <c r="O294" s="3"/>
      <c r="P294" s="3"/>
      <c r="Q294" s="3"/>
      <c r="R294" s="3"/>
      <c r="S294" s="3"/>
    </row>
    <row r="295" ht="15.75" customHeight="1">
      <c r="A295" s="3"/>
      <c r="B295" s="31"/>
      <c r="C295" s="31"/>
      <c r="D295" s="32"/>
      <c r="E295" s="32"/>
      <c r="F295" s="29"/>
      <c r="G295" s="29"/>
      <c r="H295" s="3"/>
      <c r="I295" s="29"/>
      <c r="J295" s="29"/>
      <c r="K295" s="29"/>
      <c r="L295" s="29"/>
      <c r="M295" s="29"/>
      <c r="N295" s="29"/>
      <c r="O295" s="3"/>
      <c r="P295" s="3"/>
      <c r="Q295" s="3"/>
      <c r="R295" s="3"/>
      <c r="S295" s="3"/>
    </row>
    <row r="296" ht="15.75" customHeight="1">
      <c r="A296" s="3"/>
      <c r="B296" s="31"/>
      <c r="C296" s="31"/>
      <c r="D296" s="32"/>
      <c r="E296" s="32"/>
      <c r="F296" s="29"/>
      <c r="G296" s="29"/>
      <c r="H296" s="3"/>
      <c r="I296" s="29"/>
      <c r="J296" s="29"/>
      <c r="K296" s="29"/>
      <c r="L296" s="29"/>
      <c r="M296" s="29"/>
      <c r="N296" s="29"/>
      <c r="O296" s="3"/>
      <c r="P296" s="3"/>
      <c r="Q296" s="3"/>
      <c r="R296" s="3"/>
      <c r="S296" s="3"/>
    </row>
    <row r="297" ht="15.75" customHeight="1">
      <c r="A297" s="3"/>
      <c r="B297" s="31"/>
      <c r="C297" s="31"/>
      <c r="D297" s="32"/>
      <c r="E297" s="32"/>
      <c r="F297" s="29"/>
      <c r="G297" s="29"/>
      <c r="H297" s="3"/>
      <c r="I297" s="29"/>
      <c r="J297" s="29"/>
      <c r="K297" s="29"/>
      <c r="L297" s="29"/>
      <c r="M297" s="29"/>
      <c r="N297" s="29"/>
      <c r="O297" s="3"/>
      <c r="P297" s="3"/>
      <c r="Q297" s="3"/>
      <c r="R297" s="3"/>
      <c r="S297" s="3"/>
    </row>
    <row r="298" ht="15.75" customHeight="1">
      <c r="A298" s="3"/>
      <c r="B298" s="31"/>
      <c r="C298" s="31"/>
      <c r="D298" s="32"/>
      <c r="E298" s="32"/>
      <c r="F298" s="29"/>
      <c r="G298" s="29"/>
      <c r="H298" s="3"/>
      <c r="I298" s="29"/>
      <c r="J298" s="29"/>
      <c r="K298" s="29"/>
      <c r="L298" s="29"/>
      <c r="M298" s="29"/>
      <c r="N298" s="29"/>
      <c r="O298" s="3"/>
      <c r="P298" s="3"/>
      <c r="Q298" s="3"/>
      <c r="R298" s="3"/>
      <c r="S298" s="3"/>
    </row>
    <row r="299" ht="15.75" customHeight="1">
      <c r="A299" s="3"/>
      <c r="B299" s="31"/>
      <c r="C299" s="31"/>
      <c r="D299" s="32"/>
      <c r="E299" s="32"/>
      <c r="F299" s="29"/>
      <c r="G299" s="29"/>
      <c r="H299" s="3"/>
      <c r="I299" s="29"/>
      <c r="J299" s="29"/>
      <c r="K299" s="29"/>
      <c r="L299" s="29"/>
      <c r="M299" s="29"/>
      <c r="N299" s="29"/>
      <c r="O299" s="3"/>
      <c r="P299" s="3"/>
      <c r="Q299" s="3"/>
      <c r="R299" s="3"/>
      <c r="S299" s="3"/>
    </row>
    <row r="300" ht="15.75" customHeight="1">
      <c r="A300" s="3"/>
      <c r="B300" s="31"/>
      <c r="C300" s="31"/>
      <c r="D300" s="32"/>
      <c r="E300" s="32"/>
      <c r="F300" s="29"/>
      <c r="G300" s="29"/>
      <c r="H300" s="3"/>
      <c r="I300" s="29"/>
      <c r="J300" s="29"/>
      <c r="K300" s="29"/>
      <c r="L300" s="29"/>
      <c r="M300" s="29"/>
      <c r="N300" s="29"/>
      <c r="O300" s="3"/>
      <c r="P300" s="3"/>
      <c r="Q300" s="3"/>
      <c r="R300" s="3"/>
      <c r="S300" s="3"/>
    </row>
    <row r="301" ht="15.75" customHeight="1">
      <c r="A301" s="3"/>
      <c r="B301" s="31"/>
      <c r="C301" s="31"/>
      <c r="D301" s="32"/>
      <c r="E301" s="32"/>
      <c r="F301" s="29"/>
      <c r="G301" s="29"/>
      <c r="H301" s="3"/>
      <c r="I301" s="29"/>
      <c r="J301" s="29"/>
      <c r="K301" s="29"/>
      <c r="L301" s="29"/>
      <c r="M301" s="29"/>
      <c r="N301" s="29"/>
      <c r="O301" s="3"/>
      <c r="P301" s="3"/>
      <c r="Q301" s="3"/>
      <c r="R301" s="3"/>
      <c r="S301" s="3"/>
    </row>
    <row r="302" ht="15.75" customHeight="1">
      <c r="A302" s="3"/>
      <c r="B302" s="31"/>
      <c r="C302" s="31"/>
      <c r="D302" s="32"/>
      <c r="E302" s="32"/>
      <c r="F302" s="29"/>
      <c r="G302" s="29"/>
      <c r="H302" s="3"/>
      <c r="I302" s="29"/>
      <c r="J302" s="29"/>
      <c r="K302" s="29"/>
      <c r="L302" s="29"/>
      <c r="M302" s="29"/>
      <c r="N302" s="29"/>
      <c r="O302" s="3"/>
      <c r="P302" s="3"/>
      <c r="Q302" s="3"/>
      <c r="R302" s="3"/>
      <c r="S302" s="3"/>
    </row>
    <row r="303" ht="15.75" customHeight="1">
      <c r="A303" s="3"/>
      <c r="B303" s="31"/>
      <c r="C303" s="31"/>
      <c r="D303" s="32"/>
      <c r="E303" s="32"/>
      <c r="F303" s="29"/>
      <c r="G303" s="29"/>
      <c r="H303" s="3"/>
      <c r="I303" s="29"/>
      <c r="J303" s="29"/>
      <c r="K303" s="29"/>
      <c r="L303" s="29"/>
      <c r="M303" s="29"/>
      <c r="N303" s="29"/>
      <c r="O303" s="3"/>
      <c r="P303" s="3"/>
      <c r="Q303" s="3"/>
      <c r="R303" s="3"/>
      <c r="S303" s="3"/>
    </row>
    <row r="304" ht="15.75" customHeight="1">
      <c r="A304" s="3"/>
      <c r="B304" s="31"/>
      <c r="C304" s="31"/>
      <c r="D304" s="32"/>
      <c r="E304" s="32"/>
      <c r="F304" s="29"/>
      <c r="G304" s="29"/>
      <c r="H304" s="3"/>
      <c r="I304" s="29"/>
      <c r="J304" s="29"/>
      <c r="K304" s="29"/>
      <c r="L304" s="29"/>
      <c r="M304" s="29"/>
      <c r="N304" s="29"/>
      <c r="O304" s="3"/>
      <c r="P304" s="3"/>
      <c r="Q304" s="3"/>
      <c r="R304" s="3"/>
      <c r="S304" s="3"/>
    </row>
    <row r="305" ht="15.75" customHeight="1">
      <c r="A305" s="3"/>
      <c r="B305" s="31"/>
      <c r="C305" s="31"/>
      <c r="D305" s="32"/>
      <c r="E305" s="32"/>
      <c r="F305" s="29"/>
      <c r="G305" s="29"/>
      <c r="H305" s="3"/>
      <c r="I305" s="29"/>
      <c r="J305" s="29"/>
      <c r="K305" s="29"/>
      <c r="L305" s="29"/>
      <c r="M305" s="29"/>
      <c r="N305" s="29"/>
      <c r="O305" s="3"/>
      <c r="P305" s="3"/>
      <c r="Q305" s="3"/>
      <c r="R305" s="3"/>
      <c r="S305" s="3"/>
    </row>
    <row r="306" ht="15.75" customHeight="1">
      <c r="A306" s="3"/>
      <c r="B306" s="31"/>
      <c r="C306" s="31"/>
      <c r="D306" s="32"/>
      <c r="E306" s="32"/>
      <c r="F306" s="29"/>
      <c r="G306" s="29"/>
      <c r="H306" s="3"/>
      <c r="I306" s="29"/>
      <c r="J306" s="29"/>
      <c r="K306" s="29"/>
      <c r="L306" s="29"/>
      <c r="M306" s="29"/>
      <c r="N306" s="29"/>
      <c r="O306" s="3"/>
      <c r="P306" s="3"/>
      <c r="Q306" s="3"/>
      <c r="R306" s="3"/>
      <c r="S306" s="3"/>
    </row>
    <row r="307" ht="15.75" customHeight="1">
      <c r="A307" s="3"/>
      <c r="B307" s="31"/>
      <c r="C307" s="31"/>
      <c r="D307" s="32"/>
      <c r="E307" s="32"/>
      <c r="F307" s="29"/>
      <c r="G307" s="29"/>
      <c r="H307" s="3"/>
      <c r="I307" s="29"/>
      <c r="J307" s="29"/>
      <c r="K307" s="29"/>
      <c r="L307" s="29"/>
      <c r="M307" s="29"/>
      <c r="N307" s="29"/>
      <c r="O307" s="3"/>
      <c r="P307" s="3"/>
      <c r="Q307" s="3"/>
      <c r="R307" s="3"/>
      <c r="S307" s="3"/>
    </row>
    <row r="308" ht="15.75" customHeight="1">
      <c r="A308" s="3"/>
      <c r="B308" s="31"/>
      <c r="C308" s="31"/>
      <c r="D308" s="32"/>
      <c r="E308" s="32"/>
      <c r="F308" s="29"/>
      <c r="G308" s="29"/>
      <c r="H308" s="3"/>
      <c r="I308" s="29"/>
      <c r="J308" s="29"/>
      <c r="K308" s="29"/>
      <c r="L308" s="29"/>
      <c r="M308" s="29"/>
      <c r="N308" s="29"/>
      <c r="O308" s="3"/>
      <c r="P308" s="3"/>
      <c r="Q308" s="3"/>
      <c r="R308" s="3"/>
      <c r="S308" s="3"/>
    </row>
    <row r="309" ht="15.75" customHeight="1">
      <c r="A309" s="3"/>
      <c r="B309" s="31"/>
      <c r="C309" s="31"/>
      <c r="D309" s="32"/>
      <c r="E309" s="32"/>
      <c r="F309" s="29"/>
      <c r="G309" s="29"/>
      <c r="H309" s="3"/>
      <c r="I309" s="29"/>
      <c r="J309" s="29"/>
      <c r="K309" s="29"/>
      <c r="L309" s="29"/>
      <c r="M309" s="29"/>
      <c r="N309" s="29"/>
      <c r="O309" s="3"/>
      <c r="P309" s="3"/>
      <c r="Q309" s="3"/>
      <c r="R309" s="3"/>
      <c r="S309" s="3"/>
    </row>
    <row r="310" ht="15.75" customHeight="1">
      <c r="A310" s="3"/>
      <c r="B310" s="31"/>
      <c r="C310" s="31"/>
      <c r="D310" s="32"/>
      <c r="E310" s="32"/>
      <c r="F310" s="29"/>
      <c r="G310" s="29"/>
      <c r="H310" s="3"/>
      <c r="I310" s="29"/>
      <c r="J310" s="29"/>
      <c r="K310" s="29"/>
      <c r="L310" s="29"/>
      <c r="M310" s="29"/>
      <c r="N310" s="29"/>
      <c r="O310" s="3"/>
      <c r="P310" s="3"/>
      <c r="Q310" s="3"/>
      <c r="R310" s="3"/>
      <c r="S310" s="3"/>
    </row>
    <row r="311" ht="15.75" customHeight="1">
      <c r="A311" s="3"/>
      <c r="B311" s="31"/>
      <c r="C311" s="31"/>
      <c r="D311" s="32"/>
      <c r="E311" s="32"/>
      <c r="F311" s="29"/>
      <c r="G311" s="29"/>
      <c r="H311" s="3"/>
      <c r="I311" s="29"/>
      <c r="J311" s="29"/>
      <c r="K311" s="29"/>
      <c r="L311" s="29"/>
      <c r="M311" s="29"/>
      <c r="N311" s="29"/>
      <c r="O311" s="3"/>
      <c r="P311" s="3"/>
      <c r="Q311" s="3"/>
      <c r="R311" s="3"/>
      <c r="S311" s="3"/>
    </row>
    <row r="312" ht="15.75" customHeight="1">
      <c r="A312" s="3"/>
      <c r="B312" s="31"/>
      <c r="C312" s="31"/>
      <c r="D312" s="32"/>
      <c r="E312" s="32"/>
      <c r="F312" s="29"/>
      <c r="G312" s="29"/>
      <c r="H312" s="3"/>
      <c r="I312" s="29"/>
      <c r="J312" s="29"/>
      <c r="K312" s="29"/>
      <c r="L312" s="29"/>
      <c r="M312" s="29"/>
      <c r="N312" s="29"/>
      <c r="O312" s="3"/>
      <c r="P312" s="3"/>
      <c r="Q312" s="3"/>
      <c r="R312" s="3"/>
      <c r="S312" s="3"/>
    </row>
    <row r="313" ht="15.75" customHeight="1">
      <c r="A313" s="3"/>
      <c r="B313" s="31"/>
      <c r="C313" s="31"/>
      <c r="D313" s="32"/>
      <c r="E313" s="32"/>
      <c r="F313" s="29"/>
      <c r="G313" s="29"/>
      <c r="H313" s="3"/>
      <c r="I313" s="29"/>
      <c r="J313" s="29"/>
      <c r="K313" s="29"/>
      <c r="L313" s="29"/>
      <c r="M313" s="29"/>
      <c r="N313" s="29"/>
      <c r="O313" s="3"/>
      <c r="P313" s="3"/>
      <c r="Q313" s="3"/>
      <c r="R313" s="3"/>
      <c r="S313" s="3"/>
    </row>
    <row r="314" ht="15.75" customHeight="1">
      <c r="A314" s="3"/>
      <c r="B314" s="31"/>
      <c r="C314" s="31"/>
      <c r="D314" s="32"/>
      <c r="E314" s="32"/>
      <c r="F314" s="29"/>
      <c r="G314" s="29"/>
      <c r="H314" s="3"/>
      <c r="I314" s="29"/>
      <c r="J314" s="29"/>
      <c r="K314" s="29"/>
      <c r="L314" s="29"/>
      <c r="M314" s="29"/>
      <c r="N314" s="29"/>
      <c r="O314" s="3"/>
      <c r="P314" s="3"/>
      <c r="Q314" s="3"/>
      <c r="R314" s="3"/>
      <c r="S314" s="3"/>
    </row>
    <row r="315" ht="15.75" customHeight="1">
      <c r="A315" s="3"/>
      <c r="B315" s="31"/>
      <c r="C315" s="31"/>
      <c r="D315" s="32"/>
      <c r="E315" s="32"/>
      <c r="F315" s="29"/>
      <c r="G315" s="29"/>
      <c r="H315" s="3"/>
      <c r="I315" s="29"/>
      <c r="J315" s="29"/>
      <c r="K315" s="29"/>
      <c r="L315" s="29"/>
      <c r="M315" s="29"/>
      <c r="N315" s="29"/>
      <c r="O315" s="3"/>
      <c r="P315" s="3"/>
      <c r="Q315" s="3"/>
      <c r="R315" s="3"/>
      <c r="S315" s="3"/>
    </row>
    <row r="316" ht="15.75" customHeight="1">
      <c r="A316" s="3"/>
      <c r="B316" s="31"/>
      <c r="C316" s="31"/>
      <c r="D316" s="32"/>
      <c r="E316" s="32"/>
      <c r="F316" s="29"/>
      <c r="G316" s="29"/>
      <c r="H316" s="3"/>
      <c r="I316" s="29"/>
      <c r="J316" s="29"/>
      <c r="K316" s="29"/>
      <c r="L316" s="29"/>
      <c r="M316" s="29"/>
      <c r="N316" s="29"/>
      <c r="O316" s="3"/>
      <c r="P316" s="3"/>
      <c r="Q316" s="3"/>
      <c r="R316" s="3"/>
      <c r="S316" s="3"/>
    </row>
    <row r="317" ht="15.75" customHeight="1">
      <c r="A317" s="3"/>
      <c r="B317" s="31"/>
      <c r="C317" s="31"/>
      <c r="D317" s="32"/>
      <c r="E317" s="32"/>
      <c r="F317" s="29"/>
      <c r="G317" s="29"/>
      <c r="H317" s="3"/>
      <c r="I317" s="29"/>
      <c r="J317" s="29"/>
      <c r="K317" s="29"/>
      <c r="L317" s="29"/>
      <c r="M317" s="29"/>
      <c r="N317" s="29"/>
      <c r="O317" s="3"/>
      <c r="P317" s="3"/>
      <c r="Q317" s="3"/>
      <c r="R317" s="3"/>
      <c r="S317" s="3"/>
    </row>
    <row r="318" ht="15.75" customHeight="1">
      <c r="A318" s="3"/>
      <c r="B318" s="31"/>
      <c r="C318" s="31"/>
      <c r="D318" s="32"/>
      <c r="E318" s="32"/>
      <c r="F318" s="29"/>
      <c r="G318" s="29"/>
      <c r="H318" s="3"/>
      <c r="I318" s="29"/>
      <c r="J318" s="29"/>
      <c r="K318" s="29"/>
      <c r="L318" s="29"/>
      <c r="M318" s="29"/>
      <c r="N318" s="29"/>
      <c r="O318" s="3"/>
      <c r="P318" s="3"/>
      <c r="Q318" s="3"/>
      <c r="R318" s="3"/>
      <c r="S318" s="3"/>
    </row>
    <row r="319" ht="15.75" customHeight="1">
      <c r="A319" s="3"/>
      <c r="B319" s="31"/>
      <c r="C319" s="31"/>
      <c r="D319" s="32"/>
      <c r="E319" s="32"/>
      <c r="F319" s="29"/>
      <c r="G319" s="29"/>
      <c r="H319" s="3"/>
      <c r="I319" s="29"/>
      <c r="J319" s="29"/>
      <c r="K319" s="29"/>
      <c r="L319" s="29"/>
      <c r="M319" s="29"/>
      <c r="N319" s="29"/>
      <c r="O319" s="3"/>
      <c r="P319" s="3"/>
      <c r="Q319" s="3"/>
      <c r="R319" s="3"/>
      <c r="S319" s="3"/>
    </row>
    <row r="320" ht="15.75" customHeight="1">
      <c r="A320" s="3"/>
      <c r="B320" s="31"/>
      <c r="C320" s="31"/>
      <c r="D320" s="32"/>
      <c r="E320" s="32"/>
      <c r="F320" s="29"/>
      <c r="G320" s="29"/>
      <c r="H320" s="3"/>
      <c r="I320" s="29"/>
      <c r="J320" s="29"/>
      <c r="K320" s="29"/>
      <c r="L320" s="29"/>
      <c r="M320" s="29"/>
      <c r="N320" s="29"/>
      <c r="O320" s="3"/>
      <c r="P320" s="3"/>
      <c r="Q320" s="3"/>
      <c r="R320" s="3"/>
      <c r="S320" s="3"/>
    </row>
    <row r="321" ht="15.75" customHeight="1">
      <c r="A321" s="3"/>
      <c r="B321" s="31"/>
      <c r="C321" s="31"/>
      <c r="D321" s="32"/>
      <c r="E321" s="32"/>
      <c r="F321" s="29"/>
      <c r="G321" s="29"/>
      <c r="H321" s="3"/>
      <c r="I321" s="29"/>
      <c r="J321" s="29"/>
      <c r="K321" s="29"/>
      <c r="L321" s="29"/>
      <c r="M321" s="29"/>
      <c r="N321" s="29"/>
      <c r="O321" s="3"/>
      <c r="P321" s="3"/>
      <c r="Q321" s="3"/>
      <c r="R321" s="3"/>
      <c r="S321" s="3"/>
    </row>
    <row r="322" ht="15.75" customHeight="1">
      <c r="A322" s="3"/>
      <c r="B322" s="31"/>
      <c r="C322" s="31"/>
      <c r="D322" s="32"/>
      <c r="E322" s="32"/>
      <c r="F322" s="29"/>
      <c r="G322" s="29"/>
      <c r="H322" s="3"/>
      <c r="I322" s="29"/>
      <c r="J322" s="29"/>
      <c r="K322" s="29"/>
      <c r="L322" s="29"/>
      <c r="M322" s="29"/>
      <c r="N322" s="29"/>
      <c r="O322" s="3"/>
      <c r="P322" s="3"/>
      <c r="Q322" s="3"/>
      <c r="R322" s="3"/>
      <c r="S322" s="3"/>
    </row>
    <row r="323" ht="15.75" customHeight="1">
      <c r="A323" s="3"/>
      <c r="B323" s="31"/>
      <c r="C323" s="31"/>
      <c r="D323" s="32"/>
      <c r="E323" s="32"/>
      <c r="F323" s="29"/>
      <c r="G323" s="29"/>
      <c r="H323" s="3"/>
      <c r="I323" s="29"/>
      <c r="J323" s="29"/>
      <c r="K323" s="29"/>
      <c r="L323" s="29"/>
      <c r="M323" s="29"/>
      <c r="N323" s="29"/>
      <c r="O323" s="3"/>
      <c r="P323" s="3"/>
      <c r="Q323" s="3"/>
      <c r="R323" s="3"/>
      <c r="S323" s="3"/>
    </row>
    <row r="324" ht="15.75" customHeight="1">
      <c r="A324" s="3"/>
      <c r="B324" s="31"/>
      <c r="C324" s="31"/>
      <c r="D324" s="32"/>
      <c r="E324" s="32"/>
      <c r="F324" s="29"/>
      <c r="G324" s="29"/>
      <c r="H324" s="3"/>
      <c r="I324" s="29"/>
      <c r="J324" s="29"/>
      <c r="K324" s="29"/>
      <c r="L324" s="29"/>
      <c r="M324" s="29"/>
      <c r="N324" s="29"/>
      <c r="O324" s="3"/>
      <c r="P324" s="3"/>
      <c r="Q324" s="3"/>
      <c r="R324" s="3"/>
      <c r="S324" s="3"/>
    </row>
    <row r="325" ht="15.75" customHeight="1">
      <c r="A325" s="3"/>
      <c r="B325" s="31"/>
      <c r="C325" s="31"/>
      <c r="D325" s="32"/>
      <c r="E325" s="32"/>
      <c r="F325" s="29"/>
      <c r="G325" s="29"/>
      <c r="H325" s="3"/>
      <c r="I325" s="29"/>
      <c r="J325" s="29"/>
      <c r="K325" s="29"/>
      <c r="L325" s="29"/>
      <c r="M325" s="29"/>
      <c r="N325" s="29"/>
      <c r="O325" s="3"/>
      <c r="P325" s="3"/>
      <c r="Q325" s="3"/>
      <c r="R325" s="3"/>
      <c r="S325" s="3"/>
    </row>
    <row r="326" ht="15.75" customHeight="1">
      <c r="A326" s="3"/>
      <c r="B326" s="31"/>
      <c r="C326" s="31"/>
      <c r="D326" s="32"/>
      <c r="E326" s="32"/>
      <c r="F326" s="29"/>
      <c r="G326" s="29"/>
      <c r="H326" s="3"/>
      <c r="I326" s="29"/>
      <c r="J326" s="29"/>
      <c r="K326" s="29"/>
      <c r="L326" s="29"/>
      <c r="M326" s="29"/>
      <c r="N326" s="29"/>
      <c r="O326" s="3"/>
      <c r="P326" s="3"/>
      <c r="Q326" s="3"/>
      <c r="R326" s="3"/>
      <c r="S326" s="3"/>
    </row>
    <row r="327" ht="15.75" customHeight="1">
      <c r="A327" s="3"/>
      <c r="B327" s="31"/>
      <c r="C327" s="31"/>
      <c r="D327" s="32"/>
      <c r="E327" s="32"/>
      <c r="F327" s="29"/>
      <c r="G327" s="29"/>
      <c r="H327" s="3"/>
      <c r="I327" s="29"/>
      <c r="J327" s="29"/>
      <c r="K327" s="29"/>
      <c r="L327" s="29"/>
      <c r="M327" s="29"/>
      <c r="N327" s="29"/>
      <c r="O327" s="3"/>
      <c r="P327" s="3"/>
      <c r="Q327" s="3"/>
      <c r="R327" s="3"/>
      <c r="S327" s="3"/>
    </row>
    <row r="328" ht="15.75" customHeight="1">
      <c r="A328" s="3"/>
      <c r="B328" s="31"/>
      <c r="C328" s="31"/>
      <c r="D328" s="32"/>
      <c r="E328" s="32"/>
      <c r="F328" s="29"/>
      <c r="G328" s="29"/>
      <c r="H328" s="3"/>
      <c r="I328" s="29"/>
      <c r="J328" s="29"/>
      <c r="K328" s="29"/>
      <c r="L328" s="29"/>
      <c r="M328" s="29"/>
      <c r="N328" s="29"/>
      <c r="O328" s="3"/>
      <c r="P328" s="3"/>
      <c r="Q328" s="3"/>
      <c r="R328" s="3"/>
      <c r="S328" s="3"/>
    </row>
    <row r="329" ht="15.75" customHeight="1">
      <c r="A329" s="3"/>
      <c r="B329" s="31"/>
      <c r="C329" s="31"/>
      <c r="D329" s="32"/>
      <c r="E329" s="32"/>
      <c r="F329" s="29"/>
      <c r="G329" s="29"/>
      <c r="H329" s="3"/>
      <c r="I329" s="29"/>
      <c r="J329" s="29"/>
      <c r="K329" s="29"/>
      <c r="L329" s="29"/>
      <c r="M329" s="29"/>
      <c r="N329" s="29"/>
      <c r="O329" s="3"/>
      <c r="P329" s="3"/>
      <c r="Q329" s="3"/>
      <c r="R329" s="3"/>
      <c r="S329" s="3"/>
    </row>
    <row r="330" ht="15.75" customHeight="1">
      <c r="A330" s="3"/>
      <c r="B330" s="31"/>
      <c r="C330" s="31"/>
      <c r="D330" s="32"/>
      <c r="E330" s="32"/>
      <c r="F330" s="29"/>
      <c r="G330" s="29"/>
      <c r="H330" s="3"/>
      <c r="I330" s="29"/>
      <c r="J330" s="29"/>
      <c r="K330" s="29"/>
      <c r="L330" s="29"/>
      <c r="M330" s="29"/>
      <c r="N330" s="29"/>
      <c r="O330" s="3"/>
      <c r="P330" s="3"/>
      <c r="Q330" s="3"/>
      <c r="R330" s="3"/>
      <c r="S330" s="3"/>
    </row>
    <row r="331" ht="15.75" customHeight="1">
      <c r="A331" s="3"/>
      <c r="B331" s="31"/>
      <c r="C331" s="31"/>
      <c r="D331" s="32"/>
      <c r="E331" s="32"/>
      <c r="F331" s="29"/>
      <c r="G331" s="29"/>
      <c r="H331" s="3"/>
      <c r="I331" s="29"/>
      <c r="J331" s="29"/>
      <c r="K331" s="29"/>
      <c r="L331" s="29"/>
      <c r="M331" s="29"/>
      <c r="N331" s="29"/>
      <c r="O331" s="3"/>
      <c r="P331" s="3"/>
      <c r="Q331" s="3"/>
      <c r="R331" s="3"/>
      <c r="S331" s="3"/>
    </row>
    <row r="332" ht="15.75" customHeight="1">
      <c r="A332" s="3"/>
      <c r="B332" s="31"/>
      <c r="C332" s="31"/>
      <c r="D332" s="32"/>
      <c r="E332" s="32"/>
      <c r="F332" s="29"/>
      <c r="G332" s="29"/>
      <c r="H332" s="3"/>
      <c r="I332" s="29"/>
      <c r="J332" s="29"/>
      <c r="K332" s="29"/>
      <c r="L332" s="29"/>
      <c r="M332" s="29"/>
      <c r="N332" s="29"/>
      <c r="O332" s="3"/>
      <c r="P332" s="3"/>
      <c r="Q332" s="3"/>
      <c r="R332" s="3"/>
      <c r="S332" s="3"/>
    </row>
    <row r="333" ht="15.75" customHeight="1">
      <c r="A333" s="3"/>
      <c r="B333" s="31"/>
      <c r="C333" s="31"/>
      <c r="D333" s="32"/>
      <c r="E333" s="32"/>
      <c r="F333" s="29"/>
      <c r="G333" s="29"/>
      <c r="H333" s="3"/>
      <c r="I333" s="29"/>
      <c r="J333" s="29"/>
      <c r="K333" s="29"/>
      <c r="L333" s="29"/>
      <c r="M333" s="29"/>
      <c r="N333" s="29"/>
      <c r="O333" s="3"/>
      <c r="P333" s="3"/>
      <c r="Q333" s="3"/>
      <c r="R333" s="3"/>
      <c r="S333" s="3"/>
    </row>
    <row r="334" ht="15.75" customHeight="1">
      <c r="A334" s="3"/>
      <c r="B334" s="31"/>
      <c r="C334" s="31"/>
      <c r="D334" s="32"/>
      <c r="E334" s="32"/>
      <c r="F334" s="29"/>
      <c r="G334" s="29"/>
      <c r="H334" s="3"/>
      <c r="I334" s="29"/>
      <c r="J334" s="29"/>
      <c r="K334" s="29"/>
      <c r="L334" s="29"/>
      <c r="M334" s="29"/>
      <c r="N334" s="29"/>
      <c r="O334" s="3"/>
      <c r="P334" s="3"/>
      <c r="Q334" s="3"/>
      <c r="R334" s="3"/>
      <c r="S334" s="3"/>
    </row>
    <row r="335" ht="15.75" customHeight="1">
      <c r="A335" s="3"/>
      <c r="B335" s="31"/>
      <c r="C335" s="31"/>
      <c r="D335" s="32"/>
      <c r="E335" s="32"/>
      <c r="F335" s="29"/>
      <c r="G335" s="29"/>
      <c r="H335" s="3"/>
      <c r="I335" s="29"/>
      <c r="J335" s="29"/>
      <c r="K335" s="29"/>
      <c r="L335" s="29"/>
      <c r="M335" s="29"/>
      <c r="N335" s="29"/>
      <c r="O335" s="3"/>
      <c r="P335" s="3"/>
      <c r="Q335" s="3"/>
      <c r="R335" s="3"/>
      <c r="S335" s="3"/>
    </row>
    <row r="336" ht="15.75" customHeight="1">
      <c r="A336" s="3"/>
      <c r="B336" s="31"/>
      <c r="C336" s="31"/>
      <c r="D336" s="32"/>
      <c r="E336" s="32"/>
      <c r="F336" s="29"/>
      <c r="G336" s="29"/>
      <c r="H336" s="3"/>
      <c r="I336" s="29"/>
      <c r="J336" s="29"/>
      <c r="K336" s="29"/>
      <c r="L336" s="29"/>
      <c r="M336" s="29"/>
      <c r="N336" s="29"/>
      <c r="O336" s="3"/>
      <c r="P336" s="3"/>
      <c r="Q336" s="3"/>
      <c r="R336" s="3"/>
      <c r="S336" s="3"/>
    </row>
    <row r="337" ht="15.75" customHeight="1">
      <c r="A337" s="3"/>
      <c r="B337" s="31"/>
      <c r="C337" s="31"/>
      <c r="D337" s="32"/>
      <c r="E337" s="32"/>
      <c r="F337" s="29"/>
      <c r="G337" s="29"/>
      <c r="H337" s="3"/>
      <c r="I337" s="29"/>
      <c r="J337" s="29"/>
      <c r="K337" s="29"/>
      <c r="L337" s="29"/>
      <c r="M337" s="29"/>
      <c r="N337" s="29"/>
      <c r="O337" s="3"/>
      <c r="P337" s="3"/>
      <c r="Q337" s="3"/>
      <c r="R337" s="3"/>
      <c r="S337" s="3"/>
    </row>
    <row r="338" ht="15.75" customHeight="1">
      <c r="A338" s="3"/>
      <c r="B338" s="31"/>
      <c r="C338" s="31"/>
      <c r="D338" s="32"/>
      <c r="E338" s="32"/>
      <c r="F338" s="29"/>
      <c r="G338" s="29"/>
      <c r="H338" s="3"/>
      <c r="I338" s="29"/>
      <c r="J338" s="29"/>
      <c r="K338" s="29"/>
      <c r="L338" s="29"/>
      <c r="M338" s="29"/>
      <c r="N338" s="29"/>
      <c r="O338" s="3"/>
      <c r="P338" s="3"/>
      <c r="Q338" s="3"/>
      <c r="R338" s="3"/>
      <c r="S338" s="3"/>
    </row>
    <row r="339" ht="15.75" customHeight="1">
      <c r="A339" s="3"/>
      <c r="B339" s="31"/>
      <c r="C339" s="31"/>
      <c r="D339" s="32"/>
      <c r="E339" s="32"/>
      <c r="F339" s="29"/>
      <c r="G339" s="29"/>
      <c r="H339" s="3"/>
      <c r="I339" s="29"/>
      <c r="J339" s="29"/>
      <c r="K339" s="29"/>
      <c r="L339" s="29"/>
      <c r="M339" s="29"/>
      <c r="N339" s="29"/>
      <c r="O339" s="3"/>
      <c r="P339" s="3"/>
      <c r="Q339" s="3"/>
      <c r="R339" s="3"/>
      <c r="S339" s="3"/>
    </row>
    <row r="340" ht="15.75" customHeight="1">
      <c r="A340" s="3"/>
      <c r="B340" s="31"/>
      <c r="C340" s="31"/>
      <c r="D340" s="32"/>
      <c r="E340" s="32"/>
      <c r="F340" s="29"/>
      <c r="G340" s="29"/>
      <c r="H340" s="3"/>
      <c r="I340" s="29"/>
      <c r="J340" s="29"/>
      <c r="K340" s="29"/>
      <c r="L340" s="29"/>
      <c r="M340" s="29"/>
      <c r="N340" s="29"/>
      <c r="O340" s="3"/>
      <c r="P340" s="3"/>
      <c r="Q340" s="3"/>
      <c r="R340" s="3"/>
      <c r="S340" s="3"/>
    </row>
    <row r="341" ht="15.75" customHeight="1">
      <c r="A341" s="3"/>
      <c r="B341" s="31"/>
      <c r="C341" s="31"/>
      <c r="D341" s="32"/>
      <c r="E341" s="32"/>
      <c r="F341" s="29"/>
      <c r="G341" s="29"/>
      <c r="H341" s="3"/>
      <c r="I341" s="29"/>
      <c r="J341" s="29"/>
      <c r="K341" s="29"/>
      <c r="L341" s="29"/>
      <c r="M341" s="29"/>
      <c r="N341" s="29"/>
      <c r="O341" s="3"/>
      <c r="P341" s="3"/>
      <c r="Q341" s="3"/>
      <c r="R341" s="3"/>
      <c r="S341" s="3"/>
    </row>
    <row r="342" ht="15.75" customHeight="1">
      <c r="A342" s="3"/>
      <c r="B342" s="31"/>
      <c r="C342" s="31"/>
      <c r="D342" s="32"/>
      <c r="E342" s="32"/>
      <c r="F342" s="29"/>
      <c r="G342" s="29"/>
      <c r="H342" s="3"/>
      <c r="I342" s="29"/>
      <c r="J342" s="29"/>
      <c r="K342" s="29"/>
      <c r="L342" s="29"/>
      <c r="M342" s="29"/>
      <c r="N342" s="29"/>
      <c r="O342" s="3"/>
      <c r="P342" s="3"/>
      <c r="Q342" s="3"/>
      <c r="R342" s="3"/>
      <c r="S342" s="3"/>
    </row>
    <row r="343" ht="15.75" customHeight="1">
      <c r="A343" s="3"/>
      <c r="B343" s="31"/>
      <c r="C343" s="31"/>
      <c r="D343" s="32"/>
      <c r="E343" s="32"/>
      <c r="F343" s="29"/>
      <c r="G343" s="29"/>
      <c r="H343" s="3"/>
      <c r="I343" s="29"/>
      <c r="J343" s="29"/>
      <c r="K343" s="29"/>
      <c r="L343" s="29"/>
      <c r="M343" s="29"/>
      <c r="N343" s="29"/>
      <c r="O343" s="3"/>
      <c r="P343" s="3"/>
      <c r="Q343" s="3"/>
      <c r="R343" s="3"/>
      <c r="S343" s="3"/>
    </row>
    <row r="344" ht="15.75" customHeight="1">
      <c r="A344" s="3"/>
      <c r="B344" s="31"/>
      <c r="C344" s="31"/>
      <c r="D344" s="32"/>
      <c r="E344" s="32"/>
      <c r="F344" s="29"/>
      <c r="G344" s="29"/>
      <c r="H344" s="3"/>
      <c r="I344" s="29"/>
      <c r="J344" s="29"/>
      <c r="K344" s="29"/>
      <c r="L344" s="29"/>
      <c r="M344" s="29"/>
      <c r="N344" s="29"/>
      <c r="O344" s="3"/>
      <c r="P344" s="3"/>
      <c r="Q344" s="3"/>
      <c r="R344" s="3"/>
      <c r="S344" s="3"/>
    </row>
    <row r="345" ht="15.75" customHeight="1">
      <c r="A345" s="3"/>
      <c r="B345" s="31"/>
      <c r="C345" s="31"/>
      <c r="D345" s="32"/>
      <c r="E345" s="32"/>
      <c r="F345" s="29"/>
      <c r="G345" s="29"/>
      <c r="H345" s="3"/>
      <c r="I345" s="29"/>
      <c r="J345" s="29"/>
      <c r="K345" s="29"/>
      <c r="L345" s="29"/>
      <c r="M345" s="29"/>
      <c r="N345" s="29"/>
      <c r="O345" s="3"/>
      <c r="P345" s="3"/>
      <c r="Q345" s="3"/>
      <c r="R345" s="3"/>
      <c r="S345" s="3"/>
    </row>
    <row r="346" ht="15.75" customHeight="1">
      <c r="A346" s="3"/>
      <c r="B346" s="31"/>
      <c r="C346" s="31"/>
      <c r="D346" s="32"/>
      <c r="E346" s="32"/>
      <c r="F346" s="29"/>
      <c r="G346" s="29"/>
      <c r="H346" s="3"/>
      <c r="I346" s="29"/>
      <c r="J346" s="29"/>
      <c r="K346" s="29"/>
      <c r="L346" s="29"/>
      <c r="M346" s="29"/>
      <c r="N346" s="29"/>
      <c r="O346" s="3"/>
      <c r="P346" s="3"/>
      <c r="Q346" s="3"/>
      <c r="R346" s="3"/>
      <c r="S346" s="3"/>
    </row>
    <row r="347" ht="15.75" customHeight="1">
      <c r="A347" s="3"/>
      <c r="B347" s="31"/>
      <c r="C347" s="31"/>
      <c r="D347" s="32"/>
      <c r="E347" s="32"/>
      <c r="F347" s="29"/>
      <c r="G347" s="29"/>
      <c r="H347" s="3"/>
      <c r="I347" s="29"/>
      <c r="J347" s="29"/>
      <c r="K347" s="29"/>
      <c r="L347" s="29"/>
      <c r="M347" s="29"/>
      <c r="N347" s="29"/>
      <c r="O347" s="3"/>
      <c r="P347" s="3"/>
      <c r="Q347" s="3"/>
      <c r="R347" s="3"/>
      <c r="S347" s="3"/>
    </row>
    <row r="348" ht="15.75" customHeight="1">
      <c r="A348" s="3"/>
      <c r="B348" s="31"/>
      <c r="C348" s="31"/>
      <c r="D348" s="32"/>
      <c r="E348" s="32"/>
      <c r="F348" s="29"/>
      <c r="G348" s="29"/>
      <c r="H348" s="3"/>
      <c r="I348" s="29"/>
      <c r="J348" s="29"/>
      <c r="K348" s="29"/>
      <c r="L348" s="29"/>
      <c r="M348" s="29"/>
      <c r="N348" s="29"/>
      <c r="O348" s="3"/>
      <c r="P348" s="3"/>
      <c r="Q348" s="3"/>
      <c r="R348" s="3"/>
      <c r="S348" s="3"/>
    </row>
    <row r="349" ht="15.75" customHeight="1">
      <c r="A349" s="3"/>
      <c r="B349" s="31"/>
      <c r="C349" s="31"/>
      <c r="D349" s="32"/>
      <c r="E349" s="32"/>
      <c r="F349" s="29"/>
      <c r="G349" s="29"/>
      <c r="H349" s="3"/>
      <c r="I349" s="29"/>
      <c r="J349" s="29"/>
      <c r="K349" s="29"/>
      <c r="L349" s="29"/>
      <c r="M349" s="29"/>
      <c r="N349" s="29"/>
      <c r="O349" s="3"/>
      <c r="P349" s="3"/>
      <c r="Q349" s="3"/>
      <c r="R349" s="3"/>
      <c r="S349" s="3"/>
    </row>
    <row r="350" ht="15.75" customHeight="1">
      <c r="A350" s="3"/>
      <c r="B350" s="31"/>
      <c r="C350" s="31"/>
      <c r="D350" s="32"/>
      <c r="E350" s="32"/>
      <c r="F350" s="29"/>
      <c r="G350" s="29"/>
      <c r="H350" s="3"/>
      <c r="I350" s="29"/>
      <c r="J350" s="29"/>
      <c r="K350" s="29"/>
      <c r="L350" s="29"/>
      <c r="M350" s="29"/>
      <c r="N350" s="29"/>
      <c r="O350" s="3"/>
      <c r="P350" s="3"/>
      <c r="Q350" s="3"/>
      <c r="R350" s="3"/>
      <c r="S350" s="3"/>
    </row>
    <row r="351" ht="15.75" customHeight="1">
      <c r="A351" s="3"/>
      <c r="B351" s="31"/>
      <c r="C351" s="31"/>
      <c r="D351" s="32"/>
      <c r="E351" s="32"/>
      <c r="F351" s="29"/>
      <c r="G351" s="29"/>
      <c r="H351" s="3"/>
      <c r="I351" s="29"/>
      <c r="J351" s="29"/>
      <c r="K351" s="29"/>
      <c r="L351" s="29"/>
      <c r="M351" s="29"/>
      <c r="N351" s="29"/>
      <c r="O351" s="3"/>
      <c r="P351" s="3"/>
      <c r="Q351" s="3"/>
      <c r="R351" s="3"/>
      <c r="S351" s="3"/>
    </row>
    <row r="352" ht="15.75" customHeight="1">
      <c r="A352" s="3"/>
      <c r="B352" s="31"/>
      <c r="C352" s="31"/>
      <c r="D352" s="32"/>
      <c r="E352" s="32"/>
      <c r="F352" s="29"/>
      <c r="G352" s="29"/>
      <c r="H352" s="3"/>
      <c r="I352" s="29"/>
      <c r="J352" s="29"/>
      <c r="K352" s="29"/>
      <c r="L352" s="29"/>
      <c r="M352" s="29"/>
      <c r="N352" s="29"/>
      <c r="O352" s="3"/>
      <c r="P352" s="3"/>
      <c r="Q352" s="3"/>
      <c r="R352" s="3"/>
      <c r="S352" s="3"/>
    </row>
    <row r="353" ht="15.75" customHeight="1">
      <c r="A353" s="3"/>
      <c r="B353" s="31"/>
      <c r="C353" s="31"/>
      <c r="D353" s="32"/>
      <c r="E353" s="32"/>
      <c r="F353" s="29"/>
      <c r="G353" s="29"/>
      <c r="H353" s="3"/>
      <c r="I353" s="29"/>
      <c r="J353" s="29"/>
      <c r="K353" s="29"/>
      <c r="L353" s="29"/>
      <c r="M353" s="29"/>
      <c r="N353" s="29"/>
      <c r="O353" s="3"/>
      <c r="P353" s="3"/>
      <c r="Q353" s="3"/>
      <c r="R353" s="3"/>
      <c r="S353" s="3"/>
    </row>
    <row r="354" ht="15.75" customHeight="1">
      <c r="A354" s="3"/>
      <c r="B354" s="31"/>
      <c r="C354" s="31"/>
      <c r="D354" s="32"/>
      <c r="E354" s="32"/>
      <c r="F354" s="29"/>
      <c r="G354" s="29"/>
      <c r="H354" s="3"/>
      <c r="I354" s="29"/>
      <c r="J354" s="29"/>
      <c r="K354" s="29"/>
      <c r="L354" s="29"/>
      <c r="M354" s="29"/>
      <c r="N354" s="29"/>
      <c r="O354" s="3"/>
      <c r="P354" s="3"/>
      <c r="Q354" s="3"/>
      <c r="R354" s="3"/>
      <c r="S354" s="3"/>
    </row>
    <row r="355" ht="15.75" customHeight="1">
      <c r="A355" s="3"/>
      <c r="B355" s="31"/>
      <c r="C355" s="31"/>
      <c r="D355" s="32"/>
      <c r="E355" s="32"/>
      <c r="F355" s="29"/>
      <c r="G355" s="29"/>
      <c r="H355" s="3"/>
      <c r="I355" s="29"/>
      <c r="J355" s="29"/>
      <c r="K355" s="29"/>
      <c r="L355" s="29"/>
      <c r="M355" s="29"/>
      <c r="N355" s="29"/>
      <c r="O355" s="3"/>
      <c r="P355" s="3"/>
      <c r="Q355" s="3"/>
      <c r="R355" s="3"/>
      <c r="S355" s="3"/>
    </row>
    <row r="356" ht="15.75" customHeight="1">
      <c r="A356" s="3"/>
      <c r="B356" s="31"/>
      <c r="C356" s="31"/>
      <c r="D356" s="32"/>
      <c r="E356" s="32"/>
      <c r="F356" s="29"/>
      <c r="G356" s="29"/>
      <c r="H356" s="3"/>
      <c r="I356" s="29"/>
      <c r="J356" s="29"/>
      <c r="K356" s="29"/>
      <c r="L356" s="29"/>
      <c r="M356" s="29"/>
      <c r="N356" s="29"/>
      <c r="O356" s="3"/>
      <c r="P356" s="3"/>
      <c r="Q356" s="3"/>
      <c r="R356" s="3"/>
      <c r="S356" s="3"/>
    </row>
    <row r="357" ht="15.75" customHeight="1">
      <c r="A357" s="3"/>
      <c r="B357" s="31"/>
      <c r="C357" s="31"/>
      <c r="D357" s="32"/>
      <c r="E357" s="32"/>
      <c r="F357" s="29"/>
      <c r="G357" s="29"/>
      <c r="H357" s="3"/>
      <c r="I357" s="29"/>
      <c r="J357" s="29"/>
      <c r="K357" s="29"/>
      <c r="L357" s="29"/>
      <c r="M357" s="29"/>
      <c r="N357" s="29"/>
      <c r="O357" s="3"/>
      <c r="P357" s="3"/>
      <c r="Q357" s="3"/>
      <c r="R357" s="3"/>
      <c r="S357" s="3"/>
    </row>
    <row r="358" ht="15.75" customHeight="1">
      <c r="A358" s="3"/>
      <c r="B358" s="31"/>
      <c r="C358" s="31"/>
      <c r="D358" s="32"/>
      <c r="E358" s="32"/>
      <c r="F358" s="29"/>
      <c r="G358" s="29"/>
      <c r="H358" s="3"/>
      <c r="I358" s="29"/>
      <c r="J358" s="29"/>
      <c r="K358" s="29"/>
      <c r="L358" s="29"/>
      <c r="M358" s="29"/>
      <c r="N358" s="29"/>
      <c r="O358" s="3"/>
      <c r="P358" s="3"/>
      <c r="Q358" s="3"/>
      <c r="R358" s="3"/>
      <c r="S358" s="3"/>
    </row>
    <row r="359" ht="15.75" customHeight="1">
      <c r="A359" s="3"/>
      <c r="B359" s="31"/>
      <c r="C359" s="31"/>
      <c r="D359" s="32"/>
      <c r="E359" s="32"/>
      <c r="F359" s="29"/>
      <c r="G359" s="29"/>
      <c r="H359" s="3"/>
      <c r="I359" s="29"/>
      <c r="J359" s="29"/>
      <c r="K359" s="29"/>
      <c r="L359" s="29"/>
      <c r="M359" s="29"/>
      <c r="N359" s="29"/>
      <c r="O359" s="3"/>
      <c r="P359" s="3"/>
      <c r="Q359" s="3"/>
      <c r="R359" s="3"/>
      <c r="S359" s="3"/>
    </row>
    <row r="360" ht="15.75" customHeight="1">
      <c r="A360" s="3"/>
      <c r="B360" s="31"/>
      <c r="C360" s="31"/>
      <c r="D360" s="32"/>
      <c r="E360" s="32"/>
      <c r="F360" s="29"/>
      <c r="G360" s="29"/>
      <c r="H360" s="3"/>
      <c r="I360" s="29"/>
      <c r="J360" s="29"/>
      <c r="K360" s="29"/>
      <c r="L360" s="29"/>
      <c r="M360" s="29"/>
      <c r="N360" s="29"/>
      <c r="O360" s="3"/>
      <c r="P360" s="3"/>
      <c r="Q360" s="3"/>
      <c r="R360" s="3"/>
      <c r="S360" s="3"/>
    </row>
    <row r="361" ht="15.75" customHeight="1">
      <c r="A361" s="3"/>
      <c r="B361" s="31"/>
      <c r="C361" s="31"/>
      <c r="D361" s="32"/>
      <c r="E361" s="32"/>
      <c r="F361" s="29"/>
      <c r="G361" s="29"/>
      <c r="H361" s="3"/>
      <c r="I361" s="29"/>
      <c r="J361" s="29"/>
      <c r="K361" s="29"/>
      <c r="L361" s="29"/>
      <c r="M361" s="29"/>
      <c r="N361" s="29"/>
      <c r="O361" s="3"/>
      <c r="P361" s="3"/>
      <c r="Q361" s="3"/>
      <c r="R361" s="3"/>
      <c r="S361" s="3"/>
    </row>
    <row r="362" ht="15.75" customHeight="1">
      <c r="A362" s="3"/>
      <c r="B362" s="31"/>
      <c r="C362" s="31"/>
      <c r="D362" s="32"/>
      <c r="E362" s="32"/>
      <c r="F362" s="29"/>
      <c r="G362" s="29"/>
      <c r="H362" s="3"/>
      <c r="I362" s="29"/>
      <c r="J362" s="29"/>
      <c r="K362" s="29"/>
      <c r="L362" s="29"/>
      <c r="M362" s="29"/>
      <c r="N362" s="29"/>
      <c r="O362" s="3"/>
      <c r="P362" s="3"/>
      <c r="Q362" s="3"/>
      <c r="R362" s="3"/>
      <c r="S362" s="3"/>
    </row>
    <row r="363" ht="15.75" customHeight="1">
      <c r="A363" s="3"/>
      <c r="B363" s="31"/>
      <c r="C363" s="31"/>
      <c r="D363" s="32"/>
      <c r="E363" s="32"/>
      <c r="F363" s="29"/>
      <c r="G363" s="29"/>
      <c r="H363" s="3"/>
      <c r="I363" s="29"/>
      <c r="J363" s="29"/>
      <c r="K363" s="29"/>
      <c r="L363" s="29"/>
      <c r="M363" s="29"/>
      <c r="N363" s="29"/>
      <c r="O363" s="3"/>
      <c r="P363" s="3"/>
      <c r="Q363" s="3"/>
      <c r="R363" s="3"/>
      <c r="S363" s="3"/>
    </row>
    <row r="364" ht="15.75" customHeight="1">
      <c r="A364" s="3"/>
      <c r="B364" s="31"/>
      <c r="C364" s="31"/>
      <c r="D364" s="32"/>
      <c r="E364" s="32"/>
      <c r="F364" s="29"/>
      <c r="G364" s="29"/>
      <c r="H364" s="3"/>
      <c r="I364" s="29"/>
      <c r="J364" s="29"/>
      <c r="K364" s="29"/>
      <c r="L364" s="29"/>
      <c r="M364" s="29"/>
      <c r="N364" s="29"/>
      <c r="O364" s="3"/>
      <c r="P364" s="3"/>
      <c r="Q364" s="3"/>
      <c r="R364" s="3"/>
      <c r="S364" s="3"/>
    </row>
    <row r="365" ht="15.75" customHeight="1">
      <c r="A365" s="3"/>
      <c r="B365" s="31"/>
      <c r="C365" s="31"/>
      <c r="D365" s="32"/>
      <c r="E365" s="32"/>
      <c r="F365" s="29"/>
      <c r="G365" s="29"/>
      <c r="H365" s="3"/>
      <c r="I365" s="29"/>
      <c r="J365" s="29"/>
      <c r="K365" s="29"/>
      <c r="L365" s="29"/>
      <c r="M365" s="29"/>
      <c r="N365" s="29"/>
      <c r="O365" s="3"/>
      <c r="P365" s="3"/>
      <c r="Q365" s="3"/>
      <c r="R365" s="3"/>
      <c r="S365" s="3"/>
    </row>
    <row r="366" ht="15.75" customHeight="1">
      <c r="A366" s="3"/>
      <c r="B366" s="31"/>
      <c r="C366" s="31"/>
      <c r="D366" s="32"/>
      <c r="E366" s="32"/>
      <c r="F366" s="29"/>
      <c r="G366" s="29"/>
      <c r="H366" s="3"/>
      <c r="I366" s="29"/>
      <c r="J366" s="29"/>
      <c r="K366" s="29"/>
      <c r="L366" s="29"/>
      <c r="M366" s="29"/>
      <c r="N366" s="29"/>
      <c r="O366" s="3"/>
      <c r="P366" s="3"/>
      <c r="Q366" s="3"/>
      <c r="R366" s="3"/>
      <c r="S366" s="3"/>
    </row>
    <row r="367" ht="15.75" customHeight="1">
      <c r="A367" s="3"/>
      <c r="B367" s="31"/>
      <c r="C367" s="31"/>
      <c r="D367" s="32"/>
      <c r="E367" s="32"/>
      <c r="F367" s="29"/>
      <c r="G367" s="29"/>
      <c r="H367" s="3"/>
      <c r="I367" s="29"/>
      <c r="J367" s="29"/>
      <c r="K367" s="29"/>
      <c r="L367" s="29"/>
      <c r="M367" s="29"/>
      <c r="N367" s="29"/>
      <c r="O367" s="3"/>
      <c r="P367" s="3"/>
      <c r="Q367" s="3"/>
      <c r="R367" s="3"/>
      <c r="S367" s="3"/>
    </row>
    <row r="368" ht="15.75" customHeight="1">
      <c r="A368" s="3"/>
      <c r="B368" s="31"/>
      <c r="C368" s="31"/>
      <c r="D368" s="32"/>
      <c r="E368" s="32"/>
      <c r="F368" s="29"/>
      <c r="G368" s="29"/>
      <c r="H368" s="3"/>
      <c r="I368" s="29"/>
      <c r="J368" s="29"/>
      <c r="K368" s="29"/>
      <c r="L368" s="29"/>
      <c r="M368" s="29"/>
      <c r="N368" s="29"/>
      <c r="O368" s="3"/>
      <c r="P368" s="3"/>
      <c r="Q368" s="3"/>
      <c r="R368" s="3"/>
      <c r="S368" s="3"/>
    </row>
    <row r="369" ht="15.75" customHeight="1">
      <c r="A369" s="3"/>
      <c r="B369" s="31"/>
      <c r="C369" s="31"/>
      <c r="D369" s="32"/>
      <c r="E369" s="32"/>
      <c r="F369" s="29"/>
      <c r="G369" s="29"/>
      <c r="H369" s="3"/>
      <c r="I369" s="29"/>
      <c r="J369" s="29"/>
      <c r="K369" s="29"/>
      <c r="L369" s="29"/>
      <c r="M369" s="29"/>
      <c r="N369" s="29"/>
      <c r="O369" s="3"/>
      <c r="P369" s="3"/>
      <c r="Q369" s="3"/>
      <c r="R369" s="3"/>
      <c r="S369" s="3"/>
    </row>
    <row r="370" ht="15.75" customHeight="1">
      <c r="A370" s="3"/>
      <c r="B370" s="31"/>
      <c r="C370" s="31"/>
      <c r="D370" s="32"/>
      <c r="E370" s="32"/>
      <c r="F370" s="29"/>
      <c r="G370" s="29"/>
      <c r="H370" s="3"/>
      <c r="I370" s="29"/>
      <c r="J370" s="29"/>
      <c r="K370" s="29"/>
      <c r="L370" s="29"/>
      <c r="M370" s="29"/>
      <c r="N370" s="29"/>
      <c r="O370" s="3"/>
      <c r="P370" s="3"/>
      <c r="Q370" s="3"/>
      <c r="R370" s="3"/>
      <c r="S370" s="3"/>
    </row>
    <row r="371" ht="15.75" customHeight="1">
      <c r="A371" s="3"/>
      <c r="B371" s="31"/>
      <c r="C371" s="31"/>
      <c r="D371" s="32"/>
      <c r="E371" s="32"/>
      <c r="F371" s="29"/>
      <c r="G371" s="29"/>
      <c r="H371" s="3"/>
      <c r="I371" s="29"/>
      <c r="J371" s="29"/>
      <c r="K371" s="29"/>
      <c r="L371" s="29"/>
      <c r="M371" s="29"/>
      <c r="N371" s="29"/>
      <c r="O371" s="3"/>
      <c r="P371" s="3"/>
      <c r="Q371" s="3"/>
      <c r="R371" s="3"/>
      <c r="S371" s="3"/>
    </row>
    <row r="372" ht="15.75" customHeight="1">
      <c r="A372" s="3"/>
      <c r="B372" s="31"/>
      <c r="C372" s="31"/>
      <c r="D372" s="32"/>
      <c r="E372" s="32"/>
      <c r="F372" s="29"/>
      <c r="G372" s="29"/>
      <c r="H372" s="3"/>
      <c r="I372" s="29"/>
      <c r="J372" s="29"/>
      <c r="K372" s="29"/>
      <c r="L372" s="29"/>
      <c r="M372" s="29"/>
      <c r="N372" s="29"/>
      <c r="O372" s="3"/>
      <c r="P372" s="3"/>
      <c r="Q372" s="3"/>
      <c r="R372" s="3"/>
      <c r="S372" s="3"/>
    </row>
    <row r="373" ht="15.75" customHeight="1">
      <c r="A373" s="3"/>
      <c r="B373" s="31"/>
      <c r="C373" s="31"/>
      <c r="D373" s="32"/>
      <c r="E373" s="32"/>
      <c r="F373" s="29"/>
      <c r="G373" s="29"/>
      <c r="H373" s="3"/>
      <c r="I373" s="29"/>
      <c r="J373" s="29"/>
      <c r="K373" s="29"/>
      <c r="L373" s="29"/>
      <c r="M373" s="29"/>
      <c r="N373" s="29"/>
      <c r="O373" s="3"/>
      <c r="P373" s="3"/>
      <c r="Q373" s="3"/>
      <c r="R373" s="3"/>
      <c r="S373" s="3"/>
    </row>
    <row r="374" ht="15.75" customHeight="1">
      <c r="A374" s="3"/>
      <c r="B374" s="31"/>
      <c r="C374" s="31"/>
      <c r="D374" s="32"/>
      <c r="E374" s="32"/>
      <c r="F374" s="29"/>
      <c r="G374" s="29"/>
      <c r="H374" s="3"/>
      <c r="I374" s="29"/>
      <c r="J374" s="29"/>
      <c r="K374" s="29"/>
      <c r="L374" s="29"/>
      <c r="M374" s="29"/>
      <c r="N374" s="29"/>
      <c r="O374" s="3"/>
      <c r="P374" s="3"/>
      <c r="Q374" s="3"/>
      <c r="R374" s="3"/>
      <c r="S374" s="3"/>
    </row>
    <row r="375" ht="15.75" customHeight="1">
      <c r="A375" s="3"/>
      <c r="B375" s="31"/>
      <c r="C375" s="31"/>
      <c r="D375" s="32"/>
      <c r="E375" s="32"/>
      <c r="F375" s="29"/>
      <c r="G375" s="29"/>
      <c r="H375" s="3"/>
      <c r="I375" s="29"/>
      <c r="J375" s="29"/>
      <c r="K375" s="29"/>
      <c r="L375" s="29"/>
      <c r="M375" s="29"/>
      <c r="N375" s="29"/>
      <c r="O375" s="3"/>
      <c r="P375" s="3"/>
      <c r="Q375" s="3"/>
      <c r="R375" s="3"/>
      <c r="S375" s="3"/>
    </row>
    <row r="376" ht="15.75" customHeight="1">
      <c r="A376" s="3"/>
      <c r="B376" s="31"/>
      <c r="C376" s="31"/>
      <c r="D376" s="32"/>
      <c r="E376" s="32"/>
      <c r="F376" s="29"/>
      <c r="G376" s="29"/>
      <c r="H376" s="3"/>
      <c r="I376" s="29"/>
      <c r="J376" s="29"/>
      <c r="K376" s="29"/>
      <c r="L376" s="29"/>
      <c r="M376" s="29"/>
      <c r="N376" s="29"/>
      <c r="O376" s="3"/>
      <c r="P376" s="3"/>
      <c r="Q376" s="3"/>
      <c r="R376" s="3"/>
      <c r="S376" s="3"/>
    </row>
    <row r="377" ht="15.75" customHeight="1">
      <c r="A377" s="3"/>
      <c r="B377" s="31"/>
      <c r="C377" s="31"/>
      <c r="D377" s="32"/>
      <c r="E377" s="32"/>
      <c r="F377" s="29"/>
      <c r="G377" s="29"/>
      <c r="H377" s="3"/>
      <c r="I377" s="29"/>
      <c r="J377" s="29"/>
      <c r="K377" s="29"/>
      <c r="L377" s="29"/>
      <c r="M377" s="29"/>
      <c r="N377" s="29"/>
      <c r="O377" s="3"/>
      <c r="P377" s="3"/>
      <c r="Q377" s="3"/>
      <c r="R377" s="3"/>
      <c r="S377" s="3"/>
    </row>
    <row r="378" ht="15.75" customHeight="1">
      <c r="A378" s="3"/>
      <c r="B378" s="31"/>
      <c r="C378" s="31"/>
      <c r="D378" s="32"/>
      <c r="E378" s="32"/>
      <c r="F378" s="29"/>
      <c r="G378" s="29"/>
      <c r="H378" s="3"/>
      <c r="I378" s="29"/>
      <c r="J378" s="29"/>
      <c r="K378" s="29"/>
      <c r="L378" s="29"/>
      <c r="M378" s="29"/>
      <c r="N378" s="29"/>
      <c r="O378" s="3"/>
      <c r="P378" s="3"/>
      <c r="Q378" s="3"/>
      <c r="R378" s="3"/>
      <c r="S378" s="3"/>
    </row>
    <row r="379" ht="15.75" customHeight="1">
      <c r="A379" s="3"/>
      <c r="B379" s="31"/>
      <c r="C379" s="31"/>
      <c r="D379" s="32"/>
      <c r="E379" s="32"/>
      <c r="F379" s="29"/>
      <c r="G379" s="29"/>
      <c r="H379" s="3"/>
      <c r="I379" s="29"/>
      <c r="J379" s="29"/>
      <c r="K379" s="29"/>
      <c r="L379" s="29"/>
      <c r="M379" s="29"/>
      <c r="N379" s="29"/>
      <c r="O379" s="3"/>
      <c r="P379" s="3"/>
      <c r="Q379" s="3"/>
      <c r="R379" s="3"/>
      <c r="S379" s="3"/>
    </row>
    <row r="380" ht="15.75" customHeight="1">
      <c r="A380" s="3"/>
      <c r="B380" s="31"/>
      <c r="C380" s="31"/>
      <c r="D380" s="32"/>
      <c r="E380" s="32"/>
      <c r="F380" s="29"/>
      <c r="G380" s="29"/>
      <c r="H380" s="3"/>
      <c r="I380" s="29"/>
      <c r="J380" s="29"/>
      <c r="K380" s="29"/>
      <c r="L380" s="29"/>
      <c r="M380" s="29"/>
      <c r="N380" s="29"/>
      <c r="O380" s="3"/>
      <c r="P380" s="3"/>
      <c r="Q380" s="3"/>
      <c r="R380" s="3"/>
      <c r="S380" s="3"/>
    </row>
    <row r="381" ht="15.75" customHeight="1">
      <c r="A381" s="3"/>
      <c r="B381" s="31"/>
      <c r="C381" s="31"/>
      <c r="D381" s="32"/>
      <c r="E381" s="32"/>
      <c r="F381" s="29"/>
      <c r="G381" s="29"/>
      <c r="H381" s="3"/>
      <c r="I381" s="29"/>
      <c r="J381" s="29"/>
      <c r="K381" s="29"/>
      <c r="L381" s="29"/>
      <c r="M381" s="29"/>
      <c r="N381" s="29"/>
      <c r="O381" s="3"/>
      <c r="P381" s="3"/>
      <c r="Q381" s="3"/>
      <c r="R381" s="3"/>
      <c r="S381" s="3"/>
    </row>
    <row r="382" ht="15.75" customHeight="1">
      <c r="A382" s="3"/>
      <c r="B382" s="31"/>
      <c r="C382" s="31"/>
      <c r="D382" s="32"/>
      <c r="E382" s="32"/>
      <c r="F382" s="29"/>
      <c r="G382" s="29"/>
      <c r="H382" s="3"/>
      <c r="I382" s="29"/>
      <c r="J382" s="29"/>
      <c r="K382" s="29"/>
      <c r="L382" s="29"/>
      <c r="M382" s="29"/>
      <c r="N382" s="29"/>
      <c r="O382" s="3"/>
      <c r="P382" s="3"/>
      <c r="Q382" s="3"/>
      <c r="R382" s="3"/>
      <c r="S382" s="3"/>
    </row>
    <row r="383" ht="15.75" customHeight="1">
      <c r="A383" s="3"/>
      <c r="B383" s="31"/>
      <c r="C383" s="31"/>
      <c r="D383" s="32"/>
      <c r="E383" s="32"/>
      <c r="F383" s="29"/>
      <c r="G383" s="29"/>
      <c r="H383" s="3"/>
      <c r="I383" s="29"/>
      <c r="J383" s="29"/>
      <c r="K383" s="29"/>
      <c r="L383" s="29"/>
      <c r="M383" s="29"/>
      <c r="N383" s="29"/>
      <c r="O383" s="3"/>
      <c r="P383" s="3"/>
      <c r="Q383" s="3"/>
      <c r="R383" s="3"/>
      <c r="S383" s="3"/>
    </row>
    <row r="384" ht="15.75" customHeight="1">
      <c r="A384" s="3"/>
      <c r="B384" s="31"/>
      <c r="C384" s="31"/>
      <c r="D384" s="32"/>
      <c r="E384" s="32"/>
      <c r="F384" s="29"/>
      <c r="G384" s="29"/>
      <c r="H384" s="3"/>
      <c r="I384" s="29"/>
      <c r="J384" s="29"/>
      <c r="K384" s="29"/>
      <c r="L384" s="29"/>
      <c r="M384" s="29"/>
      <c r="N384" s="29"/>
      <c r="O384" s="3"/>
      <c r="P384" s="3"/>
      <c r="Q384" s="3"/>
      <c r="R384" s="3"/>
      <c r="S384" s="3"/>
    </row>
    <row r="385" ht="15.75" customHeight="1">
      <c r="A385" s="3"/>
      <c r="B385" s="31"/>
      <c r="C385" s="31"/>
      <c r="D385" s="32"/>
      <c r="E385" s="32"/>
      <c r="F385" s="29"/>
      <c r="G385" s="29"/>
      <c r="H385" s="3"/>
      <c r="I385" s="29"/>
      <c r="J385" s="29"/>
      <c r="K385" s="29"/>
      <c r="L385" s="29"/>
      <c r="M385" s="29"/>
      <c r="N385" s="29"/>
      <c r="O385" s="3"/>
      <c r="P385" s="3"/>
      <c r="Q385" s="3"/>
      <c r="R385" s="3"/>
      <c r="S385" s="3"/>
    </row>
    <row r="386" ht="15.75" customHeight="1">
      <c r="A386" s="3"/>
      <c r="B386" s="31"/>
      <c r="C386" s="31"/>
      <c r="D386" s="32"/>
      <c r="E386" s="32"/>
      <c r="F386" s="29"/>
      <c r="G386" s="29"/>
      <c r="H386" s="3"/>
      <c r="I386" s="29"/>
      <c r="J386" s="29"/>
      <c r="K386" s="29"/>
      <c r="L386" s="29"/>
      <c r="M386" s="29"/>
      <c r="N386" s="29"/>
      <c r="O386" s="3"/>
      <c r="P386" s="3"/>
      <c r="Q386" s="3"/>
      <c r="R386" s="3"/>
      <c r="S386" s="3"/>
    </row>
    <row r="387" ht="15.75" customHeight="1">
      <c r="A387" s="3"/>
      <c r="B387" s="31"/>
      <c r="C387" s="31"/>
      <c r="D387" s="32"/>
      <c r="E387" s="32"/>
      <c r="F387" s="29"/>
      <c r="G387" s="29"/>
      <c r="H387" s="3"/>
      <c r="I387" s="29"/>
      <c r="J387" s="29"/>
      <c r="K387" s="29"/>
      <c r="L387" s="29"/>
      <c r="M387" s="29"/>
      <c r="N387" s="29"/>
      <c r="O387" s="3"/>
      <c r="P387" s="3"/>
      <c r="Q387" s="3"/>
      <c r="R387" s="3"/>
      <c r="S387" s="3"/>
    </row>
    <row r="388" ht="15.75" customHeight="1">
      <c r="A388" s="3"/>
      <c r="B388" s="31"/>
      <c r="C388" s="31"/>
      <c r="D388" s="32"/>
      <c r="E388" s="32"/>
      <c r="F388" s="29"/>
      <c r="G388" s="29"/>
      <c r="H388" s="3"/>
      <c r="I388" s="29"/>
      <c r="J388" s="29"/>
      <c r="K388" s="29"/>
      <c r="L388" s="29"/>
      <c r="M388" s="29"/>
      <c r="N388" s="29"/>
      <c r="O388" s="3"/>
      <c r="P388" s="3"/>
      <c r="Q388" s="3"/>
      <c r="R388" s="3"/>
      <c r="S388" s="3"/>
    </row>
    <row r="389" ht="15.75" customHeight="1">
      <c r="A389" s="3"/>
      <c r="B389" s="31"/>
      <c r="C389" s="31"/>
      <c r="D389" s="32"/>
      <c r="E389" s="32"/>
      <c r="F389" s="29"/>
      <c r="G389" s="29"/>
      <c r="H389" s="3"/>
      <c r="I389" s="29"/>
      <c r="J389" s="29"/>
      <c r="K389" s="29"/>
      <c r="L389" s="29"/>
      <c r="M389" s="29"/>
      <c r="N389" s="29"/>
      <c r="O389" s="3"/>
      <c r="P389" s="3"/>
      <c r="Q389" s="3"/>
      <c r="R389" s="3"/>
      <c r="S389" s="3"/>
    </row>
    <row r="390" ht="15.75" customHeight="1">
      <c r="A390" s="3"/>
      <c r="B390" s="31"/>
      <c r="C390" s="31"/>
      <c r="D390" s="32"/>
      <c r="E390" s="32"/>
      <c r="F390" s="29"/>
      <c r="G390" s="29"/>
      <c r="H390" s="3"/>
      <c r="I390" s="29"/>
      <c r="J390" s="29"/>
      <c r="K390" s="29"/>
      <c r="L390" s="29"/>
      <c r="M390" s="29"/>
      <c r="N390" s="29"/>
      <c r="O390" s="3"/>
      <c r="P390" s="3"/>
      <c r="Q390" s="3"/>
      <c r="R390" s="3"/>
      <c r="S390" s="3"/>
    </row>
    <row r="391" ht="15.75" customHeight="1">
      <c r="A391" s="3"/>
      <c r="B391" s="31"/>
      <c r="C391" s="31"/>
      <c r="D391" s="32"/>
      <c r="E391" s="32"/>
      <c r="F391" s="29"/>
      <c r="G391" s="29"/>
      <c r="H391" s="3"/>
      <c r="I391" s="29"/>
      <c r="J391" s="29"/>
      <c r="K391" s="29"/>
      <c r="L391" s="29"/>
      <c r="M391" s="29"/>
      <c r="N391" s="29"/>
      <c r="O391" s="3"/>
      <c r="P391" s="3"/>
      <c r="Q391" s="3"/>
      <c r="R391" s="3"/>
      <c r="S391" s="3"/>
    </row>
    <row r="392" ht="15.75" customHeight="1">
      <c r="A392" s="3"/>
      <c r="B392" s="31"/>
      <c r="C392" s="31"/>
      <c r="D392" s="32"/>
      <c r="E392" s="32"/>
      <c r="F392" s="29"/>
      <c r="G392" s="29"/>
      <c r="H392" s="3"/>
      <c r="I392" s="29"/>
      <c r="J392" s="29"/>
      <c r="K392" s="29"/>
      <c r="L392" s="29"/>
      <c r="M392" s="29"/>
      <c r="N392" s="29"/>
      <c r="O392" s="3"/>
      <c r="P392" s="3"/>
      <c r="Q392" s="3"/>
      <c r="R392" s="3"/>
      <c r="S392" s="3"/>
    </row>
    <row r="393" ht="15.75" customHeight="1">
      <c r="A393" s="3"/>
      <c r="B393" s="31"/>
      <c r="C393" s="31"/>
      <c r="D393" s="32"/>
      <c r="E393" s="32"/>
      <c r="F393" s="29"/>
      <c r="G393" s="29"/>
      <c r="H393" s="3"/>
      <c r="I393" s="29"/>
      <c r="J393" s="29"/>
      <c r="K393" s="29"/>
      <c r="L393" s="29"/>
      <c r="M393" s="29"/>
      <c r="N393" s="29"/>
      <c r="O393" s="3"/>
      <c r="P393" s="3"/>
      <c r="Q393" s="3"/>
      <c r="R393" s="3"/>
      <c r="S393" s="3"/>
    </row>
    <row r="394" ht="15.75" customHeight="1">
      <c r="A394" s="3"/>
      <c r="B394" s="31"/>
      <c r="C394" s="31"/>
      <c r="D394" s="32"/>
      <c r="E394" s="32"/>
      <c r="F394" s="29"/>
      <c r="G394" s="29"/>
      <c r="H394" s="3"/>
      <c r="I394" s="29"/>
      <c r="J394" s="29"/>
      <c r="K394" s="29"/>
      <c r="L394" s="29"/>
      <c r="M394" s="29"/>
      <c r="N394" s="29"/>
      <c r="O394" s="3"/>
      <c r="P394" s="3"/>
      <c r="Q394" s="3"/>
      <c r="R394" s="3"/>
      <c r="S394" s="3"/>
    </row>
    <row r="395" ht="15.75" customHeight="1">
      <c r="A395" s="3"/>
      <c r="B395" s="31"/>
      <c r="C395" s="31"/>
      <c r="D395" s="32"/>
      <c r="E395" s="32"/>
      <c r="F395" s="29"/>
      <c r="G395" s="29"/>
      <c r="H395" s="3"/>
      <c r="I395" s="29"/>
      <c r="J395" s="29"/>
      <c r="K395" s="29"/>
      <c r="L395" s="29"/>
      <c r="M395" s="29"/>
      <c r="N395" s="29"/>
      <c r="O395" s="3"/>
      <c r="P395" s="3"/>
      <c r="Q395" s="3"/>
      <c r="R395" s="3"/>
      <c r="S395" s="3"/>
    </row>
    <row r="396" ht="15.75" customHeight="1">
      <c r="A396" s="3"/>
      <c r="B396" s="31"/>
      <c r="C396" s="31"/>
      <c r="D396" s="32"/>
      <c r="E396" s="32"/>
      <c r="F396" s="29"/>
      <c r="G396" s="29"/>
      <c r="H396" s="3"/>
      <c r="I396" s="29"/>
      <c r="J396" s="29"/>
      <c r="K396" s="29"/>
      <c r="L396" s="29"/>
      <c r="M396" s="29"/>
      <c r="N396" s="29"/>
      <c r="O396" s="3"/>
      <c r="P396" s="3"/>
      <c r="Q396" s="3"/>
      <c r="R396" s="3"/>
      <c r="S396" s="3"/>
    </row>
    <row r="397" ht="15.75" customHeight="1">
      <c r="A397" s="3"/>
      <c r="B397" s="31"/>
      <c r="C397" s="31"/>
      <c r="D397" s="32"/>
      <c r="E397" s="32"/>
      <c r="F397" s="29"/>
      <c r="G397" s="29"/>
      <c r="H397" s="3"/>
      <c r="I397" s="29"/>
      <c r="J397" s="29"/>
      <c r="K397" s="29"/>
      <c r="L397" s="29"/>
      <c r="M397" s="29"/>
      <c r="N397" s="29"/>
      <c r="O397" s="3"/>
      <c r="P397" s="3"/>
      <c r="Q397" s="3"/>
      <c r="R397" s="3"/>
      <c r="S397" s="3"/>
    </row>
    <row r="398" ht="15.75" customHeight="1">
      <c r="A398" s="3"/>
      <c r="B398" s="31"/>
      <c r="C398" s="31"/>
      <c r="D398" s="32"/>
      <c r="E398" s="32"/>
      <c r="F398" s="29"/>
      <c r="G398" s="29"/>
      <c r="H398" s="3"/>
      <c r="I398" s="29"/>
      <c r="J398" s="29"/>
      <c r="K398" s="29"/>
      <c r="L398" s="29"/>
      <c r="M398" s="29"/>
      <c r="N398" s="29"/>
      <c r="O398" s="3"/>
      <c r="P398" s="3"/>
      <c r="Q398" s="3"/>
      <c r="R398" s="3"/>
      <c r="S398" s="3"/>
    </row>
    <row r="399" ht="15.75" customHeight="1">
      <c r="A399" s="3"/>
      <c r="B399" s="31"/>
      <c r="C399" s="31"/>
      <c r="D399" s="32"/>
      <c r="E399" s="32"/>
      <c r="F399" s="29"/>
      <c r="G399" s="29"/>
      <c r="H399" s="3"/>
      <c r="I399" s="29"/>
      <c r="J399" s="29"/>
      <c r="K399" s="29"/>
      <c r="L399" s="29"/>
      <c r="M399" s="29"/>
      <c r="N399" s="29"/>
      <c r="O399" s="3"/>
      <c r="P399" s="3"/>
      <c r="Q399" s="3"/>
      <c r="R399" s="3"/>
      <c r="S399" s="3"/>
    </row>
    <row r="400" ht="15.75" customHeight="1">
      <c r="A400" s="3"/>
      <c r="B400" s="31"/>
      <c r="C400" s="31"/>
      <c r="D400" s="32"/>
      <c r="E400" s="32"/>
      <c r="F400" s="29"/>
      <c r="G400" s="29"/>
      <c r="H400" s="3"/>
      <c r="I400" s="29"/>
      <c r="J400" s="29"/>
      <c r="K400" s="29"/>
      <c r="L400" s="29"/>
      <c r="M400" s="29"/>
      <c r="N400" s="29"/>
      <c r="O400" s="3"/>
      <c r="P400" s="3"/>
      <c r="Q400" s="3"/>
      <c r="R400" s="3"/>
      <c r="S400" s="3"/>
    </row>
    <row r="401" ht="15.75" customHeight="1">
      <c r="A401" s="3"/>
      <c r="B401" s="31"/>
      <c r="C401" s="31"/>
      <c r="D401" s="32"/>
      <c r="E401" s="32"/>
      <c r="F401" s="29"/>
      <c r="G401" s="29"/>
      <c r="H401" s="3"/>
      <c r="I401" s="29"/>
      <c r="J401" s="29"/>
      <c r="K401" s="29"/>
      <c r="L401" s="29"/>
      <c r="M401" s="29"/>
      <c r="N401" s="29"/>
      <c r="O401" s="3"/>
      <c r="P401" s="3"/>
      <c r="Q401" s="3"/>
      <c r="R401" s="3"/>
      <c r="S401" s="3"/>
    </row>
    <row r="402" ht="15.75" customHeight="1">
      <c r="A402" s="3"/>
      <c r="B402" s="31"/>
      <c r="C402" s="31"/>
      <c r="D402" s="32"/>
      <c r="E402" s="32"/>
      <c r="F402" s="29"/>
      <c r="G402" s="29"/>
      <c r="H402" s="3"/>
      <c r="I402" s="29"/>
      <c r="J402" s="29"/>
      <c r="K402" s="29"/>
      <c r="L402" s="29"/>
      <c r="M402" s="29"/>
      <c r="N402" s="29"/>
      <c r="O402" s="3"/>
      <c r="P402" s="3"/>
      <c r="Q402" s="3"/>
      <c r="R402" s="3"/>
      <c r="S402" s="3"/>
    </row>
    <row r="403" ht="15.75" customHeight="1">
      <c r="A403" s="3"/>
      <c r="B403" s="31"/>
      <c r="C403" s="31"/>
      <c r="D403" s="32"/>
      <c r="E403" s="32"/>
      <c r="F403" s="29"/>
      <c r="G403" s="29"/>
      <c r="H403" s="3"/>
      <c r="I403" s="29"/>
      <c r="J403" s="29"/>
      <c r="K403" s="29"/>
      <c r="L403" s="29"/>
      <c r="M403" s="29"/>
      <c r="N403" s="29"/>
      <c r="O403" s="3"/>
      <c r="P403" s="3"/>
      <c r="Q403" s="3"/>
      <c r="R403" s="3"/>
      <c r="S403" s="3"/>
    </row>
    <row r="404" ht="15.75" customHeight="1">
      <c r="A404" s="3"/>
      <c r="B404" s="31"/>
      <c r="C404" s="31"/>
      <c r="D404" s="32"/>
      <c r="E404" s="32"/>
      <c r="F404" s="29"/>
      <c r="G404" s="29"/>
      <c r="H404" s="3"/>
      <c r="I404" s="29"/>
      <c r="J404" s="29"/>
      <c r="K404" s="29"/>
      <c r="L404" s="29"/>
      <c r="M404" s="29"/>
      <c r="N404" s="29"/>
      <c r="O404" s="3"/>
      <c r="P404" s="3"/>
      <c r="Q404" s="3"/>
      <c r="R404" s="3"/>
      <c r="S404" s="3"/>
    </row>
    <row r="405" ht="15.75" customHeight="1">
      <c r="A405" s="3"/>
      <c r="B405" s="31"/>
      <c r="C405" s="31"/>
      <c r="D405" s="32"/>
      <c r="E405" s="32"/>
      <c r="F405" s="29"/>
      <c r="G405" s="29"/>
      <c r="H405" s="3"/>
      <c r="I405" s="29"/>
      <c r="J405" s="29"/>
      <c r="K405" s="29"/>
      <c r="L405" s="29"/>
      <c r="M405" s="29"/>
      <c r="N405" s="29"/>
      <c r="O405" s="3"/>
      <c r="P405" s="3"/>
      <c r="Q405" s="3"/>
      <c r="R405" s="3"/>
      <c r="S405" s="3"/>
    </row>
    <row r="406" ht="15.75" customHeight="1">
      <c r="A406" s="3"/>
      <c r="B406" s="31"/>
      <c r="C406" s="31"/>
      <c r="D406" s="32"/>
      <c r="E406" s="32"/>
      <c r="F406" s="29"/>
      <c r="G406" s="29"/>
      <c r="H406" s="3"/>
      <c r="I406" s="29"/>
      <c r="J406" s="29"/>
      <c r="K406" s="29"/>
      <c r="L406" s="29"/>
      <c r="M406" s="29"/>
      <c r="N406" s="29"/>
      <c r="O406" s="3"/>
      <c r="P406" s="3"/>
      <c r="Q406" s="3"/>
      <c r="R406" s="3"/>
      <c r="S406" s="3"/>
    </row>
    <row r="407" ht="15.75" customHeight="1">
      <c r="A407" s="3"/>
      <c r="B407" s="31"/>
      <c r="C407" s="31"/>
      <c r="D407" s="32"/>
      <c r="E407" s="32"/>
      <c r="F407" s="29"/>
      <c r="G407" s="29"/>
      <c r="H407" s="3"/>
      <c r="I407" s="29"/>
      <c r="J407" s="29"/>
      <c r="K407" s="29"/>
      <c r="L407" s="29"/>
      <c r="M407" s="29"/>
      <c r="N407" s="29"/>
      <c r="O407" s="3"/>
      <c r="P407" s="3"/>
      <c r="Q407" s="3"/>
      <c r="R407" s="3"/>
      <c r="S407" s="3"/>
    </row>
    <row r="408" ht="15.75" customHeight="1">
      <c r="A408" s="3"/>
      <c r="B408" s="31"/>
      <c r="C408" s="31"/>
      <c r="D408" s="32"/>
      <c r="E408" s="32"/>
      <c r="F408" s="29"/>
      <c r="G408" s="29"/>
      <c r="H408" s="3"/>
      <c r="I408" s="29"/>
      <c r="J408" s="29"/>
      <c r="K408" s="29"/>
      <c r="L408" s="29"/>
      <c r="M408" s="29"/>
      <c r="N408" s="29"/>
      <c r="O408" s="3"/>
      <c r="P408" s="3"/>
      <c r="Q408" s="3"/>
      <c r="R408" s="3"/>
      <c r="S408" s="3"/>
    </row>
    <row r="409" ht="15.75" customHeight="1">
      <c r="A409" s="3"/>
      <c r="B409" s="31"/>
      <c r="C409" s="31"/>
      <c r="D409" s="32"/>
      <c r="E409" s="32"/>
      <c r="F409" s="29"/>
      <c r="G409" s="29"/>
      <c r="H409" s="3"/>
      <c r="I409" s="29"/>
      <c r="J409" s="29"/>
      <c r="K409" s="29"/>
      <c r="L409" s="29"/>
      <c r="M409" s="29"/>
      <c r="N409" s="29"/>
      <c r="O409" s="3"/>
      <c r="P409" s="3"/>
      <c r="Q409" s="3"/>
      <c r="R409" s="3"/>
      <c r="S409" s="3"/>
    </row>
    <row r="410" ht="15.75" customHeight="1">
      <c r="A410" s="3"/>
      <c r="B410" s="31"/>
      <c r="C410" s="31"/>
      <c r="D410" s="32"/>
      <c r="E410" s="32"/>
      <c r="F410" s="29"/>
      <c r="G410" s="29"/>
      <c r="H410" s="3"/>
      <c r="I410" s="29"/>
      <c r="J410" s="29"/>
      <c r="K410" s="29"/>
      <c r="L410" s="29"/>
      <c r="M410" s="29"/>
      <c r="N410" s="29"/>
      <c r="O410" s="3"/>
      <c r="P410" s="3"/>
      <c r="Q410" s="3"/>
      <c r="R410" s="3"/>
      <c r="S410" s="3"/>
    </row>
    <row r="411" ht="15.75" customHeight="1">
      <c r="A411" s="3"/>
      <c r="B411" s="31"/>
      <c r="C411" s="31"/>
      <c r="D411" s="32"/>
      <c r="E411" s="32"/>
      <c r="F411" s="29"/>
      <c r="G411" s="29"/>
      <c r="H411" s="3"/>
      <c r="I411" s="29"/>
      <c r="J411" s="29"/>
      <c r="K411" s="29"/>
      <c r="L411" s="29"/>
      <c r="M411" s="29"/>
      <c r="N411" s="29"/>
      <c r="O411" s="3"/>
      <c r="P411" s="3"/>
      <c r="Q411" s="3"/>
      <c r="R411" s="3"/>
      <c r="S411" s="3"/>
    </row>
    <row r="412" ht="15.75" customHeight="1">
      <c r="A412" s="3"/>
      <c r="B412" s="31"/>
      <c r="C412" s="31"/>
      <c r="D412" s="32"/>
      <c r="E412" s="32"/>
      <c r="F412" s="29"/>
      <c r="G412" s="29"/>
      <c r="H412" s="3"/>
      <c r="I412" s="29"/>
      <c r="J412" s="29"/>
      <c r="K412" s="29"/>
      <c r="L412" s="29"/>
      <c r="M412" s="29"/>
      <c r="N412" s="29"/>
      <c r="O412" s="3"/>
      <c r="P412" s="3"/>
      <c r="Q412" s="3"/>
      <c r="R412" s="3"/>
      <c r="S412" s="3"/>
    </row>
    <row r="413" ht="15.75" customHeight="1">
      <c r="A413" s="3"/>
      <c r="B413" s="31"/>
      <c r="C413" s="31"/>
      <c r="D413" s="32"/>
      <c r="E413" s="32"/>
      <c r="F413" s="29"/>
      <c r="G413" s="29"/>
      <c r="H413" s="3"/>
      <c r="I413" s="29"/>
      <c r="J413" s="29"/>
      <c r="K413" s="29"/>
      <c r="L413" s="29"/>
      <c r="M413" s="29"/>
      <c r="N413" s="29"/>
      <c r="O413" s="3"/>
      <c r="P413" s="3"/>
      <c r="Q413" s="3"/>
      <c r="R413" s="3"/>
      <c r="S413" s="3"/>
    </row>
    <row r="414" ht="15.75" customHeight="1">
      <c r="A414" s="3"/>
      <c r="B414" s="31"/>
      <c r="C414" s="31"/>
      <c r="D414" s="32"/>
      <c r="E414" s="32"/>
      <c r="F414" s="29"/>
      <c r="G414" s="29"/>
      <c r="H414" s="3"/>
      <c r="I414" s="29"/>
      <c r="J414" s="29"/>
      <c r="K414" s="29"/>
      <c r="L414" s="29"/>
      <c r="M414" s="29"/>
      <c r="N414" s="29"/>
      <c r="O414" s="3"/>
      <c r="P414" s="3"/>
      <c r="Q414" s="3"/>
      <c r="R414" s="3"/>
      <c r="S414" s="3"/>
    </row>
    <row r="415" ht="15.75" customHeight="1">
      <c r="A415" s="3"/>
      <c r="B415" s="31"/>
      <c r="C415" s="31"/>
      <c r="D415" s="32"/>
      <c r="E415" s="32"/>
      <c r="F415" s="29"/>
      <c r="G415" s="29"/>
      <c r="H415" s="3"/>
      <c r="I415" s="29"/>
      <c r="J415" s="29"/>
      <c r="K415" s="29"/>
      <c r="L415" s="29"/>
      <c r="M415" s="29"/>
      <c r="N415" s="29"/>
      <c r="O415" s="3"/>
      <c r="P415" s="3"/>
      <c r="Q415" s="3"/>
      <c r="R415" s="3"/>
      <c r="S415" s="3"/>
    </row>
    <row r="416" ht="15.75" customHeight="1">
      <c r="A416" s="3"/>
      <c r="B416" s="31"/>
      <c r="C416" s="31"/>
      <c r="D416" s="32"/>
      <c r="E416" s="32"/>
      <c r="F416" s="29"/>
      <c r="G416" s="29"/>
      <c r="H416" s="3"/>
      <c r="I416" s="29"/>
      <c r="J416" s="29"/>
      <c r="K416" s="29"/>
      <c r="L416" s="29"/>
      <c r="M416" s="29"/>
      <c r="N416" s="29"/>
      <c r="O416" s="3"/>
      <c r="P416" s="3"/>
      <c r="Q416" s="3"/>
      <c r="R416" s="3"/>
      <c r="S416" s="3"/>
    </row>
    <row r="417" ht="15.75" customHeight="1">
      <c r="A417" s="3"/>
      <c r="B417" s="31"/>
      <c r="C417" s="31"/>
      <c r="D417" s="32"/>
      <c r="E417" s="32"/>
      <c r="F417" s="29"/>
      <c r="G417" s="29"/>
      <c r="H417" s="3"/>
      <c r="I417" s="29"/>
      <c r="J417" s="29"/>
      <c r="K417" s="29"/>
      <c r="L417" s="29"/>
      <c r="M417" s="29"/>
      <c r="N417" s="29"/>
      <c r="O417" s="3"/>
      <c r="P417" s="3"/>
      <c r="Q417" s="3"/>
      <c r="R417" s="3"/>
      <c r="S417" s="3"/>
    </row>
    <row r="418" ht="15.75" customHeight="1">
      <c r="A418" s="3"/>
      <c r="B418" s="31"/>
      <c r="C418" s="31"/>
      <c r="D418" s="32"/>
      <c r="E418" s="32"/>
      <c r="F418" s="29"/>
      <c r="G418" s="29"/>
      <c r="H418" s="3"/>
      <c r="I418" s="29"/>
      <c r="J418" s="29"/>
      <c r="K418" s="29"/>
      <c r="L418" s="29"/>
      <c r="M418" s="29"/>
      <c r="N418" s="29"/>
      <c r="O418" s="3"/>
      <c r="P418" s="3"/>
      <c r="Q418" s="3"/>
      <c r="R418" s="3"/>
      <c r="S418" s="3"/>
    </row>
    <row r="419" ht="15.75" customHeight="1">
      <c r="A419" s="3"/>
      <c r="B419" s="31"/>
      <c r="C419" s="31"/>
      <c r="D419" s="32"/>
      <c r="E419" s="32"/>
      <c r="F419" s="29"/>
      <c r="G419" s="29"/>
      <c r="H419" s="3"/>
      <c r="I419" s="29"/>
      <c r="J419" s="29"/>
      <c r="K419" s="29"/>
      <c r="L419" s="29"/>
      <c r="M419" s="29"/>
      <c r="N419" s="29"/>
      <c r="O419" s="3"/>
      <c r="P419" s="3"/>
      <c r="Q419" s="3"/>
      <c r="R419" s="3"/>
      <c r="S419" s="3"/>
    </row>
    <row r="420" ht="15.75" customHeight="1">
      <c r="A420" s="3"/>
      <c r="B420" s="31"/>
      <c r="C420" s="31"/>
      <c r="D420" s="32"/>
      <c r="E420" s="32"/>
      <c r="F420" s="29"/>
      <c r="G420" s="29"/>
      <c r="H420" s="3"/>
      <c r="I420" s="29"/>
      <c r="J420" s="29"/>
      <c r="K420" s="29"/>
      <c r="L420" s="29"/>
      <c r="M420" s="29"/>
      <c r="N420" s="29"/>
      <c r="O420" s="3"/>
      <c r="P420" s="3"/>
      <c r="Q420" s="3"/>
      <c r="R420" s="3"/>
      <c r="S420" s="3"/>
    </row>
    <row r="421" ht="15.75" customHeight="1">
      <c r="A421" s="3"/>
      <c r="B421" s="31"/>
      <c r="C421" s="31"/>
      <c r="D421" s="32"/>
      <c r="E421" s="32"/>
      <c r="F421" s="29"/>
      <c r="G421" s="29"/>
      <c r="H421" s="3"/>
      <c r="I421" s="29"/>
      <c r="J421" s="29"/>
      <c r="K421" s="29"/>
      <c r="L421" s="29"/>
      <c r="M421" s="29"/>
      <c r="N421" s="29"/>
      <c r="O421" s="3"/>
      <c r="P421" s="3"/>
      <c r="Q421" s="3"/>
      <c r="R421" s="3"/>
      <c r="S421" s="3"/>
    </row>
    <row r="422" ht="15.75" customHeight="1">
      <c r="A422" s="3"/>
      <c r="B422" s="31"/>
      <c r="C422" s="31"/>
      <c r="D422" s="32"/>
      <c r="E422" s="32"/>
      <c r="F422" s="29"/>
      <c r="G422" s="29"/>
      <c r="H422" s="3"/>
      <c r="I422" s="29"/>
      <c r="J422" s="29"/>
      <c r="K422" s="29"/>
      <c r="L422" s="29"/>
      <c r="M422" s="29"/>
      <c r="N422" s="29"/>
      <c r="O422" s="3"/>
      <c r="P422" s="3"/>
      <c r="Q422" s="3"/>
      <c r="R422" s="3"/>
      <c r="S422" s="3"/>
    </row>
    <row r="423" ht="15.75" customHeight="1">
      <c r="A423" s="3"/>
      <c r="B423" s="31"/>
      <c r="C423" s="31"/>
      <c r="D423" s="32"/>
      <c r="E423" s="32"/>
      <c r="F423" s="29"/>
      <c r="G423" s="29"/>
      <c r="H423" s="3"/>
      <c r="I423" s="29"/>
      <c r="J423" s="29"/>
      <c r="K423" s="29"/>
      <c r="L423" s="29"/>
      <c r="M423" s="29"/>
      <c r="N423" s="29"/>
      <c r="O423" s="3"/>
      <c r="P423" s="3"/>
      <c r="Q423" s="3"/>
      <c r="R423" s="3"/>
      <c r="S423" s="3"/>
    </row>
    <row r="424" ht="15.75" customHeight="1">
      <c r="A424" s="3"/>
      <c r="B424" s="31"/>
      <c r="C424" s="31"/>
      <c r="D424" s="32"/>
      <c r="E424" s="32"/>
      <c r="F424" s="29"/>
      <c r="G424" s="29"/>
      <c r="H424" s="3"/>
      <c r="I424" s="29"/>
      <c r="J424" s="29"/>
      <c r="K424" s="29"/>
      <c r="L424" s="29"/>
      <c r="M424" s="29"/>
      <c r="N424" s="29"/>
      <c r="O424" s="3"/>
      <c r="P424" s="3"/>
      <c r="Q424" s="3"/>
      <c r="R424" s="3"/>
      <c r="S424" s="3"/>
    </row>
    <row r="425" ht="15.75" customHeight="1">
      <c r="A425" s="3"/>
      <c r="B425" s="31"/>
      <c r="C425" s="31"/>
      <c r="D425" s="32"/>
      <c r="E425" s="32"/>
      <c r="F425" s="29"/>
      <c r="G425" s="29"/>
      <c r="H425" s="3"/>
      <c r="I425" s="29"/>
      <c r="J425" s="29"/>
      <c r="K425" s="29"/>
      <c r="L425" s="29"/>
      <c r="M425" s="29"/>
      <c r="N425" s="29"/>
      <c r="O425" s="3"/>
      <c r="P425" s="3"/>
      <c r="Q425" s="3"/>
      <c r="R425" s="3"/>
      <c r="S425" s="3"/>
    </row>
    <row r="426" ht="15.75" customHeight="1">
      <c r="A426" s="3"/>
      <c r="B426" s="31"/>
      <c r="C426" s="31"/>
      <c r="D426" s="32"/>
      <c r="E426" s="32"/>
      <c r="F426" s="29"/>
      <c r="G426" s="29"/>
      <c r="H426" s="3"/>
      <c r="I426" s="29"/>
      <c r="J426" s="29"/>
      <c r="K426" s="29"/>
      <c r="L426" s="29"/>
      <c r="M426" s="29"/>
      <c r="N426" s="29"/>
      <c r="O426" s="3"/>
      <c r="P426" s="3"/>
      <c r="Q426" s="3"/>
      <c r="R426" s="3"/>
      <c r="S426" s="3"/>
    </row>
    <row r="427" ht="15.75" customHeight="1">
      <c r="A427" s="3"/>
      <c r="B427" s="31"/>
      <c r="C427" s="31"/>
      <c r="D427" s="32"/>
      <c r="E427" s="32"/>
      <c r="F427" s="29"/>
      <c r="G427" s="29"/>
      <c r="H427" s="3"/>
      <c r="I427" s="29"/>
      <c r="J427" s="29"/>
      <c r="K427" s="29"/>
      <c r="L427" s="29"/>
      <c r="M427" s="29"/>
      <c r="N427" s="29"/>
      <c r="O427" s="3"/>
      <c r="P427" s="3"/>
      <c r="Q427" s="3"/>
      <c r="R427" s="3"/>
      <c r="S427" s="3"/>
    </row>
    <row r="428" ht="15.75" customHeight="1">
      <c r="A428" s="3"/>
      <c r="B428" s="31"/>
      <c r="C428" s="31"/>
      <c r="D428" s="32"/>
      <c r="E428" s="32"/>
      <c r="F428" s="29"/>
      <c r="G428" s="29"/>
      <c r="H428" s="3"/>
      <c r="I428" s="29"/>
      <c r="J428" s="29"/>
      <c r="K428" s="29"/>
      <c r="L428" s="29"/>
      <c r="M428" s="29"/>
      <c r="N428" s="29"/>
      <c r="O428" s="3"/>
      <c r="P428" s="3"/>
      <c r="Q428" s="3"/>
      <c r="R428" s="3"/>
      <c r="S428" s="3"/>
    </row>
    <row r="429" ht="15.75" customHeight="1">
      <c r="A429" s="3"/>
      <c r="B429" s="31"/>
      <c r="C429" s="31"/>
      <c r="D429" s="32"/>
      <c r="E429" s="32"/>
      <c r="F429" s="29"/>
      <c r="G429" s="29"/>
      <c r="H429" s="3"/>
      <c r="I429" s="29"/>
      <c r="J429" s="29"/>
      <c r="K429" s="29"/>
      <c r="L429" s="29"/>
      <c r="M429" s="29"/>
      <c r="N429" s="29"/>
      <c r="O429" s="3"/>
      <c r="P429" s="3"/>
      <c r="Q429" s="3"/>
      <c r="R429" s="3"/>
      <c r="S429" s="3"/>
    </row>
    <row r="430" ht="15.75" customHeight="1">
      <c r="A430" s="3"/>
      <c r="B430" s="31"/>
      <c r="C430" s="31"/>
      <c r="D430" s="32"/>
      <c r="E430" s="32"/>
      <c r="F430" s="29"/>
      <c r="G430" s="29"/>
      <c r="H430" s="3"/>
      <c r="I430" s="29"/>
      <c r="J430" s="29"/>
      <c r="K430" s="29"/>
      <c r="L430" s="29"/>
      <c r="M430" s="29"/>
      <c r="N430" s="29"/>
      <c r="O430" s="3"/>
      <c r="P430" s="3"/>
      <c r="Q430" s="3"/>
      <c r="R430" s="3"/>
      <c r="S430" s="3"/>
    </row>
    <row r="431" ht="15.75" customHeight="1">
      <c r="A431" s="3"/>
      <c r="B431" s="31"/>
      <c r="C431" s="31"/>
      <c r="D431" s="32"/>
      <c r="E431" s="32"/>
      <c r="F431" s="29"/>
      <c r="G431" s="29"/>
      <c r="H431" s="3"/>
      <c r="I431" s="29"/>
      <c r="J431" s="29"/>
      <c r="K431" s="29"/>
      <c r="L431" s="29"/>
      <c r="M431" s="29"/>
      <c r="N431" s="29"/>
      <c r="O431" s="3"/>
      <c r="P431" s="3"/>
      <c r="Q431" s="3"/>
      <c r="R431" s="3"/>
      <c r="S431" s="3"/>
    </row>
    <row r="432" ht="15.75" customHeight="1">
      <c r="A432" s="3"/>
      <c r="B432" s="31"/>
      <c r="C432" s="31"/>
      <c r="D432" s="32"/>
      <c r="E432" s="32"/>
      <c r="F432" s="29"/>
      <c r="G432" s="29"/>
      <c r="H432" s="3"/>
      <c r="I432" s="29"/>
      <c r="J432" s="29"/>
      <c r="K432" s="29"/>
      <c r="L432" s="29"/>
      <c r="M432" s="29"/>
      <c r="N432" s="29"/>
      <c r="O432" s="3"/>
      <c r="P432" s="3"/>
      <c r="Q432" s="3"/>
      <c r="R432" s="3"/>
      <c r="S432" s="3"/>
    </row>
    <row r="433" ht="15.75" customHeight="1">
      <c r="A433" s="3"/>
      <c r="B433" s="31"/>
      <c r="C433" s="31"/>
      <c r="D433" s="32"/>
      <c r="E433" s="32"/>
      <c r="F433" s="29"/>
      <c r="G433" s="29"/>
      <c r="H433" s="3"/>
      <c r="I433" s="29"/>
      <c r="J433" s="29"/>
      <c r="K433" s="29"/>
      <c r="L433" s="29"/>
      <c r="M433" s="29"/>
      <c r="N433" s="29"/>
      <c r="O433" s="3"/>
      <c r="P433" s="3"/>
      <c r="Q433" s="3"/>
      <c r="R433" s="3"/>
      <c r="S433" s="3"/>
    </row>
    <row r="434" ht="15.75" customHeight="1">
      <c r="A434" s="3"/>
      <c r="B434" s="31"/>
      <c r="C434" s="31"/>
      <c r="D434" s="32"/>
      <c r="E434" s="32"/>
      <c r="F434" s="29"/>
      <c r="G434" s="29"/>
      <c r="H434" s="3"/>
      <c r="I434" s="29"/>
      <c r="J434" s="29"/>
      <c r="K434" s="29"/>
      <c r="L434" s="29"/>
      <c r="M434" s="29"/>
      <c r="N434" s="29"/>
      <c r="O434" s="3"/>
      <c r="P434" s="3"/>
      <c r="Q434" s="3"/>
      <c r="R434" s="3"/>
      <c r="S434" s="3"/>
    </row>
    <row r="435" ht="15.75" customHeight="1">
      <c r="A435" s="3"/>
      <c r="B435" s="31"/>
      <c r="C435" s="31"/>
      <c r="D435" s="32"/>
      <c r="E435" s="32"/>
      <c r="F435" s="29"/>
      <c r="G435" s="29"/>
      <c r="H435" s="3"/>
      <c r="I435" s="29"/>
      <c r="J435" s="29"/>
      <c r="K435" s="29"/>
      <c r="L435" s="29"/>
      <c r="M435" s="29"/>
      <c r="N435" s="29"/>
      <c r="O435" s="3"/>
      <c r="P435" s="3"/>
      <c r="Q435" s="3"/>
      <c r="R435" s="3"/>
      <c r="S435" s="3"/>
    </row>
    <row r="436" ht="15.75" customHeight="1">
      <c r="A436" s="3"/>
      <c r="B436" s="31"/>
      <c r="C436" s="31"/>
      <c r="D436" s="32"/>
      <c r="E436" s="32"/>
      <c r="F436" s="29"/>
      <c r="G436" s="29"/>
      <c r="H436" s="3"/>
      <c r="I436" s="29"/>
      <c r="J436" s="29"/>
      <c r="K436" s="29"/>
      <c r="L436" s="29"/>
      <c r="M436" s="29"/>
      <c r="N436" s="29"/>
      <c r="O436" s="3"/>
      <c r="P436" s="3"/>
      <c r="Q436" s="3"/>
      <c r="R436" s="3"/>
      <c r="S436" s="3"/>
    </row>
    <row r="437" ht="15.75" customHeight="1">
      <c r="A437" s="3"/>
      <c r="B437" s="31"/>
      <c r="C437" s="31"/>
      <c r="D437" s="32"/>
      <c r="E437" s="32"/>
      <c r="F437" s="29"/>
      <c r="G437" s="29"/>
      <c r="H437" s="3"/>
      <c r="I437" s="29"/>
      <c r="J437" s="29"/>
      <c r="K437" s="29"/>
      <c r="L437" s="29"/>
      <c r="M437" s="29"/>
      <c r="N437" s="29"/>
      <c r="O437" s="3"/>
      <c r="P437" s="3"/>
      <c r="Q437" s="3"/>
      <c r="R437" s="3"/>
      <c r="S437" s="3"/>
    </row>
    <row r="438" ht="15.75" customHeight="1">
      <c r="A438" s="3"/>
      <c r="B438" s="31"/>
      <c r="C438" s="31"/>
      <c r="D438" s="32"/>
      <c r="E438" s="32"/>
      <c r="F438" s="29"/>
      <c r="G438" s="29"/>
      <c r="H438" s="3"/>
      <c r="I438" s="29"/>
      <c r="J438" s="29"/>
      <c r="K438" s="29"/>
      <c r="L438" s="29"/>
      <c r="M438" s="29"/>
      <c r="N438" s="29"/>
      <c r="O438" s="3"/>
      <c r="P438" s="3"/>
      <c r="Q438" s="3"/>
      <c r="R438" s="3"/>
      <c r="S438" s="3"/>
    </row>
    <row r="439" ht="15.75" customHeight="1">
      <c r="A439" s="3"/>
      <c r="B439" s="31"/>
      <c r="C439" s="31"/>
      <c r="D439" s="32"/>
      <c r="E439" s="32"/>
      <c r="F439" s="29"/>
      <c r="G439" s="29"/>
      <c r="H439" s="3"/>
      <c r="I439" s="29"/>
      <c r="J439" s="29"/>
      <c r="K439" s="29"/>
      <c r="L439" s="29"/>
      <c r="M439" s="29"/>
      <c r="N439" s="29"/>
      <c r="O439" s="3"/>
      <c r="P439" s="3"/>
      <c r="Q439" s="3"/>
      <c r="R439" s="3"/>
      <c r="S439" s="3"/>
    </row>
    <row r="440" ht="15.75" customHeight="1">
      <c r="A440" s="3"/>
      <c r="B440" s="31"/>
      <c r="C440" s="31"/>
      <c r="D440" s="32"/>
      <c r="E440" s="32"/>
      <c r="F440" s="29"/>
      <c r="G440" s="29"/>
      <c r="H440" s="3"/>
      <c r="I440" s="29"/>
      <c r="J440" s="29"/>
      <c r="K440" s="29"/>
      <c r="L440" s="29"/>
      <c r="M440" s="29"/>
      <c r="N440" s="29"/>
      <c r="O440" s="3"/>
      <c r="P440" s="3"/>
      <c r="Q440" s="3"/>
      <c r="R440" s="3"/>
      <c r="S440" s="3"/>
    </row>
    <row r="441" ht="15.75" customHeight="1">
      <c r="A441" s="3"/>
      <c r="B441" s="31"/>
      <c r="C441" s="31"/>
      <c r="D441" s="32"/>
      <c r="E441" s="32"/>
      <c r="F441" s="29"/>
      <c r="G441" s="29"/>
      <c r="H441" s="3"/>
      <c r="I441" s="29"/>
      <c r="J441" s="29"/>
      <c r="K441" s="29"/>
      <c r="L441" s="29"/>
      <c r="M441" s="29"/>
      <c r="N441" s="29"/>
      <c r="O441" s="3"/>
      <c r="P441" s="3"/>
      <c r="Q441" s="3"/>
      <c r="R441" s="3"/>
      <c r="S441" s="3"/>
    </row>
    <row r="442" ht="15.75" customHeight="1">
      <c r="A442" s="3"/>
      <c r="B442" s="31"/>
      <c r="C442" s="31"/>
      <c r="D442" s="32"/>
      <c r="E442" s="32"/>
      <c r="F442" s="29"/>
      <c r="G442" s="29"/>
      <c r="H442" s="3"/>
      <c r="I442" s="29"/>
      <c r="J442" s="29"/>
      <c r="K442" s="29"/>
      <c r="L442" s="29"/>
      <c r="M442" s="29"/>
      <c r="N442" s="29"/>
      <c r="O442" s="3"/>
      <c r="P442" s="3"/>
      <c r="Q442" s="3"/>
      <c r="R442" s="3"/>
      <c r="S442" s="3"/>
    </row>
    <row r="443" ht="15.75" customHeight="1">
      <c r="A443" s="3"/>
      <c r="B443" s="31"/>
      <c r="C443" s="31"/>
      <c r="D443" s="32"/>
      <c r="E443" s="32"/>
      <c r="F443" s="29"/>
      <c r="G443" s="29"/>
      <c r="H443" s="3"/>
      <c r="I443" s="29"/>
      <c r="J443" s="29"/>
      <c r="K443" s="29"/>
      <c r="L443" s="29"/>
      <c r="M443" s="29"/>
      <c r="N443" s="29"/>
      <c r="O443" s="3"/>
      <c r="P443" s="3"/>
      <c r="Q443" s="3"/>
      <c r="R443" s="3"/>
      <c r="S443" s="3"/>
    </row>
    <row r="444" ht="15.75" customHeight="1">
      <c r="A444" s="3"/>
      <c r="B444" s="31"/>
      <c r="C444" s="31"/>
      <c r="D444" s="32"/>
      <c r="E444" s="32"/>
      <c r="F444" s="29"/>
      <c r="G444" s="29"/>
      <c r="H444" s="3"/>
      <c r="I444" s="29"/>
      <c r="J444" s="29"/>
      <c r="K444" s="29"/>
      <c r="L444" s="29"/>
      <c r="M444" s="29"/>
      <c r="N444" s="29"/>
      <c r="O444" s="3"/>
      <c r="P444" s="3"/>
      <c r="Q444" s="3"/>
      <c r="R444" s="3"/>
      <c r="S444" s="3"/>
    </row>
    <row r="445" ht="15.75" customHeight="1">
      <c r="A445" s="3"/>
      <c r="B445" s="31"/>
      <c r="C445" s="31"/>
      <c r="D445" s="32"/>
      <c r="E445" s="32"/>
      <c r="F445" s="29"/>
      <c r="G445" s="29"/>
      <c r="H445" s="3"/>
      <c r="I445" s="29"/>
      <c r="J445" s="29"/>
      <c r="K445" s="29"/>
      <c r="L445" s="29"/>
      <c r="M445" s="29"/>
      <c r="N445" s="29"/>
      <c r="O445" s="3"/>
      <c r="P445" s="3"/>
      <c r="Q445" s="3"/>
      <c r="R445" s="3"/>
      <c r="S445" s="3"/>
    </row>
    <row r="446" ht="15.75" customHeight="1">
      <c r="A446" s="3"/>
      <c r="B446" s="31"/>
      <c r="C446" s="31"/>
      <c r="D446" s="32"/>
      <c r="E446" s="32"/>
      <c r="F446" s="29"/>
      <c r="G446" s="29"/>
      <c r="H446" s="3"/>
      <c r="I446" s="29"/>
      <c r="J446" s="29"/>
      <c r="K446" s="29"/>
      <c r="L446" s="29"/>
      <c r="M446" s="29"/>
      <c r="N446" s="29"/>
      <c r="O446" s="3"/>
      <c r="P446" s="3"/>
      <c r="Q446" s="3"/>
      <c r="R446" s="3"/>
      <c r="S446" s="3"/>
    </row>
    <row r="447" ht="15.75" customHeight="1">
      <c r="A447" s="3"/>
      <c r="B447" s="31"/>
      <c r="C447" s="31"/>
      <c r="D447" s="32"/>
      <c r="E447" s="32"/>
      <c r="F447" s="29"/>
      <c r="G447" s="29"/>
      <c r="H447" s="3"/>
      <c r="I447" s="29"/>
      <c r="J447" s="29"/>
      <c r="K447" s="29"/>
      <c r="L447" s="29"/>
      <c r="M447" s="29"/>
      <c r="N447" s="29"/>
      <c r="O447" s="3"/>
      <c r="P447" s="3"/>
      <c r="Q447" s="3"/>
      <c r="R447" s="3"/>
      <c r="S447" s="3"/>
    </row>
    <row r="448" ht="15.75" customHeight="1">
      <c r="A448" s="3"/>
      <c r="B448" s="31"/>
      <c r="C448" s="31"/>
      <c r="D448" s="32"/>
      <c r="E448" s="32"/>
      <c r="F448" s="29"/>
      <c r="G448" s="29"/>
      <c r="H448" s="3"/>
      <c r="I448" s="29"/>
      <c r="J448" s="29"/>
      <c r="K448" s="29"/>
      <c r="L448" s="29"/>
      <c r="M448" s="29"/>
      <c r="N448" s="29"/>
      <c r="O448" s="3"/>
      <c r="P448" s="3"/>
      <c r="Q448" s="3"/>
      <c r="R448" s="3"/>
      <c r="S448" s="3"/>
    </row>
    <row r="449" ht="15.75" customHeight="1">
      <c r="A449" s="3"/>
      <c r="B449" s="31"/>
      <c r="C449" s="31"/>
      <c r="D449" s="32"/>
      <c r="E449" s="32"/>
      <c r="F449" s="29"/>
      <c r="G449" s="29"/>
      <c r="H449" s="3"/>
      <c r="I449" s="29"/>
      <c r="J449" s="29"/>
      <c r="K449" s="29"/>
      <c r="L449" s="29"/>
      <c r="M449" s="29"/>
      <c r="N449" s="29"/>
      <c r="O449" s="3"/>
      <c r="P449" s="3"/>
      <c r="Q449" s="3"/>
      <c r="R449" s="3"/>
      <c r="S449" s="3"/>
    </row>
    <row r="450" ht="15.75" customHeight="1">
      <c r="A450" s="3"/>
      <c r="B450" s="31"/>
      <c r="C450" s="31"/>
      <c r="D450" s="32"/>
      <c r="E450" s="32"/>
      <c r="F450" s="29"/>
      <c r="G450" s="29"/>
      <c r="H450" s="3"/>
      <c r="I450" s="29"/>
      <c r="J450" s="29"/>
      <c r="K450" s="29"/>
      <c r="L450" s="29"/>
      <c r="M450" s="29"/>
      <c r="N450" s="29"/>
      <c r="O450" s="3"/>
      <c r="P450" s="3"/>
      <c r="Q450" s="3"/>
      <c r="R450" s="3"/>
      <c r="S450" s="3"/>
    </row>
    <row r="451" ht="15.75" customHeight="1">
      <c r="A451" s="3"/>
      <c r="B451" s="31"/>
      <c r="C451" s="31"/>
      <c r="D451" s="32"/>
      <c r="E451" s="32"/>
      <c r="F451" s="29"/>
      <c r="G451" s="29"/>
      <c r="H451" s="3"/>
      <c r="I451" s="29"/>
      <c r="J451" s="29"/>
      <c r="K451" s="29"/>
      <c r="L451" s="29"/>
      <c r="M451" s="29"/>
      <c r="N451" s="29"/>
      <c r="O451" s="3"/>
      <c r="P451" s="3"/>
      <c r="Q451" s="3"/>
      <c r="R451" s="3"/>
      <c r="S451" s="3"/>
    </row>
    <row r="452" ht="15.75" customHeight="1">
      <c r="A452" s="3"/>
      <c r="B452" s="31"/>
      <c r="C452" s="31"/>
      <c r="D452" s="32"/>
      <c r="E452" s="32"/>
      <c r="F452" s="29"/>
      <c r="G452" s="29"/>
      <c r="H452" s="3"/>
      <c r="I452" s="29"/>
      <c r="J452" s="29"/>
      <c r="K452" s="29"/>
      <c r="L452" s="29"/>
      <c r="M452" s="29"/>
      <c r="N452" s="29"/>
      <c r="O452" s="3"/>
      <c r="P452" s="3"/>
      <c r="Q452" s="3"/>
      <c r="R452" s="3"/>
      <c r="S452" s="3"/>
    </row>
    <row r="453" ht="15.75" customHeight="1">
      <c r="A453" s="3"/>
      <c r="B453" s="31"/>
      <c r="C453" s="31"/>
      <c r="D453" s="32"/>
      <c r="E453" s="32"/>
      <c r="F453" s="29"/>
      <c r="G453" s="29"/>
      <c r="H453" s="3"/>
      <c r="I453" s="29"/>
      <c r="J453" s="29"/>
      <c r="K453" s="29"/>
      <c r="L453" s="29"/>
      <c r="M453" s="29"/>
      <c r="N453" s="29"/>
      <c r="O453" s="3"/>
      <c r="P453" s="3"/>
      <c r="Q453" s="3"/>
      <c r="R453" s="3"/>
      <c r="S453" s="3"/>
    </row>
    <row r="454" ht="15.75" customHeight="1">
      <c r="A454" s="3"/>
      <c r="B454" s="31"/>
      <c r="C454" s="31"/>
      <c r="D454" s="32"/>
      <c r="E454" s="32"/>
      <c r="F454" s="29"/>
      <c r="G454" s="29"/>
      <c r="H454" s="3"/>
      <c r="I454" s="29"/>
      <c r="J454" s="29"/>
      <c r="K454" s="29"/>
      <c r="L454" s="29"/>
      <c r="M454" s="29"/>
      <c r="N454" s="29"/>
      <c r="O454" s="3"/>
      <c r="P454" s="3"/>
      <c r="Q454" s="3"/>
      <c r="R454" s="3"/>
      <c r="S454" s="3"/>
    </row>
    <row r="455" ht="15.75" customHeight="1">
      <c r="A455" s="3"/>
      <c r="B455" s="31"/>
      <c r="C455" s="31"/>
      <c r="D455" s="32"/>
      <c r="E455" s="32"/>
      <c r="F455" s="29"/>
      <c r="G455" s="29"/>
      <c r="H455" s="3"/>
      <c r="I455" s="29"/>
      <c r="J455" s="29"/>
      <c r="K455" s="29"/>
      <c r="L455" s="29"/>
      <c r="M455" s="29"/>
      <c r="N455" s="29"/>
      <c r="O455" s="3"/>
      <c r="P455" s="3"/>
      <c r="Q455" s="3"/>
      <c r="R455" s="3"/>
      <c r="S455" s="3"/>
    </row>
    <row r="456" ht="15.75" customHeight="1">
      <c r="A456" s="3"/>
      <c r="B456" s="31"/>
      <c r="C456" s="31"/>
      <c r="D456" s="32"/>
      <c r="E456" s="32"/>
      <c r="F456" s="29"/>
      <c r="G456" s="29"/>
      <c r="H456" s="3"/>
      <c r="I456" s="29"/>
      <c r="J456" s="29"/>
      <c r="K456" s="29"/>
      <c r="L456" s="29"/>
      <c r="M456" s="29"/>
      <c r="N456" s="29"/>
      <c r="O456" s="3"/>
      <c r="P456" s="3"/>
      <c r="Q456" s="3"/>
      <c r="R456" s="3"/>
      <c r="S456" s="3"/>
    </row>
    <row r="457" ht="15.75" customHeight="1">
      <c r="A457" s="3"/>
      <c r="B457" s="31"/>
      <c r="C457" s="31"/>
      <c r="D457" s="32"/>
      <c r="E457" s="32"/>
      <c r="F457" s="29"/>
      <c r="G457" s="29"/>
      <c r="H457" s="3"/>
      <c r="I457" s="29"/>
      <c r="J457" s="29"/>
      <c r="K457" s="29"/>
      <c r="L457" s="29"/>
      <c r="M457" s="29"/>
      <c r="N457" s="29"/>
      <c r="O457" s="3"/>
      <c r="P457" s="3"/>
      <c r="Q457" s="3"/>
      <c r="R457" s="3"/>
      <c r="S457" s="3"/>
    </row>
    <row r="458" ht="15.75" customHeight="1">
      <c r="A458" s="3"/>
      <c r="B458" s="31"/>
      <c r="C458" s="31"/>
      <c r="D458" s="32"/>
      <c r="E458" s="32"/>
      <c r="F458" s="29"/>
      <c r="G458" s="29"/>
      <c r="H458" s="3"/>
      <c r="I458" s="29"/>
      <c r="J458" s="29"/>
      <c r="K458" s="29"/>
      <c r="L458" s="29"/>
      <c r="M458" s="29"/>
      <c r="N458" s="29"/>
      <c r="O458" s="3"/>
      <c r="P458" s="3"/>
      <c r="Q458" s="3"/>
      <c r="R458" s="3"/>
      <c r="S458" s="3"/>
    </row>
    <row r="459" ht="15.75" customHeight="1">
      <c r="A459" s="3"/>
      <c r="B459" s="31"/>
      <c r="C459" s="31"/>
      <c r="D459" s="32"/>
      <c r="E459" s="32"/>
      <c r="F459" s="29"/>
      <c r="G459" s="29"/>
      <c r="H459" s="3"/>
      <c r="I459" s="29"/>
      <c r="J459" s="29"/>
      <c r="K459" s="29"/>
      <c r="L459" s="29"/>
      <c r="M459" s="29"/>
      <c r="N459" s="29"/>
      <c r="O459" s="3"/>
      <c r="P459" s="3"/>
      <c r="Q459" s="3"/>
      <c r="R459" s="3"/>
      <c r="S459" s="3"/>
    </row>
    <row r="460" ht="15.75" customHeight="1">
      <c r="A460" s="3"/>
      <c r="B460" s="31"/>
      <c r="C460" s="31"/>
      <c r="D460" s="32"/>
      <c r="E460" s="32"/>
      <c r="F460" s="29"/>
      <c r="G460" s="29"/>
      <c r="H460" s="3"/>
      <c r="I460" s="29"/>
      <c r="J460" s="29"/>
      <c r="K460" s="29"/>
      <c r="L460" s="29"/>
      <c r="M460" s="29"/>
      <c r="N460" s="29"/>
      <c r="O460" s="3"/>
      <c r="P460" s="3"/>
      <c r="Q460" s="3"/>
      <c r="R460" s="3"/>
      <c r="S460" s="3"/>
    </row>
    <row r="461" ht="15.75" customHeight="1">
      <c r="A461" s="3"/>
      <c r="B461" s="31"/>
      <c r="C461" s="31"/>
      <c r="D461" s="32"/>
      <c r="E461" s="32"/>
      <c r="F461" s="29"/>
      <c r="G461" s="29"/>
      <c r="H461" s="3"/>
      <c r="I461" s="29"/>
      <c r="J461" s="29"/>
      <c r="K461" s="29"/>
      <c r="L461" s="29"/>
      <c r="M461" s="29"/>
      <c r="N461" s="29"/>
      <c r="O461" s="3"/>
      <c r="P461" s="3"/>
      <c r="Q461" s="3"/>
      <c r="R461" s="3"/>
      <c r="S461" s="3"/>
    </row>
    <row r="462" ht="15.75" customHeight="1">
      <c r="A462" s="3"/>
      <c r="B462" s="31"/>
      <c r="C462" s="31"/>
      <c r="D462" s="32"/>
      <c r="E462" s="32"/>
      <c r="F462" s="29"/>
      <c r="G462" s="29"/>
      <c r="H462" s="3"/>
      <c r="I462" s="29"/>
      <c r="J462" s="29"/>
      <c r="K462" s="29"/>
      <c r="L462" s="29"/>
      <c r="M462" s="29"/>
      <c r="N462" s="29"/>
      <c r="O462" s="3"/>
      <c r="P462" s="3"/>
      <c r="Q462" s="3"/>
      <c r="R462" s="3"/>
      <c r="S462" s="3"/>
    </row>
    <row r="463" ht="15.75" customHeight="1">
      <c r="A463" s="3"/>
      <c r="B463" s="31"/>
      <c r="C463" s="31"/>
      <c r="D463" s="32"/>
      <c r="E463" s="32"/>
      <c r="F463" s="29"/>
      <c r="G463" s="29"/>
      <c r="H463" s="3"/>
      <c r="I463" s="29"/>
      <c r="J463" s="29"/>
      <c r="K463" s="29"/>
      <c r="L463" s="29"/>
      <c r="M463" s="29"/>
      <c r="N463" s="29"/>
      <c r="O463" s="3"/>
      <c r="P463" s="3"/>
      <c r="Q463" s="3"/>
      <c r="R463" s="3"/>
      <c r="S463" s="3"/>
    </row>
    <row r="464" ht="15.75" customHeight="1">
      <c r="A464" s="3"/>
      <c r="B464" s="31"/>
      <c r="C464" s="31"/>
      <c r="D464" s="32"/>
      <c r="E464" s="32"/>
      <c r="F464" s="29"/>
      <c r="G464" s="29"/>
      <c r="H464" s="3"/>
      <c r="I464" s="29"/>
      <c r="J464" s="29"/>
      <c r="K464" s="29"/>
      <c r="L464" s="29"/>
      <c r="M464" s="29"/>
      <c r="N464" s="29"/>
      <c r="O464" s="3"/>
      <c r="P464" s="3"/>
      <c r="Q464" s="3"/>
      <c r="R464" s="3"/>
      <c r="S464" s="3"/>
    </row>
    <row r="465" ht="15.75" customHeight="1">
      <c r="A465" s="3"/>
      <c r="B465" s="31"/>
      <c r="C465" s="31"/>
      <c r="D465" s="32"/>
      <c r="E465" s="32"/>
      <c r="F465" s="29"/>
      <c r="G465" s="29"/>
      <c r="H465" s="3"/>
      <c r="I465" s="29"/>
      <c r="J465" s="29"/>
      <c r="K465" s="29"/>
      <c r="L465" s="29"/>
      <c r="M465" s="29"/>
      <c r="N465" s="29"/>
      <c r="O465" s="3"/>
      <c r="P465" s="3"/>
      <c r="Q465" s="3"/>
      <c r="R465" s="3"/>
      <c r="S465" s="3"/>
    </row>
    <row r="466" ht="15.75" customHeight="1">
      <c r="A466" s="3"/>
      <c r="B466" s="31"/>
      <c r="C466" s="31"/>
      <c r="D466" s="32"/>
      <c r="E466" s="32"/>
      <c r="F466" s="29"/>
      <c r="G466" s="29"/>
      <c r="H466" s="3"/>
      <c r="I466" s="29"/>
      <c r="J466" s="29"/>
      <c r="K466" s="29"/>
      <c r="L466" s="29"/>
      <c r="M466" s="29"/>
      <c r="N466" s="29"/>
      <c r="O466" s="3"/>
      <c r="P466" s="3"/>
      <c r="Q466" s="3"/>
      <c r="R466" s="3"/>
      <c r="S466" s="3"/>
    </row>
    <row r="467" ht="15.75" customHeight="1">
      <c r="A467" s="3"/>
      <c r="B467" s="31"/>
      <c r="C467" s="31"/>
      <c r="D467" s="32"/>
      <c r="E467" s="32"/>
      <c r="F467" s="29"/>
      <c r="G467" s="29"/>
      <c r="H467" s="3"/>
      <c r="I467" s="29"/>
      <c r="J467" s="29"/>
      <c r="K467" s="29"/>
      <c r="L467" s="29"/>
      <c r="M467" s="29"/>
      <c r="N467" s="29"/>
      <c r="O467" s="3"/>
      <c r="P467" s="3"/>
      <c r="Q467" s="3"/>
      <c r="R467" s="3"/>
      <c r="S467" s="3"/>
    </row>
    <row r="468" ht="15.75" customHeight="1">
      <c r="A468" s="3"/>
      <c r="B468" s="31"/>
      <c r="C468" s="31"/>
      <c r="D468" s="32"/>
      <c r="E468" s="32"/>
      <c r="F468" s="29"/>
      <c r="G468" s="29"/>
      <c r="H468" s="3"/>
      <c r="I468" s="29"/>
      <c r="J468" s="29"/>
      <c r="K468" s="29"/>
      <c r="L468" s="29"/>
      <c r="M468" s="29"/>
      <c r="N468" s="29"/>
      <c r="O468" s="3"/>
      <c r="P468" s="3"/>
      <c r="Q468" s="3"/>
      <c r="R468" s="3"/>
      <c r="S468" s="3"/>
    </row>
    <row r="469" ht="15.75" customHeight="1">
      <c r="A469" s="3"/>
      <c r="B469" s="31"/>
      <c r="C469" s="31"/>
      <c r="D469" s="32"/>
      <c r="E469" s="32"/>
      <c r="F469" s="29"/>
      <c r="G469" s="29"/>
      <c r="H469" s="3"/>
      <c r="I469" s="29"/>
      <c r="J469" s="29"/>
      <c r="K469" s="29"/>
      <c r="L469" s="29"/>
      <c r="M469" s="29"/>
      <c r="N469" s="29"/>
      <c r="O469" s="3"/>
      <c r="P469" s="3"/>
      <c r="Q469" s="3"/>
      <c r="R469" s="3"/>
      <c r="S469" s="3"/>
    </row>
    <row r="470" ht="15.75" customHeight="1">
      <c r="A470" s="3"/>
      <c r="B470" s="31"/>
      <c r="C470" s="31"/>
      <c r="D470" s="32"/>
      <c r="E470" s="32"/>
      <c r="F470" s="29"/>
      <c r="G470" s="29"/>
      <c r="H470" s="3"/>
      <c r="I470" s="29"/>
      <c r="J470" s="29"/>
      <c r="K470" s="29"/>
      <c r="L470" s="29"/>
      <c r="M470" s="29"/>
      <c r="N470" s="29"/>
      <c r="O470" s="3"/>
      <c r="P470" s="3"/>
      <c r="Q470" s="3"/>
      <c r="R470" s="3"/>
      <c r="S470" s="3"/>
    </row>
    <row r="471" ht="15.75" customHeight="1">
      <c r="A471" s="3"/>
      <c r="B471" s="31"/>
      <c r="C471" s="31"/>
      <c r="D471" s="32"/>
      <c r="E471" s="32"/>
      <c r="F471" s="29"/>
      <c r="G471" s="29"/>
      <c r="H471" s="3"/>
      <c r="I471" s="29"/>
      <c r="J471" s="29"/>
      <c r="K471" s="29"/>
      <c r="L471" s="29"/>
      <c r="M471" s="29"/>
      <c r="N471" s="29"/>
      <c r="O471" s="3"/>
      <c r="P471" s="3"/>
      <c r="Q471" s="3"/>
      <c r="R471" s="3"/>
      <c r="S471" s="3"/>
    </row>
    <row r="472" ht="15.75" customHeight="1">
      <c r="A472" s="3"/>
      <c r="B472" s="31"/>
      <c r="C472" s="31"/>
      <c r="D472" s="32"/>
      <c r="E472" s="32"/>
      <c r="F472" s="29"/>
      <c r="G472" s="29"/>
      <c r="H472" s="3"/>
      <c r="I472" s="29"/>
      <c r="J472" s="29"/>
      <c r="K472" s="29"/>
      <c r="L472" s="29"/>
      <c r="M472" s="29"/>
      <c r="N472" s="29"/>
      <c r="O472" s="3"/>
      <c r="P472" s="3"/>
      <c r="Q472" s="3"/>
      <c r="R472" s="3"/>
      <c r="S472" s="3"/>
    </row>
    <row r="473" ht="15.75" customHeight="1">
      <c r="A473" s="3"/>
      <c r="B473" s="31"/>
      <c r="C473" s="31"/>
      <c r="D473" s="32"/>
      <c r="E473" s="32"/>
      <c r="F473" s="29"/>
      <c r="G473" s="29"/>
      <c r="H473" s="3"/>
      <c r="I473" s="29"/>
      <c r="J473" s="29"/>
      <c r="K473" s="29"/>
      <c r="L473" s="29"/>
      <c r="M473" s="29"/>
      <c r="N473" s="29"/>
      <c r="O473" s="3"/>
      <c r="P473" s="3"/>
      <c r="Q473" s="3"/>
      <c r="R473" s="3"/>
      <c r="S473" s="3"/>
    </row>
    <row r="474" ht="15.75" customHeight="1">
      <c r="A474" s="3"/>
      <c r="B474" s="31"/>
      <c r="C474" s="31"/>
      <c r="D474" s="32"/>
      <c r="E474" s="32"/>
      <c r="F474" s="29"/>
      <c r="G474" s="29"/>
      <c r="H474" s="3"/>
      <c r="I474" s="29"/>
      <c r="J474" s="29"/>
      <c r="K474" s="29"/>
      <c r="L474" s="29"/>
      <c r="M474" s="29"/>
      <c r="N474" s="29"/>
      <c r="O474" s="3"/>
      <c r="P474" s="3"/>
      <c r="Q474" s="3"/>
      <c r="R474" s="3"/>
      <c r="S474" s="3"/>
    </row>
    <row r="475" ht="15.75" customHeight="1">
      <c r="A475" s="3"/>
      <c r="B475" s="31"/>
      <c r="C475" s="31"/>
      <c r="D475" s="32"/>
      <c r="E475" s="32"/>
      <c r="F475" s="29"/>
      <c r="G475" s="29"/>
      <c r="H475" s="3"/>
      <c r="I475" s="29"/>
      <c r="J475" s="29"/>
      <c r="K475" s="29"/>
      <c r="L475" s="29"/>
      <c r="M475" s="29"/>
      <c r="N475" s="29"/>
      <c r="O475" s="3"/>
      <c r="P475" s="3"/>
      <c r="Q475" s="3"/>
      <c r="R475" s="3"/>
      <c r="S475" s="3"/>
    </row>
    <row r="476" ht="15.75" customHeight="1">
      <c r="A476" s="3"/>
      <c r="B476" s="31"/>
      <c r="C476" s="31"/>
      <c r="D476" s="32"/>
      <c r="E476" s="32"/>
      <c r="F476" s="29"/>
      <c r="G476" s="29"/>
      <c r="H476" s="3"/>
      <c r="I476" s="29"/>
      <c r="J476" s="29"/>
      <c r="K476" s="29"/>
      <c r="L476" s="29"/>
      <c r="M476" s="29"/>
      <c r="N476" s="29"/>
      <c r="O476" s="3"/>
      <c r="P476" s="3"/>
      <c r="Q476" s="3"/>
      <c r="R476" s="3"/>
      <c r="S476" s="3"/>
    </row>
    <row r="477" ht="15.75" customHeight="1">
      <c r="A477" s="3"/>
      <c r="B477" s="31"/>
      <c r="C477" s="31"/>
      <c r="D477" s="32"/>
      <c r="E477" s="32"/>
      <c r="F477" s="29"/>
      <c r="G477" s="29"/>
      <c r="H477" s="3"/>
      <c r="I477" s="29"/>
      <c r="J477" s="29"/>
      <c r="K477" s="29"/>
      <c r="L477" s="29"/>
      <c r="M477" s="29"/>
      <c r="N477" s="29"/>
      <c r="O477" s="3"/>
      <c r="P477" s="3"/>
      <c r="Q477" s="3"/>
      <c r="R477" s="3"/>
      <c r="S477" s="3"/>
    </row>
    <row r="478" ht="15.75" customHeight="1">
      <c r="A478" s="3"/>
      <c r="B478" s="31"/>
      <c r="C478" s="31"/>
      <c r="D478" s="32"/>
      <c r="E478" s="32"/>
      <c r="F478" s="29"/>
      <c r="G478" s="29"/>
      <c r="H478" s="3"/>
      <c r="I478" s="29"/>
      <c r="J478" s="29"/>
      <c r="K478" s="29"/>
      <c r="L478" s="29"/>
      <c r="M478" s="29"/>
      <c r="N478" s="29"/>
      <c r="O478" s="3"/>
      <c r="P478" s="3"/>
      <c r="Q478" s="3"/>
      <c r="R478" s="3"/>
      <c r="S478" s="3"/>
    </row>
    <row r="479" ht="15.75" customHeight="1">
      <c r="A479" s="3"/>
      <c r="B479" s="31"/>
      <c r="C479" s="31"/>
      <c r="D479" s="32"/>
      <c r="E479" s="32"/>
      <c r="F479" s="29"/>
      <c r="G479" s="29"/>
      <c r="H479" s="3"/>
      <c r="I479" s="29"/>
      <c r="J479" s="29"/>
      <c r="K479" s="29"/>
      <c r="L479" s="29"/>
      <c r="M479" s="29"/>
      <c r="N479" s="29"/>
      <c r="O479" s="3"/>
      <c r="P479" s="3"/>
      <c r="Q479" s="3"/>
      <c r="R479" s="3"/>
      <c r="S479" s="3"/>
    </row>
    <row r="480" ht="15.75" customHeight="1">
      <c r="A480" s="3"/>
      <c r="B480" s="31"/>
      <c r="C480" s="31"/>
      <c r="D480" s="32"/>
      <c r="E480" s="32"/>
      <c r="F480" s="29"/>
      <c r="G480" s="29"/>
      <c r="H480" s="3"/>
      <c r="I480" s="29"/>
      <c r="J480" s="29"/>
      <c r="K480" s="29"/>
      <c r="L480" s="29"/>
      <c r="M480" s="29"/>
      <c r="N480" s="29"/>
      <c r="O480" s="3"/>
      <c r="P480" s="3"/>
      <c r="Q480" s="3"/>
      <c r="R480" s="3"/>
      <c r="S480" s="3"/>
    </row>
    <row r="481" ht="15.75" customHeight="1">
      <c r="A481" s="3"/>
      <c r="B481" s="31"/>
      <c r="C481" s="31"/>
      <c r="D481" s="32"/>
      <c r="E481" s="32"/>
      <c r="F481" s="29"/>
      <c r="G481" s="29"/>
      <c r="H481" s="3"/>
      <c r="I481" s="29"/>
      <c r="J481" s="29"/>
      <c r="K481" s="29"/>
      <c r="L481" s="29"/>
      <c r="M481" s="29"/>
      <c r="N481" s="29"/>
      <c r="O481" s="3"/>
      <c r="P481" s="3"/>
      <c r="Q481" s="3"/>
      <c r="R481" s="3"/>
      <c r="S481" s="3"/>
    </row>
    <row r="482" ht="15.75" customHeight="1">
      <c r="A482" s="3"/>
      <c r="B482" s="31"/>
      <c r="C482" s="31"/>
      <c r="D482" s="32"/>
      <c r="E482" s="32"/>
      <c r="F482" s="29"/>
      <c r="G482" s="29"/>
      <c r="H482" s="3"/>
      <c r="I482" s="29"/>
      <c r="J482" s="29"/>
      <c r="K482" s="29"/>
      <c r="L482" s="29"/>
      <c r="M482" s="29"/>
      <c r="N482" s="29"/>
      <c r="O482" s="3"/>
      <c r="P482" s="3"/>
      <c r="Q482" s="3"/>
      <c r="R482" s="3"/>
      <c r="S482" s="3"/>
    </row>
    <row r="483" ht="15.75" customHeight="1">
      <c r="A483" s="3"/>
      <c r="B483" s="31"/>
      <c r="C483" s="31"/>
      <c r="D483" s="32"/>
      <c r="E483" s="32"/>
      <c r="F483" s="29"/>
      <c r="G483" s="29"/>
      <c r="H483" s="3"/>
      <c r="I483" s="29"/>
      <c r="J483" s="29"/>
      <c r="K483" s="29"/>
      <c r="L483" s="29"/>
      <c r="M483" s="29"/>
      <c r="N483" s="29"/>
      <c r="O483" s="3"/>
      <c r="P483" s="3"/>
      <c r="Q483" s="3"/>
      <c r="R483" s="3"/>
      <c r="S483" s="3"/>
    </row>
    <row r="484" ht="15.75" customHeight="1">
      <c r="A484" s="3"/>
      <c r="B484" s="31"/>
      <c r="C484" s="31"/>
      <c r="D484" s="32"/>
      <c r="E484" s="32"/>
      <c r="F484" s="29"/>
      <c r="G484" s="29"/>
      <c r="H484" s="3"/>
      <c r="I484" s="29"/>
      <c r="J484" s="29"/>
      <c r="K484" s="29"/>
      <c r="L484" s="29"/>
      <c r="M484" s="29"/>
      <c r="N484" s="29"/>
      <c r="O484" s="3"/>
      <c r="P484" s="3"/>
      <c r="Q484" s="3"/>
      <c r="R484" s="3"/>
      <c r="S484" s="3"/>
    </row>
    <row r="485" ht="15.75" customHeight="1">
      <c r="A485" s="3"/>
      <c r="B485" s="31"/>
      <c r="C485" s="31"/>
      <c r="D485" s="32"/>
      <c r="E485" s="32"/>
      <c r="F485" s="29"/>
      <c r="G485" s="29"/>
      <c r="H485" s="3"/>
      <c r="I485" s="29"/>
      <c r="J485" s="29"/>
      <c r="K485" s="29"/>
      <c r="L485" s="29"/>
      <c r="M485" s="29"/>
      <c r="N485" s="29"/>
      <c r="O485" s="3"/>
      <c r="P485" s="3"/>
      <c r="Q485" s="3"/>
      <c r="R485" s="3"/>
      <c r="S485" s="3"/>
    </row>
    <row r="486" ht="15.75" customHeight="1">
      <c r="A486" s="3"/>
      <c r="B486" s="31"/>
      <c r="C486" s="31"/>
      <c r="D486" s="32"/>
      <c r="E486" s="32"/>
      <c r="F486" s="29"/>
      <c r="G486" s="29"/>
      <c r="H486" s="3"/>
      <c r="I486" s="29"/>
      <c r="J486" s="29"/>
      <c r="K486" s="29"/>
      <c r="L486" s="29"/>
      <c r="M486" s="29"/>
      <c r="N486" s="29"/>
      <c r="O486" s="3"/>
      <c r="P486" s="3"/>
      <c r="Q486" s="3"/>
      <c r="R486" s="3"/>
      <c r="S486" s="3"/>
    </row>
    <row r="487" ht="15.75" customHeight="1">
      <c r="A487" s="3"/>
      <c r="B487" s="31"/>
      <c r="C487" s="31"/>
      <c r="D487" s="32"/>
      <c r="E487" s="32"/>
      <c r="F487" s="29"/>
      <c r="G487" s="29"/>
      <c r="H487" s="3"/>
      <c r="I487" s="29"/>
      <c r="J487" s="29"/>
      <c r="K487" s="29"/>
      <c r="L487" s="29"/>
      <c r="M487" s="29"/>
      <c r="N487" s="29"/>
      <c r="O487" s="3"/>
      <c r="P487" s="3"/>
      <c r="Q487" s="3"/>
      <c r="R487" s="3"/>
      <c r="S487" s="3"/>
    </row>
    <row r="488" ht="15.75" customHeight="1">
      <c r="A488" s="3"/>
      <c r="B488" s="31"/>
      <c r="C488" s="31"/>
      <c r="D488" s="32"/>
      <c r="E488" s="32"/>
      <c r="F488" s="29"/>
      <c r="G488" s="29"/>
      <c r="H488" s="3"/>
      <c r="I488" s="29"/>
      <c r="J488" s="29"/>
      <c r="K488" s="29"/>
      <c r="L488" s="29"/>
      <c r="M488" s="29"/>
      <c r="N488" s="29"/>
      <c r="O488" s="3"/>
      <c r="P488" s="3"/>
      <c r="Q488" s="3"/>
      <c r="R488" s="3"/>
      <c r="S488" s="3"/>
    </row>
    <row r="489" ht="15.75" customHeight="1">
      <c r="A489" s="3"/>
      <c r="B489" s="31"/>
      <c r="C489" s="31"/>
      <c r="D489" s="32"/>
      <c r="E489" s="32"/>
      <c r="F489" s="29"/>
      <c r="G489" s="29"/>
      <c r="H489" s="3"/>
      <c r="I489" s="29"/>
      <c r="J489" s="29"/>
      <c r="K489" s="29"/>
      <c r="L489" s="29"/>
      <c r="M489" s="29"/>
      <c r="N489" s="29"/>
      <c r="O489" s="3"/>
      <c r="P489" s="3"/>
      <c r="Q489" s="3"/>
      <c r="R489" s="3"/>
      <c r="S489" s="3"/>
    </row>
    <row r="490" ht="15.75" customHeight="1">
      <c r="A490" s="3"/>
      <c r="B490" s="31"/>
      <c r="C490" s="31"/>
      <c r="D490" s="32"/>
      <c r="E490" s="32"/>
      <c r="F490" s="29"/>
      <c r="G490" s="29"/>
      <c r="H490" s="3"/>
      <c r="I490" s="29"/>
      <c r="J490" s="29"/>
      <c r="K490" s="29"/>
      <c r="L490" s="29"/>
      <c r="M490" s="29"/>
      <c r="N490" s="29"/>
      <c r="O490" s="3"/>
      <c r="P490" s="3"/>
      <c r="Q490" s="3"/>
      <c r="R490" s="3"/>
      <c r="S490" s="3"/>
    </row>
    <row r="491" ht="15.75" customHeight="1">
      <c r="A491" s="3"/>
      <c r="B491" s="31"/>
      <c r="C491" s="31"/>
      <c r="D491" s="32"/>
      <c r="E491" s="32"/>
      <c r="F491" s="29"/>
      <c r="G491" s="29"/>
      <c r="H491" s="3"/>
      <c r="I491" s="29"/>
      <c r="J491" s="29"/>
      <c r="K491" s="29"/>
      <c r="L491" s="29"/>
      <c r="M491" s="29"/>
      <c r="N491" s="29"/>
      <c r="O491" s="3"/>
      <c r="P491" s="3"/>
      <c r="Q491" s="3"/>
      <c r="R491" s="3"/>
      <c r="S491" s="3"/>
    </row>
    <row r="492" ht="15.75" customHeight="1">
      <c r="A492" s="3"/>
      <c r="B492" s="31"/>
      <c r="C492" s="31"/>
      <c r="D492" s="32"/>
      <c r="E492" s="32"/>
      <c r="F492" s="29"/>
      <c r="G492" s="29"/>
      <c r="H492" s="3"/>
      <c r="I492" s="29"/>
      <c r="J492" s="29"/>
      <c r="K492" s="29"/>
      <c r="L492" s="29"/>
      <c r="M492" s="29"/>
      <c r="N492" s="29"/>
      <c r="O492" s="3"/>
      <c r="P492" s="3"/>
      <c r="Q492" s="3"/>
      <c r="R492" s="3"/>
      <c r="S492" s="3"/>
    </row>
    <row r="493" ht="15.75" customHeight="1">
      <c r="A493" s="3"/>
      <c r="B493" s="31"/>
      <c r="C493" s="31"/>
      <c r="D493" s="32"/>
      <c r="E493" s="32"/>
      <c r="F493" s="29"/>
      <c r="G493" s="29"/>
      <c r="H493" s="3"/>
      <c r="I493" s="29"/>
      <c r="J493" s="29"/>
      <c r="K493" s="29"/>
      <c r="L493" s="29"/>
      <c r="M493" s="29"/>
      <c r="N493" s="29"/>
      <c r="O493" s="3"/>
      <c r="P493" s="3"/>
      <c r="Q493" s="3"/>
      <c r="R493" s="3"/>
      <c r="S493" s="3"/>
    </row>
    <row r="494" ht="15.75" customHeight="1">
      <c r="A494" s="3"/>
      <c r="B494" s="31"/>
      <c r="C494" s="31"/>
      <c r="D494" s="32"/>
      <c r="E494" s="32"/>
      <c r="F494" s="29"/>
      <c r="G494" s="29"/>
      <c r="H494" s="3"/>
      <c r="I494" s="29"/>
      <c r="J494" s="29"/>
      <c r="K494" s="29"/>
      <c r="L494" s="29"/>
      <c r="M494" s="29"/>
      <c r="N494" s="29"/>
      <c r="O494" s="3"/>
      <c r="P494" s="3"/>
      <c r="Q494" s="3"/>
      <c r="R494" s="3"/>
      <c r="S494" s="3"/>
    </row>
    <row r="495" ht="15.75" customHeight="1">
      <c r="A495" s="3"/>
      <c r="B495" s="31"/>
      <c r="C495" s="31"/>
      <c r="D495" s="32"/>
      <c r="E495" s="32"/>
      <c r="F495" s="29"/>
      <c r="G495" s="29"/>
      <c r="H495" s="3"/>
      <c r="I495" s="29"/>
      <c r="J495" s="29"/>
      <c r="K495" s="29"/>
      <c r="L495" s="29"/>
      <c r="M495" s="29"/>
      <c r="N495" s="29"/>
      <c r="O495" s="3"/>
      <c r="P495" s="3"/>
      <c r="Q495" s="3"/>
      <c r="R495" s="3"/>
      <c r="S495" s="3"/>
    </row>
    <row r="496" ht="15.75" customHeight="1">
      <c r="A496" s="3"/>
      <c r="B496" s="31"/>
      <c r="C496" s="31"/>
      <c r="D496" s="32"/>
      <c r="E496" s="32"/>
      <c r="F496" s="29"/>
      <c r="G496" s="29"/>
      <c r="H496" s="3"/>
      <c r="I496" s="29"/>
      <c r="J496" s="29"/>
      <c r="K496" s="29"/>
      <c r="L496" s="29"/>
      <c r="M496" s="29"/>
      <c r="N496" s="29"/>
      <c r="O496" s="3"/>
      <c r="P496" s="3"/>
      <c r="Q496" s="3"/>
      <c r="R496" s="3"/>
      <c r="S496" s="3"/>
    </row>
    <row r="497" ht="15.75" customHeight="1">
      <c r="A497" s="3"/>
      <c r="B497" s="31"/>
      <c r="C497" s="31"/>
      <c r="D497" s="32"/>
      <c r="E497" s="32"/>
      <c r="F497" s="29"/>
      <c r="G497" s="29"/>
      <c r="H497" s="3"/>
      <c r="I497" s="29"/>
      <c r="J497" s="29"/>
      <c r="K497" s="29"/>
      <c r="L497" s="29"/>
      <c r="M497" s="29"/>
      <c r="N497" s="29"/>
      <c r="O497" s="3"/>
      <c r="P497" s="3"/>
      <c r="Q497" s="3"/>
      <c r="R497" s="3"/>
      <c r="S497" s="3"/>
    </row>
    <row r="498" ht="15.75" customHeight="1">
      <c r="A498" s="3"/>
      <c r="B498" s="31"/>
      <c r="C498" s="31"/>
      <c r="D498" s="32"/>
      <c r="E498" s="32"/>
      <c r="F498" s="29"/>
      <c r="G498" s="29"/>
      <c r="H498" s="3"/>
      <c r="I498" s="29"/>
      <c r="J498" s="29"/>
      <c r="K498" s="29"/>
      <c r="L498" s="29"/>
      <c r="M498" s="29"/>
      <c r="N498" s="29"/>
      <c r="O498" s="3"/>
      <c r="P498" s="3"/>
      <c r="Q498" s="3"/>
      <c r="R498" s="3"/>
      <c r="S498" s="3"/>
    </row>
    <row r="499" ht="15.75" customHeight="1">
      <c r="A499" s="3"/>
      <c r="B499" s="31"/>
      <c r="C499" s="31"/>
      <c r="D499" s="32"/>
      <c r="E499" s="32"/>
      <c r="F499" s="29"/>
      <c r="G499" s="29"/>
      <c r="H499" s="3"/>
      <c r="I499" s="29"/>
      <c r="J499" s="29"/>
      <c r="K499" s="29"/>
      <c r="L499" s="29"/>
      <c r="M499" s="29"/>
      <c r="N499" s="29"/>
      <c r="O499" s="3"/>
      <c r="P499" s="3"/>
      <c r="Q499" s="3"/>
      <c r="R499" s="3"/>
      <c r="S499" s="3"/>
    </row>
    <row r="500" ht="15.75" customHeight="1">
      <c r="A500" s="3"/>
      <c r="B500" s="31"/>
      <c r="C500" s="31"/>
      <c r="D500" s="32"/>
      <c r="E500" s="32"/>
      <c r="F500" s="29"/>
      <c r="G500" s="29"/>
      <c r="H500" s="3"/>
      <c r="I500" s="29"/>
      <c r="J500" s="29"/>
      <c r="K500" s="29"/>
      <c r="L500" s="29"/>
      <c r="M500" s="29"/>
      <c r="N500" s="29"/>
      <c r="O500" s="3"/>
      <c r="P500" s="3"/>
      <c r="Q500" s="3"/>
      <c r="R500" s="3"/>
      <c r="S500" s="3"/>
    </row>
    <row r="501" ht="15.75" customHeight="1">
      <c r="A501" s="3"/>
      <c r="B501" s="31"/>
      <c r="C501" s="31"/>
      <c r="D501" s="32"/>
      <c r="E501" s="32"/>
      <c r="F501" s="29"/>
      <c r="G501" s="29"/>
      <c r="H501" s="3"/>
      <c r="I501" s="29"/>
      <c r="J501" s="29"/>
      <c r="K501" s="29"/>
      <c r="L501" s="29"/>
      <c r="M501" s="29"/>
      <c r="N501" s="29"/>
      <c r="O501" s="3"/>
      <c r="P501" s="3"/>
      <c r="Q501" s="3"/>
      <c r="R501" s="3"/>
      <c r="S501" s="3"/>
    </row>
    <row r="502" ht="15.75" customHeight="1">
      <c r="A502" s="3"/>
      <c r="B502" s="31"/>
      <c r="C502" s="31"/>
      <c r="D502" s="32"/>
      <c r="E502" s="32"/>
      <c r="F502" s="29"/>
      <c r="G502" s="29"/>
      <c r="H502" s="3"/>
      <c r="I502" s="29"/>
      <c r="J502" s="29"/>
      <c r="K502" s="29"/>
      <c r="L502" s="29"/>
      <c r="M502" s="29"/>
      <c r="N502" s="29"/>
      <c r="O502" s="3"/>
      <c r="P502" s="3"/>
      <c r="Q502" s="3"/>
      <c r="R502" s="3"/>
      <c r="S502" s="3"/>
    </row>
    <row r="503" ht="15.75" customHeight="1">
      <c r="A503" s="3"/>
      <c r="B503" s="31"/>
      <c r="C503" s="31"/>
      <c r="D503" s="32"/>
      <c r="E503" s="32"/>
      <c r="F503" s="29"/>
      <c r="G503" s="29"/>
      <c r="H503" s="3"/>
      <c r="I503" s="29"/>
      <c r="J503" s="29"/>
      <c r="K503" s="29"/>
      <c r="L503" s="29"/>
      <c r="M503" s="29"/>
      <c r="N503" s="29"/>
      <c r="O503" s="3"/>
      <c r="P503" s="3"/>
      <c r="Q503" s="3"/>
      <c r="R503" s="3"/>
      <c r="S503" s="3"/>
    </row>
    <row r="504" ht="15.75" customHeight="1">
      <c r="A504" s="3"/>
      <c r="B504" s="31"/>
      <c r="C504" s="31"/>
      <c r="D504" s="32"/>
      <c r="E504" s="32"/>
      <c r="F504" s="29"/>
      <c r="G504" s="29"/>
      <c r="H504" s="3"/>
      <c r="I504" s="29"/>
      <c r="J504" s="29"/>
      <c r="K504" s="29"/>
      <c r="L504" s="29"/>
      <c r="M504" s="29"/>
      <c r="N504" s="29"/>
      <c r="O504" s="3"/>
      <c r="P504" s="3"/>
      <c r="Q504" s="3"/>
      <c r="R504" s="3"/>
      <c r="S504" s="3"/>
    </row>
    <row r="505" ht="15.75" customHeight="1">
      <c r="A505" s="3"/>
      <c r="B505" s="31"/>
      <c r="C505" s="31"/>
      <c r="D505" s="32"/>
      <c r="E505" s="32"/>
      <c r="F505" s="29"/>
      <c r="G505" s="29"/>
      <c r="H505" s="3"/>
      <c r="I505" s="29"/>
      <c r="J505" s="29"/>
      <c r="K505" s="29"/>
      <c r="L505" s="29"/>
      <c r="M505" s="29"/>
      <c r="N505" s="29"/>
      <c r="O505" s="3"/>
      <c r="P505" s="3"/>
      <c r="Q505" s="3"/>
      <c r="R505" s="3"/>
      <c r="S505" s="3"/>
    </row>
    <row r="506" ht="15.75" customHeight="1">
      <c r="A506" s="3"/>
      <c r="B506" s="31"/>
      <c r="C506" s="31"/>
      <c r="D506" s="32"/>
      <c r="E506" s="32"/>
      <c r="F506" s="29"/>
      <c r="G506" s="29"/>
      <c r="H506" s="3"/>
      <c r="I506" s="29"/>
      <c r="J506" s="29"/>
      <c r="K506" s="29"/>
      <c r="L506" s="29"/>
      <c r="M506" s="29"/>
      <c r="N506" s="29"/>
      <c r="O506" s="3"/>
      <c r="P506" s="3"/>
      <c r="Q506" s="3"/>
      <c r="R506" s="3"/>
      <c r="S506" s="3"/>
    </row>
    <row r="507" ht="15.75" customHeight="1">
      <c r="A507" s="3"/>
      <c r="B507" s="31"/>
      <c r="C507" s="31"/>
      <c r="D507" s="32"/>
      <c r="E507" s="32"/>
      <c r="F507" s="29"/>
      <c r="G507" s="29"/>
      <c r="H507" s="3"/>
      <c r="I507" s="29"/>
      <c r="J507" s="29"/>
      <c r="K507" s="29"/>
      <c r="L507" s="29"/>
      <c r="M507" s="29"/>
      <c r="N507" s="29"/>
      <c r="O507" s="3"/>
      <c r="P507" s="3"/>
      <c r="Q507" s="3"/>
      <c r="R507" s="3"/>
      <c r="S507" s="3"/>
    </row>
    <row r="508" ht="15.75" customHeight="1">
      <c r="A508" s="3"/>
      <c r="B508" s="31"/>
      <c r="C508" s="31"/>
      <c r="D508" s="32"/>
      <c r="E508" s="32"/>
      <c r="F508" s="29"/>
      <c r="G508" s="29"/>
      <c r="H508" s="3"/>
      <c r="I508" s="29"/>
      <c r="J508" s="29"/>
      <c r="K508" s="29"/>
      <c r="L508" s="29"/>
      <c r="M508" s="29"/>
      <c r="N508" s="29"/>
      <c r="O508" s="3"/>
      <c r="P508" s="3"/>
      <c r="Q508" s="3"/>
      <c r="R508" s="3"/>
      <c r="S508" s="3"/>
    </row>
    <row r="509" ht="15.75" customHeight="1">
      <c r="A509" s="3"/>
      <c r="B509" s="31"/>
      <c r="C509" s="31"/>
      <c r="D509" s="32"/>
      <c r="E509" s="32"/>
      <c r="F509" s="29"/>
      <c r="G509" s="29"/>
      <c r="H509" s="3"/>
      <c r="I509" s="29"/>
      <c r="J509" s="29"/>
      <c r="K509" s="29"/>
      <c r="L509" s="29"/>
      <c r="M509" s="29"/>
      <c r="N509" s="29"/>
      <c r="O509" s="3"/>
      <c r="P509" s="3"/>
      <c r="Q509" s="3"/>
      <c r="R509" s="3"/>
      <c r="S509" s="3"/>
    </row>
    <row r="510" ht="15.75" customHeight="1">
      <c r="A510" s="3"/>
      <c r="B510" s="31"/>
      <c r="C510" s="31"/>
      <c r="D510" s="32"/>
      <c r="E510" s="32"/>
      <c r="F510" s="29"/>
      <c r="G510" s="29"/>
      <c r="H510" s="3"/>
      <c r="I510" s="29"/>
      <c r="J510" s="29"/>
      <c r="K510" s="29"/>
      <c r="L510" s="29"/>
      <c r="M510" s="29"/>
      <c r="N510" s="29"/>
      <c r="O510" s="3"/>
      <c r="P510" s="3"/>
      <c r="Q510" s="3"/>
      <c r="R510" s="3"/>
      <c r="S510" s="3"/>
    </row>
    <row r="511" ht="15.75" customHeight="1">
      <c r="A511" s="3"/>
      <c r="B511" s="31"/>
      <c r="C511" s="31"/>
      <c r="D511" s="32"/>
      <c r="E511" s="32"/>
      <c r="F511" s="29"/>
      <c r="G511" s="29"/>
      <c r="H511" s="3"/>
      <c r="I511" s="29"/>
      <c r="J511" s="29"/>
      <c r="K511" s="29"/>
      <c r="L511" s="29"/>
      <c r="M511" s="29"/>
      <c r="N511" s="29"/>
      <c r="O511" s="3"/>
      <c r="P511" s="3"/>
      <c r="Q511" s="3"/>
      <c r="R511" s="3"/>
      <c r="S511" s="3"/>
    </row>
    <row r="512" ht="15.75" customHeight="1">
      <c r="A512" s="3"/>
      <c r="B512" s="31"/>
      <c r="C512" s="31"/>
      <c r="D512" s="32"/>
      <c r="E512" s="32"/>
      <c r="F512" s="29"/>
      <c r="G512" s="29"/>
      <c r="H512" s="3"/>
      <c r="I512" s="29"/>
      <c r="J512" s="29"/>
      <c r="K512" s="29"/>
      <c r="L512" s="29"/>
      <c r="M512" s="29"/>
      <c r="N512" s="29"/>
      <c r="O512" s="3"/>
      <c r="P512" s="3"/>
      <c r="Q512" s="3"/>
      <c r="R512" s="3"/>
      <c r="S512" s="3"/>
    </row>
    <row r="513" ht="15.75" customHeight="1">
      <c r="A513" s="3"/>
      <c r="B513" s="31"/>
      <c r="C513" s="31"/>
      <c r="D513" s="32"/>
      <c r="E513" s="32"/>
      <c r="F513" s="29"/>
      <c r="G513" s="29"/>
      <c r="H513" s="3"/>
      <c r="I513" s="29"/>
      <c r="J513" s="29"/>
      <c r="K513" s="29"/>
      <c r="L513" s="29"/>
      <c r="M513" s="29"/>
      <c r="N513" s="29"/>
      <c r="O513" s="3"/>
      <c r="P513" s="3"/>
      <c r="Q513" s="3"/>
      <c r="R513" s="3"/>
      <c r="S513" s="3"/>
    </row>
    <row r="514" ht="15.75" customHeight="1">
      <c r="A514" s="3"/>
      <c r="B514" s="31"/>
      <c r="C514" s="31"/>
      <c r="D514" s="32"/>
      <c r="E514" s="32"/>
      <c r="F514" s="29"/>
      <c r="G514" s="29"/>
      <c r="H514" s="3"/>
      <c r="I514" s="29"/>
      <c r="J514" s="29"/>
      <c r="K514" s="29"/>
      <c r="L514" s="29"/>
      <c r="M514" s="29"/>
      <c r="N514" s="29"/>
      <c r="O514" s="3"/>
      <c r="P514" s="3"/>
      <c r="Q514" s="3"/>
      <c r="R514" s="3"/>
      <c r="S514" s="3"/>
    </row>
    <row r="515" ht="15.75" customHeight="1">
      <c r="A515" s="3"/>
      <c r="B515" s="31"/>
      <c r="C515" s="31"/>
      <c r="D515" s="32"/>
      <c r="E515" s="32"/>
      <c r="F515" s="29"/>
      <c r="G515" s="29"/>
      <c r="H515" s="3"/>
      <c r="I515" s="29"/>
      <c r="J515" s="29"/>
      <c r="K515" s="29"/>
      <c r="L515" s="29"/>
      <c r="M515" s="29"/>
      <c r="N515" s="29"/>
      <c r="O515" s="3"/>
      <c r="P515" s="3"/>
      <c r="Q515" s="3"/>
      <c r="R515" s="3"/>
      <c r="S515" s="3"/>
    </row>
    <row r="516" ht="15.75" customHeight="1">
      <c r="A516" s="3"/>
      <c r="B516" s="31"/>
      <c r="C516" s="31"/>
      <c r="D516" s="32"/>
      <c r="E516" s="32"/>
      <c r="F516" s="29"/>
      <c r="G516" s="29"/>
      <c r="H516" s="3"/>
      <c r="I516" s="29"/>
      <c r="J516" s="29"/>
      <c r="K516" s="29"/>
      <c r="L516" s="29"/>
      <c r="M516" s="29"/>
      <c r="N516" s="29"/>
      <c r="O516" s="3"/>
      <c r="P516" s="3"/>
      <c r="Q516" s="3"/>
      <c r="R516" s="3"/>
      <c r="S516" s="3"/>
    </row>
    <row r="517" ht="15.75" customHeight="1">
      <c r="A517" s="3"/>
      <c r="B517" s="31"/>
      <c r="C517" s="31"/>
      <c r="D517" s="32"/>
      <c r="E517" s="32"/>
      <c r="F517" s="29"/>
      <c r="G517" s="29"/>
      <c r="H517" s="3"/>
      <c r="I517" s="29"/>
      <c r="J517" s="29"/>
      <c r="K517" s="29"/>
      <c r="L517" s="29"/>
      <c r="M517" s="29"/>
      <c r="N517" s="29"/>
      <c r="O517" s="3"/>
      <c r="P517" s="3"/>
      <c r="Q517" s="3"/>
      <c r="R517" s="3"/>
      <c r="S517" s="3"/>
    </row>
    <row r="518" ht="15.75" customHeight="1">
      <c r="A518" s="3"/>
      <c r="B518" s="31"/>
      <c r="C518" s="31"/>
      <c r="D518" s="32"/>
      <c r="E518" s="32"/>
      <c r="F518" s="29"/>
      <c r="G518" s="29"/>
      <c r="H518" s="3"/>
      <c r="I518" s="29"/>
      <c r="J518" s="29"/>
      <c r="K518" s="29"/>
      <c r="L518" s="29"/>
      <c r="M518" s="29"/>
      <c r="N518" s="29"/>
      <c r="O518" s="3"/>
      <c r="P518" s="3"/>
      <c r="Q518" s="3"/>
      <c r="R518" s="3"/>
      <c r="S518" s="3"/>
    </row>
    <row r="519" ht="15.75" customHeight="1">
      <c r="A519" s="3"/>
      <c r="B519" s="31"/>
      <c r="C519" s="31"/>
      <c r="D519" s="32"/>
      <c r="E519" s="32"/>
      <c r="F519" s="29"/>
      <c r="G519" s="29"/>
      <c r="H519" s="3"/>
      <c r="I519" s="29"/>
      <c r="J519" s="29"/>
      <c r="K519" s="29"/>
      <c r="L519" s="29"/>
      <c r="M519" s="29"/>
      <c r="N519" s="29"/>
      <c r="O519" s="3"/>
      <c r="P519" s="3"/>
      <c r="Q519" s="3"/>
      <c r="R519" s="3"/>
      <c r="S519" s="3"/>
    </row>
    <row r="520" ht="15.75" customHeight="1">
      <c r="A520" s="3"/>
      <c r="B520" s="31"/>
      <c r="C520" s="31"/>
      <c r="D520" s="32"/>
      <c r="E520" s="32"/>
      <c r="F520" s="29"/>
      <c r="G520" s="29"/>
      <c r="H520" s="3"/>
      <c r="I520" s="29"/>
      <c r="J520" s="29"/>
      <c r="K520" s="29"/>
      <c r="L520" s="29"/>
      <c r="M520" s="29"/>
      <c r="N520" s="29"/>
      <c r="O520" s="3"/>
      <c r="P520" s="3"/>
      <c r="Q520" s="3"/>
      <c r="R520" s="3"/>
      <c r="S520" s="3"/>
    </row>
    <row r="521" ht="15.75" customHeight="1">
      <c r="A521" s="3"/>
      <c r="B521" s="31"/>
      <c r="C521" s="31"/>
      <c r="D521" s="32"/>
      <c r="E521" s="32"/>
      <c r="F521" s="29"/>
      <c r="G521" s="29"/>
      <c r="H521" s="3"/>
      <c r="I521" s="29"/>
      <c r="J521" s="29"/>
      <c r="K521" s="29"/>
      <c r="L521" s="29"/>
      <c r="M521" s="29"/>
      <c r="N521" s="29"/>
      <c r="O521" s="3"/>
      <c r="P521" s="3"/>
      <c r="Q521" s="3"/>
      <c r="R521" s="3"/>
      <c r="S521" s="3"/>
    </row>
    <row r="522" ht="15.75" customHeight="1">
      <c r="A522" s="3"/>
      <c r="B522" s="31"/>
      <c r="C522" s="31"/>
      <c r="D522" s="32"/>
      <c r="E522" s="32"/>
      <c r="F522" s="29"/>
      <c r="G522" s="29"/>
      <c r="H522" s="3"/>
      <c r="I522" s="29"/>
      <c r="J522" s="29"/>
      <c r="K522" s="29"/>
      <c r="L522" s="29"/>
      <c r="M522" s="29"/>
      <c r="N522" s="29"/>
      <c r="O522" s="3"/>
      <c r="P522" s="3"/>
      <c r="Q522" s="3"/>
      <c r="R522" s="3"/>
      <c r="S522" s="3"/>
    </row>
    <row r="523" ht="15.75" customHeight="1">
      <c r="A523" s="3"/>
      <c r="B523" s="31"/>
      <c r="C523" s="31"/>
      <c r="D523" s="32"/>
      <c r="E523" s="32"/>
      <c r="F523" s="29"/>
      <c r="G523" s="29"/>
      <c r="H523" s="3"/>
      <c r="I523" s="29"/>
      <c r="J523" s="29"/>
      <c r="K523" s="29"/>
      <c r="L523" s="29"/>
      <c r="M523" s="29"/>
      <c r="N523" s="29"/>
      <c r="O523" s="3"/>
      <c r="P523" s="3"/>
      <c r="Q523" s="3"/>
      <c r="R523" s="3"/>
      <c r="S523" s="3"/>
    </row>
    <row r="524" ht="15.75" customHeight="1">
      <c r="A524" s="3"/>
      <c r="B524" s="31"/>
      <c r="C524" s="31"/>
      <c r="D524" s="32"/>
      <c r="E524" s="32"/>
      <c r="F524" s="29"/>
      <c r="G524" s="29"/>
      <c r="H524" s="3"/>
      <c r="I524" s="29"/>
      <c r="J524" s="29"/>
      <c r="K524" s="29"/>
      <c r="L524" s="29"/>
      <c r="M524" s="29"/>
      <c r="N524" s="29"/>
      <c r="O524" s="3"/>
      <c r="P524" s="3"/>
      <c r="Q524" s="3"/>
      <c r="R524" s="3"/>
      <c r="S524" s="3"/>
    </row>
    <row r="525" ht="15.75" customHeight="1">
      <c r="A525" s="3"/>
      <c r="B525" s="31"/>
      <c r="C525" s="31"/>
      <c r="D525" s="32"/>
      <c r="E525" s="32"/>
      <c r="F525" s="29"/>
      <c r="G525" s="29"/>
      <c r="H525" s="3"/>
      <c r="I525" s="29"/>
      <c r="J525" s="29"/>
      <c r="K525" s="29"/>
      <c r="L525" s="29"/>
      <c r="M525" s="29"/>
      <c r="N525" s="29"/>
      <c r="O525" s="3"/>
      <c r="P525" s="3"/>
      <c r="Q525" s="3"/>
      <c r="R525" s="3"/>
      <c r="S525" s="3"/>
    </row>
    <row r="526" ht="15.75" customHeight="1">
      <c r="A526" s="3"/>
      <c r="B526" s="31"/>
      <c r="C526" s="31"/>
      <c r="D526" s="32"/>
      <c r="E526" s="32"/>
      <c r="F526" s="29"/>
      <c r="G526" s="29"/>
      <c r="H526" s="3"/>
      <c r="I526" s="29"/>
      <c r="J526" s="29"/>
      <c r="K526" s="29"/>
      <c r="L526" s="29"/>
      <c r="M526" s="29"/>
      <c r="N526" s="29"/>
      <c r="O526" s="3"/>
      <c r="P526" s="3"/>
      <c r="Q526" s="3"/>
      <c r="R526" s="3"/>
      <c r="S526" s="3"/>
    </row>
    <row r="527" ht="15.75" customHeight="1">
      <c r="A527" s="3"/>
      <c r="B527" s="31"/>
      <c r="C527" s="31"/>
      <c r="D527" s="32"/>
      <c r="E527" s="32"/>
      <c r="F527" s="29"/>
      <c r="G527" s="29"/>
      <c r="H527" s="3"/>
      <c r="I527" s="29"/>
      <c r="J527" s="29"/>
      <c r="K527" s="29"/>
      <c r="L527" s="29"/>
      <c r="M527" s="29"/>
      <c r="N527" s="29"/>
      <c r="O527" s="3"/>
      <c r="P527" s="3"/>
      <c r="Q527" s="3"/>
      <c r="R527" s="3"/>
      <c r="S527" s="3"/>
    </row>
    <row r="528" ht="15.75" customHeight="1">
      <c r="A528" s="3"/>
      <c r="B528" s="31"/>
      <c r="C528" s="31"/>
      <c r="D528" s="32"/>
      <c r="E528" s="32"/>
      <c r="F528" s="29"/>
      <c r="G528" s="29"/>
      <c r="H528" s="3"/>
      <c r="I528" s="29"/>
      <c r="J528" s="29"/>
      <c r="K528" s="29"/>
      <c r="L528" s="29"/>
      <c r="M528" s="29"/>
      <c r="N528" s="29"/>
      <c r="O528" s="3"/>
      <c r="P528" s="3"/>
      <c r="Q528" s="3"/>
      <c r="R528" s="3"/>
      <c r="S528" s="3"/>
    </row>
    <row r="529" ht="15.75" customHeight="1">
      <c r="A529" s="3"/>
      <c r="B529" s="31"/>
      <c r="C529" s="31"/>
      <c r="D529" s="32"/>
      <c r="E529" s="32"/>
      <c r="F529" s="29"/>
      <c r="G529" s="29"/>
      <c r="H529" s="3"/>
      <c r="I529" s="29"/>
      <c r="J529" s="29"/>
      <c r="K529" s="29"/>
      <c r="L529" s="29"/>
      <c r="M529" s="29"/>
      <c r="N529" s="29"/>
      <c r="O529" s="3"/>
      <c r="P529" s="3"/>
      <c r="Q529" s="3"/>
      <c r="R529" s="3"/>
      <c r="S529" s="3"/>
    </row>
    <row r="530" ht="15.75" customHeight="1">
      <c r="A530" s="3"/>
      <c r="B530" s="31"/>
      <c r="C530" s="31"/>
      <c r="D530" s="32"/>
      <c r="E530" s="32"/>
      <c r="F530" s="29"/>
      <c r="G530" s="29"/>
      <c r="H530" s="3"/>
      <c r="I530" s="29"/>
      <c r="J530" s="29"/>
      <c r="K530" s="29"/>
      <c r="L530" s="29"/>
      <c r="M530" s="29"/>
      <c r="N530" s="29"/>
      <c r="O530" s="3"/>
      <c r="P530" s="3"/>
      <c r="Q530" s="3"/>
      <c r="R530" s="3"/>
      <c r="S530" s="3"/>
    </row>
    <row r="531" ht="15.75" customHeight="1">
      <c r="A531" s="3"/>
      <c r="B531" s="31"/>
      <c r="C531" s="31"/>
      <c r="D531" s="32"/>
      <c r="E531" s="32"/>
      <c r="F531" s="29"/>
      <c r="G531" s="29"/>
      <c r="H531" s="3"/>
      <c r="I531" s="29"/>
      <c r="J531" s="29"/>
      <c r="K531" s="29"/>
      <c r="L531" s="29"/>
      <c r="M531" s="29"/>
      <c r="N531" s="29"/>
      <c r="O531" s="3"/>
      <c r="P531" s="3"/>
      <c r="Q531" s="3"/>
      <c r="R531" s="3"/>
      <c r="S531" s="3"/>
    </row>
    <row r="532" ht="15.75" customHeight="1">
      <c r="A532" s="3"/>
      <c r="B532" s="31"/>
      <c r="C532" s="31"/>
      <c r="D532" s="32"/>
      <c r="E532" s="32"/>
      <c r="F532" s="29"/>
      <c r="G532" s="29"/>
      <c r="H532" s="3"/>
      <c r="I532" s="29"/>
      <c r="J532" s="29"/>
      <c r="K532" s="29"/>
      <c r="L532" s="29"/>
      <c r="M532" s="29"/>
      <c r="N532" s="29"/>
      <c r="O532" s="3"/>
      <c r="P532" s="3"/>
      <c r="Q532" s="3"/>
      <c r="R532" s="3"/>
      <c r="S532" s="3"/>
    </row>
    <row r="533" ht="15.75" customHeight="1">
      <c r="A533" s="3"/>
      <c r="B533" s="31"/>
      <c r="C533" s="31"/>
      <c r="D533" s="32"/>
      <c r="E533" s="32"/>
      <c r="F533" s="29"/>
      <c r="G533" s="29"/>
      <c r="H533" s="3"/>
      <c r="I533" s="29"/>
      <c r="J533" s="29"/>
      <c r="K533" s="29"/>
      <c r="L533" s="29"/>
      <c r="M533" s="29"/>
      <c r="N533" s="29"/>
      <c r="O533" s="3"/>
      <c r="P533" s="3"/>
      <c r="Q533" s="3"/>
      <c r="R533" s="3"/>
      <c r="S533" s="3"/>
    </row>
    <row r="534" ht="15.75" customHeight="1">
      <c r="A534" s="3"/>
      <c r="B534" s="31"/>
      <c r="C534" s="31"/>
      <c r="D534" s="32"/>
      <c r="E534" s="32"/>
      <c r="F534" s="29"/>
      <c r="G534" s="29"/>
      <c r="H534" s="3"/>
      <c r="I534" s="29"/>
      <c r="J534" s="29"/>
      <c r="K534" s="29"/>
      <c r="L534" s="29"/>
      <c r="M534" s="29"/>
      <c r="N534" s="29"/>
      <c r="O534" s="3"/>
      <c r="P534" s="3"/>
      <c r="Q534" s="3"/>
      <c r="R534" s="3"/>
      <c r="S534" s="3"/>
    </row>
    <row r="535" ht="15.75" customHeight="1">
      <c r="A535" s="3"/>
      <c r="B535" s="31"/>
      <c r="C535" s="31"/>
      <c r="D535" s="32"/>
      <c r="E535" s="32"/>
      <c r="F535" s="29"/>
      <c r="G535" s="29"/>
      <c r="H535" s="3"/>
      <c r="I535" s="29"/>
      <c r="J535" s="29"/>
      <c r="K535" s="29"/>
      <c r="L535" s="29"/>
      <c r="M535" s="29"/>
      <c r="N535" s="29"/>
      <c r="O535" s="3"/>
      <c r="P535" s="3"/>
      <c r="Q535" s="3"/>
      <c r="R535" s="3"/>
      <c r="S535" s="3"/>
    </row>
    <row r="536" ht="15.75" customHeight="1">
      <c r="A536" s="3"/>
      <c r="B536" s="31"/>
      <c r="C536" s="31"/>
      <c r="D536" s="32"/>
      <c r="E536" s="32"/>
      <c r="F536" s="29"/>
      <c r="G536" s="29"/>
      <c r="H536" s="3"/>
      <c r="I536" s="29"/>
      <c r="J536" s="29"/>
      <c r="K536" s="29"/>
      <c r="L536" s="29"/>
      <c r="M536" s="29"/>
      <c r="N536" s="29"/>
      <c r="O536" s="3"/>
      <c r="P536" s="3"/>
      <c r="Q536" s="3"/>
      <c r="R536" s="3"/>
      <c r="S536" s="3"/>
    </row>
    <row r="537" ht="15.75" customHeight="1">
      <c r="A537" s="3"/>
      <c r="B537" s="31"/>
      <c r="C537" s="31"/>
      <c r="D537" s="32"/>
      <c r="E537" s="32"/>
      <c r="F537" s="29"/>
      <c r="G537" s="29"/>
      <c r="H537" s="3"/>
      <c r="I537" s="29"/>
      <c r="J537" s="29"/>
      <c r="K537" s="29"/>
      <c r="L537" s="29"/>
      <c r="M537" s="29"/>
      <c r="N537" s="29"/>
      <c r="O537" s="3"/>
      <c r="P537" s="3"/>
      <c r="Q537" s="3"/>
      <c r="R537" s="3"/>
      <c r="S537" s="3"/>
    </row>
    <row r="538" ht="15.75" customHeight="1">
      <c r="A538" s="3"/>
      <c r="B538" s="31"/>
      <c r="C538" s="31"/>
      <c r="D538" s="32"/>
      <c r="E538" s="32"/>
      <c r="F538" s="29"/>
      <c r="G538" s="29"/>
      <c r="H538" s="3"/>
      <c r="I538" s="29"/>
      <c r="J538" s="29"/>
      <c r="K538" s="29"/>
      <c r="L538" s="29"/>
      <c r="M538" s="29"/>
      <c r="N538" s="29"/>
      <c r="O538" s="3"/>
      <c r="P538" s="3"/>
      <c r="Q538" s="3"/>
      <c r="R538" s="3"/>
      <c r="S538" s="3"/>
    </row>
    <row r="539" ht="15.75" customHeight="1">
      <c r="A539" s="3"/>
      <c r="B539" s="31"/>
      <c r="C539" s="31"/>
      <c r="D539" s="32"/>
      <c r="E539" s="32"/>
      <c r="F539" s="29"/>
      <c r="G539" s="29"/>
      <c r="H539" s="3"/>
      <c r="I539" s="29"/>
      <c r="J539" s="29"/>
      <c r="K539" s="29"/>
      <c r="L539" s="29"/>
      <c r="M539" s="29"/>
      <c r="N539" s="29"/>
      <c r="O539" s="3"/>
      <c r="P539" s="3"/>
      <c r="Q539" s="3"/>
      <c r="R539" s="3"/>
      <c r="S539" s="3"/>
    </row>
    <row r="540" ht="15.75" customHeight="1">
      <c r="A540" s="3"/>
      <c r="B540" s="31"/>
      <c r="C540" s="31"/>
      <c r="D540" s="32"/>
      <c r="E540" s="32"/>
      <c r="F540" s="29"/>
      <c r="G540" s="29"/>
      <c r="H540" s="3"/>
      <c r="I540" s="29"/>
      <c r="J540" s="29"/>
      <c r="K540" s="29"/>
      <c r="L540" s="29"/>
      <c r="M540" s="29"/>
      <c r="N540" s="29"/>
      <c r="O540" s="3"/>
      <c r="P540" s="3"/>
      <c r="Q540" s="3"/>
      <c r="R540" s="3"/>
      <c r="S540" s="3"/>
    </row>
    <row r="541" ht="15.75" customHeight="1">
      <c r="A541" s="3"/>
      <c r="B541" s="31"/>
      <c r="C541" s="31"/>
      <c r="D541" s="32"/>
      <c r="E541" s="32"/>
      <c r="F541" s="29"/>
      <c r="G541" s="29"/>
      <c r="H541" s="3"/>
      <c r="I541" s="29"/>
      <c r="J541" s="29"/>
      <c r="K541" s="29"/>
      <c r="L541" s="29"/>
      <c r="M541" s="29"/>
      <c r="N541" s="29"/>
      <c r="O541" s="3"/>
      <c r="P541" s="3"/>
      <c r="Q541" s="3"/>
      <c r="R541" s="3"/>
      <c r="S541" s="3"/>
    </row>
    <row r="542" ht="15.75" customHeight="1">
      <c r="A542" s="3"/>
      <c r="B542" s="31"/>
      <c r="C542" s="31"/>
      <c r="D542" s="32"/>
      <c r="E542" s="32"/>
      <c r="F542" s="29"/>
      <c r="G542" s="29"/>
      <c r="H542" s="3"/>
      <c r="I542" s="29"/>
      <c r="J542" s="29"/>
      <c r="K542" s="29"/>
      <c r="L542" s="29"/>
      <c r="M542" s="29"/>
      <c r="N542" s="29"/>
      <c r="O542" s="3"/>
      <c r="P542" s="3"/>
      <c r="Q542" s="3"/>
      <c r="R542" s="3"/>
      <c r="S542" s="3"/>
    </row>
    <row r="543" ht="15.75" customHeight="1">
      <c r="A543" s="3"/>
      <c r="B543" s="31"/>
      <c r="C543" s="31"/>
      <c r="D543" s="32"/>
      <c r="E543" s="32"/>
      <c r="F543" s="29"/>
      <c r="G543" s="29"/>
      <c r="H543" s="3"/>
      <c r="I543" s="29"/>
      <c r="J543" s="29"/>
      <c r="K543" s="29"/>
      <c r="L543" s="29"/>
      <c r="M543" s="29"/>
      <c r="N543" s="29"/>
      <c r="O543" s="3"/>
      <c r="P543" s="3"/>
      <c r="Q543" s="3"/>
      <c r="R543" s="3"/>
      <c r="S543" s="3"/>
    </row>
    <row r="544" ht="15.75" customHeight="1">
      <c r="A544" s="3"/>
      <c r="B544" s="31"/>
      <c r="C544" s="31"/>
      <c r="D544" s="32"/>
      <c r="E544" s="32"/>
      <c r="F544" s="29"/>
      <c r="G544" s="29"/>
      <c r="H544" s="3"/>
      <c r="I544" s="29"/>
      <c r="J544" s="29"/>
      <c r="K544" s="29"/>
      <c r="L544" s="29"/>
      <c r="M544" s="29"/>
      <c r="N544" s="29"/>
      <c r="O544" s="3"/>
      <c r="P544" s="3"/>
      <c r="Q544" s="3"/>
      <c r="R544" s="3"/>
      <c r="S544" s="3"/>
    </row>
    <row r="545" ht="15.75" customHeight="1">
      <c r="A545" s="3"/>
      <c r="B545" s="31"/>
      <c r="C545" s="31"/>
      <c r="D545" s="32"/>
      <c r="E545" s="32"/>
      <c r="F545" s="29"/>
      <c r="G545" s="29"/>
      <c r="H545" s="3"/>
      <c r="I545" s="29"/>
      <c r="J545" s="29"/>
      <c r="K545" s="29"/>
      <c r="L545" s="29"/>
      <c r="M545" s="29"/>
      <c r="N545" s="29"/>
      <c r="O545" s="3"/>
      <c r="P545" s="3"/>
      <c r="Q545" s="3"/>
      <c r="R545" s="3"/>
      <c r="S545" s="3"/>
    </row>
    <row r="546" ht="15.75" customHeight="1">
      <c r="A546" s="3"/>
      <c r="B546" s="31"/>
      <c r="C546" s="31"/>
      <c r="D546" s="32"/>
      <c r="E546" s="32"/>
      <c r="F546" s="29"/>
      <c r="G546" s="29"/>
      <c r="H546" s="3"/>
      <c r="I546" s="29"/>
      <c r="J546" s="29"/>
      <c r="K546" s="29"/>
      <c r="L546" s="29"/>
      <c r="M546" s="29"/>
      <c r="N546" s="29"/>
      <c r="O546" s="3"/>
      <c r="P546" s="3"/>
      <c r="Q546" s="3"/>
      <c r="R546" s="3"/>
      <c r="S546" s="3"/>
    </row>
    <row r="547" ht="15.75" customHeight="1">
      <c r="A547" s="3"/>
      <c r="B547" s="31"/>
      <c r="C547" s="31"/>
      <c r="D547" s="32"/>
      <c r="E547" s="32"/>
      <c r="F547" s="29"/>
      <c r="G547" s="29"/>
      <c r="H547" s="3"/>
      <c r="I547" s="29"/>
      <c r="J547" s="29"/>
      <c r="K547" s="29"/>
      <c r="L547" s="29"/>
      <c r="M547" s="29"/>
      <c r="N547" s="29"/>
      <c r="O547" s="3"/>
      <c r="P547" s="3"/>
      <c r="Q547" s="3"/>
      <c r="R547" s="3"/>
      <c r="S547" s="3"/>
    </row>
    <row r="548" ht="15.75" customHeight="1">
      <c r="A548" s="3"/>
      <c r="B548" s="31"/>
      <c r="C548" s="31"/>
      <c r="D548" s="32"/>
      <c r="E548" s="32"/>
      <c r="F548" s="29"/>
      <c r="G548" s="29"/>
      <c r="H548" s="3"/>
      <c r="I548" s="29"/>
      <c r="J548" s="29"/>
      <c r="K548" s="29"/>
      <c r="L548" s="29"/>
      <c r="M548" s="29"/>
      <c r="N548" s="29"/>
      <c r="O548" s="3"/>
      <c r="P548" s="3"/>
      <c r="Q548" s="3"/>
      <c r="R548" s="3"/>
      <c r="S548" s="3"/>
    </row>
    <row r="549" ht="15.75" customHeight="1">
      <c r="A549" s="3"/>
      <c r="B549" s="31"/>
      <c r="C549" s="31"/>
      <c r="D549" s="32"/>
      <c r="E549" s="32"/>
      <c r="F549" s="29"/>
      <c r="G549" s="29"/>
      <c r="H549" s="3"/>
      <c r="I549" s="29"/>
      <c r="J549" s="29"/>
      <c r="K549" s="29"/>
      <c r="L549" s="29"/>
      <c r="M549" s="29"/>
      <c r="N549" s="29"/>
      <c r="O549" s="3"/>
      <c r="P549" s="3"/>
      <c r="Q549" s="3"/>
      <c r="R549" s="3"/>
      <c r="S549" s="3"/>
    </row>
    <row r="550" ht="15.75" customHeight="1">
      <c r="A550" s="3"/>
      <c r="B550" s="31"/>
      <c r="C550" s="31"/>
      <c r="D550" s="32"/>
      <c r="E550" s="32"/>
      <c r="F550" s="29"/>
      <c r="G550" s="29"/>
      <c r="H550" s="3"/>
      <c r="I550" s="29"/>
      <c r="J550" s="29"/>
      <c r="K550" s="29"/>
      <c r="L550" s="29"/>
      <c r="M550" s="29"/>
      <c r="N550" s="29"/>
      <c r="O550" s="3"/>
      <c r="P550" s="3"/>
      <c r="Q550" s="3"/>
      <c r="R550" s="3"/>
      <c r="S550" s="3"/>
    </row>
    <row r="551" ht="15.75" customHeight="1">
      <c r="A551" s="3"/>
      <c r="B551" s="31"/>
      <c r="C551" s="31"/>
      <c r="D551" s="32"/>
      <c r="E551" s="32"/>
      <c r="F551" s="29"/>
      <c r="G551" s="29"/>
      <c r="H551" s="3"/>
      <c r="I551" s="29"/>
      <c r="J551" s="29"/>
      <c r="K551" s="29"/>
      <c r="L551" s="29"/>
      <c r="M551" s="29"/>
      <c r="N551" s="29"/>
      <c r="O551" s="3"/>
      <c r="P551" s="3"/>
      <c r="Q551" s="3"/>
      <c r="R551" s="3"/>
      <c r="S551" s="3"/>
    </row>
    <row r="552" ht="15.75" customHeight="1">
      <c r="A552" s="3"/>
      <c r="B552" s="31"/>
      <c r="C552" s="31"/>
      <c r="D552" s="32"/>
      <c r="E552" s="32"/>
      <c r="F552" s="29"/>
      <c r="G552" s="29"/>
      <c r="H552" s="3"/>
      <c r="I552" s="29"/>
      <c r="J552" s="29"/>
      <c r="K552" s="29"/>
      <c r="L552" s="29"/>
      <c r="M552" s="29"/>
      <c r="N552" s="29"/>
      <c r="O552" s="3"/>
      <c r="P552" s="3"/>
      <c r="Q552" s="3"/>
      <c r="R552" s="3"/>
      <c r="S552" s="3"/>
    </row>
    <row r="553" ht="15.75" customHeight="1">
      <c r="A553" s="3"/>
      <c r="B553" s="31"/>
      <c r="C553" s="31"/>
      <c r="D553" s="32"/>
      <c r="E553" s="32"/>
      <c r="F553" s="29"/>
      <c r="G553" s="29"/>
      <c r="H553" s="3"/>
      <c r="I553" s="29"/>
      <c r="J553" s="29"/>
      <c r="K553" s="29"/>
      <c r="L553" s="29"/>
      <c r="M553" s="29"/>
      <c r="N553" s="29"/>
      <c r="O553" s="3"/>
      <c r="P553" s="3"/>
      <c r="Q553" s="3"/>
      <c r="R553" s="3"/>
      <c r="S553" s="3"/>
    </row>
    <row r="554" ht="15.75" customHeight="1">
      <c r="A554" s="3"/>
      <c r="B554" s="31"/>
      <c r="C554" s="31"/>
      <c r="D554" s="32"/>
      <c r="E554" s="32"/>
      <c r="F554" s="29"/>
      <c r="G554" s="29"/>
      <c r="H554" s="3"/>
      <c r="I554" s="29"/>
      <c r="J554" s="29"/>
      <c r="K554" s="29"/>
      <c r="L554" s="29"/>
      <c r="M554" s="29"/>
      <c r="N554" s="29"/>
      <c r="O554" s="3"/>
      <c r="P554" s="3"/>
      <c r="Q554" s="3"/>
      <c r="R554" s="3"/>
      <c r="S554" s="3"/>
    </row>
    <row r="555" ht="15.75" customHeight="1">
      <c r="A555" s="3"/>
      <c r="B555" s="31"/>
      <c r="C555" s="31"/>
      <c r="D555" s="32"/>
      <c r="E555" s="32"/>
      <c r="F555" s="29"/>
      <c r="G555" s="29"/>
      <c r="H555" s="3"/>
      <c r="I555" s="29"/>
      <c r="J555" s="29"/>
      <c r="K555" s="29"/>
      <c r="L555" s="29"/>
      <c r="M555" s="29"/>
      <c r="N555" s="29"/>
      <c r="O555" s="3"/>
      <c r="P555" s="3"/>
      <c r="Q555" s="3"/>
      <c r="R555" s="3"/>
      <c r="S555" s="3"/>
    </row>
    <row r="556" ht="15.75" customHeight="1">
      <c r="A556" s="3"/>
      <c r="B556" s="31"/>
      <c r="C556" s="31"/>
      <c r="D556" s="32"/>
      <c r="E556" s="32"/>
      <c r="F556" s="29"/>
      <c r="G556" s="29"/>
      <c r="H556" s="3"/>
      <c r="I556" s="29"/>
      <c r="J556" s="29"/>
      <c r="K556" s="29"/>
      <c r="L556" s="29"/>
      <c r="M556" s="29"/>
      <c r="N556" s="29"/>
      <c r="O556" s="3"/>
      <c r="P556" s="3"/>
      <c r="Q556" s="3"/>
      <c r="R556" s="3"/>
      <c r="S556" s="3"/>
    </row>
    <row r="557" ht="15.75" customHeight="1">
      <c r="A557" s="3"/>
      <c r="B557" s="31"/>
      <c r="C557" s="31"/>
      <c r="D557" s="32"/>
      <c r="E557" s="32"/>
      <c r="F557" s="29"/>
      <c r="G557" s="29"/>
      <c r="H557" s="3"/>
      <c r="I557" s="29"/>
      <c r="J557" s="29"/>
      <c r="K557" s="29"/>
      <c r="L557" s="29"/>
      <c r="M557" s="29"/>
      <c r="N557" s="29"/>
      <c r="O557" s="3"/>
      <c r="P557" s="3"/>
      <c r="Q557" s="3"/>
      <c r="R557" s="3"/>
      <c r="S557" s="3"/>
    </row>
    <row r="558" ht="15.75" customHeight="1">
      <c r="A558" s="3"/>
      <c r="B558" s="31"/>
      <c r="C558" s="31"/>
      <c r="D558" s="32"/>
      <c r="E558" s="32"/>
      <c r="F558" s="29"/>
      <c r="G558" s="29"/>
      <c r="H558" s="3"/>
      <c r="I558" s="29"/>
      <c r="J558" s="29"/>
      <c r="K558" s="29"/>
      <c r="L558" s="29"/>
      <c r="M558" s="29"/>
      <c r="N558" s="29"/>
      <c r="O558" s="3"/>
      <c r="P558" s="3"/>
      <c r="Q558" s="3"/>
      <c r="R558" s="3"/>
      <c r="S558" s="3"/>
    </row>
    <row r="559" ht="15.75" customHeight="1">
      <c r="A559" s="3"/>
      <c r="B559" s="31"/>
      <c r="C559" s="31"/>
      <c r="D559" s="32"/>
      <c r="E559" s="32"/>
      <c r="F559" s="29"/>
      <c r="G559" s="29"/>
      <c r="H559" s="3"/>
      <c r="I559" s="29"/>
      <c r="J559" s="29"/>
      <c r="K559" s="29"/>
      <c r="L559" s="29"/>
      <c r="M559" s="29"/>
      <c r="N559" s="29"/>
      <c r="O559" s="3"/>
      <c r="P559" s="3"/>
      <c r="Q559" s="3"/>
      <c r="R559" s="3"/>
      <c r="S559" s="3"/>
    </row>
    <row r="560" ht="15.75" customHeight="1">
      <c r="A560" s="3"/>
      <c r="B560" s="31"/>
      <c r="C560" s="31"/>
      <c r="D560" s="32"/>
      <c r="E560" s="32"/>
      <c r="F560" s="29"/>
      <c r="G560" s="29"/>
      <c r="H560" s="3"/>
      <c r="I560" s="29"/>
      <c r="J560" s="29"/>
      <c r="K560" s="29"/>
      <c r="L560" s="29"/>
      <c r="M560" s="29"/>
      <c r="N560" s="29"/>
      <c r="O560" s="3"/>
      <c r="P560" s="3"/>
      <c r="Q560" s="3"/>
      <c r="R560" s="3"/>
      <c r="S560" s="3"/>
    </row>
    <row r="561" ht="15.75" customHeight="1">
      <c r="A561" s="3"/>
      <c r="B561" s="31"/>
      <c r="C561" s="31"/>
      <c r="D561" s="32"/>
      <c r="E561" s="32"/>
      <c r="F561" s="29"/>
      <c r="G561" s="29"/>
      <c r="H561" s="3"/>
      <c r="I561" s="29"/>
      <c r="J561" s="29"/>
      <c r="K561" s="29"/>
      <c r="L561" s="29"/>
      <c r="M561" s="29"/>
      <c r="N561" s="29"/>
      <c r="O561" s="3"/>
      <c r="P561" s="3"/>
      <c r="Q561" s="3"/>
      <c r="R561" s="3"/>
      <c r="S561" s="3"/>
    </row>
    <row r="562" ht="15.75" customHeight="1">
      <c r="A562" s="3"/>
      <c r="B562" s="31"/>
      <c r="C562" s="31"/>
      <c r="D562" s="32"/>
      <c r="E562" s="32"/>
      <c r="F562" s="29"/>
      <c r="G562" s="29"/>
      <c r="H562" s="3"/>
      <c r="I562" s="29"/>
      <c r="J562" s="29"/>
      <c r="K562" s="29"/>
      <c r="L562" s="29"/>
      <c r="M562" s="29"/>
      <c r="N562" s="29"/>
      <c r="O562" s="3"/>
      <c r="P562" s="3"/>
      <c r="Q562" s="3"/>
      <c r="R562" s="3"/>
      <c r="S562" s="3"/>
    </row>
    <row r="563" ht="15.75" customHeight="1">
      <c r="A563" s="3"/>
      <c r="B563" s="31"/>
      <c r="C563" s="31"/>
      <c r="D563" s="32"/>
      <c r="E563" s="32"/>
      <c r="F563" s="29"/>
      <c r="G563" s="29"/>
      <c r="H563" s="3"/>
      <c r="I563" s="29"/>
      <c r="J563" s="29"/>
      <c r="K563" s="29"/>
      <c r="L563" s="29"/>
      <c r="M563" s="29"/>
      <c r="N563" s="29"/>
      <c r="O563" s="3"/>
      <c r="P563" s="3"/>
      <c r="Q563" s="3"/>
      <c r="R563" s="3"/>
      <c r="S563" s="3"/>
    </row>
    <row r="564" ht="15.75" customHeight="1">
      <c r="A564" s="3"/>
      <c r="B564" s="31"/>
      <c r="C564" s="31"/>
      <c r="D564" s="32"/>
      <c r="E564" s="32"/>
      <c r="F564" s="29"/>
      <c r="G564" s="29"/>
      <c r="H564" s="3"/>
      <c r="I564" s="29"/>
      <c r="J564" s="29"/>
      <c r="K564" s="29"/>
      <c r="L564" s="29"/>
      <c r="M564" s="29"/>
      <c r="N564" s="29"/>
      <c r="O564" s="3"/>
      <c r="P564" s="3"/>
      <c r="Q564" s="3"/>
      <c r="R564" s="3"/>
      <c r="S564" s="3"/>
    </row>
    <row r="565" ht="15.75" customHeight="1">
      <c r="A565" s="3"/>
      <c r="B565" s="31"/>
      <c r="C565" s="31"/>
      <c r="D565" s="32"/>
      <c r="E565" s="32"/>
      <c r="F565" s="29"/>
      <c r="G565" s="29"/>
      <c r="H565" s="3"/>
      <c r="I565" s="29"/>
      <c r="J565" s="29"/>
      <c r="K565" s="29"/>
      <c r="L565" s="29"/>
      <c r="M565" s="29"/>
      <c r="N565" s="29"/>
      <c r="O565" s="3"/>
      <c r="P565" s="3"/>
      <c r="Q565" s="3"/>
      <c r="R565" s="3"/>
      <c r="S565" s="3"/>
    </row>
    <row r="566" ht="15.75" customHeight="1">
      <c r="A566" s="3"/>
      <c r="B566" s="31"/>
      <c r="C566" s="31"/>
      <c r="D566" s="32"/>
      <c r="E566" s="32"/>
      <c r="F566" s="29"/>
      <c r="G566" s="29"/>
      <c r="H566" s="3"/>
      <c r="I566" s="29"/>
      <c r="J566" s="29"/>
      <c r="K566" s="29"/>
      <c r="L566" s="29"/>
      <c r="M566" s="29"/>
      <c r="N566" s="29"/>
      <c r="O566" s="3"/>
      <c r="P566" s="3"/>
      <c r="Q566" s="3"/>
      <c r="R566" s="3"/>
      <c r="S566" s="3"/>
    </row>
    <row r="567" ht="15.75" customHeight="1">
      <c r="A567" s="3"/>
      <c r="B567" s="31"/>
      <c r="C567" s="31"/>
      <c r="D567" s="32"/>
      <c r="E567" s="32"/>
      <c r="F567" s="29"/>
      <c r="G567" s="29"/>
      <c r="H567" s="3"/>
      <c r="I567" s="29"/>
      <c r="J567" s="29"/>
      <c r="K567" s="29"/>
      <c r="L567" s="29"/>
      <c r="M567" s="29"/>
      <c r="N567" s="29"/>
      <c r="O567" s="3"/>
      <c r="P567" s="3"/>
      <c r="Q567" s="3"/>
      <c r="R567" s="3"/>
      <c r="S567" s="3"/>
    </row>
    <row r="568" ht="15.75" customHeight="1">
      <c r="A568" s="3"/>
      <c r="B568" s="31"/>
      <c r="C568" s="31"/>
      <c r="D568" s="32"/>
      <c r="E568" s="32"/>
      <c r="F568" s="29"/>
      <c r="G568" s="29"/>
      <c r="H568" s="3"/>
      <c r="I568" s="29"/>
      <c r="J568" s="29"/>
      <c r="K568" s="29"/>
      <c r="L568" s="29"/>
      <c r="M568" s="29"/>
      <c r="N568" s="29"/>
      <c r="O568" s="3"/>
      <c r="P568" s="3"/>
      <c r="Q568" s="3"/>
      <c r="R568" s="3"/>
      <c r="S568" s="3"/>
    </row>
    <row r="569" ht="15.75" customHeight="1">
      <c r="A569" s="3"/>
      <c r="B569" s="31"/>
      <c r="C569" s="31"/>
      <c r="D569" s="32"/>
      <c r="E569" s="32"/>
      <c r="F569" s="29"/>
      <c r="G569" s="29"/>
      <c r="H569" s="3"/>
      <c r="I569" s="29"/>
      <c r="J569" s="29"/>
      <c r="K569" s="29"/>
      <c r="L569" s="29"/>
      <c r="M569" s="29"/>
      <c r="N569" s="29"/>
      <c r="O569" s="3"/>
      <c r="P569" s="3"/>
      <c r="Q569" s="3"/>
      <c r="R569" s="3"/>
      <c r="S569" s="3"/>
    </row>
    <row r="570" ht="15.75" customHeight="1">
      <c r="A570" s="3"/>
      <c r="B570" s="31"/>
      <c r="C570" s="31"/>
      <c r="D570" s="32"/>
      <c r="E570" s="32"/>
      <c r="F570" s="29"/>
      <c r="G570" s="29"/>
      <c r="H570" s="3"/>
      <c r="I570" s="29"/>
      <c r="J570" s="29"/>
      <c r="K570" s="29"/>
      <c r="L570" s="29"/>
      <c r="M570" s="29"/>
      <c r="N570" s="29"/>
      <c r="O570" s="3"/>
      <c r="P570" s="3"/>
      <c r="Q570" s="3"/>
      <c r="R570" s="3"/>
      <c r="S570" s="3"/>
    </row>
    <row r="571" ht="15.75" customHeight="1">
      <c r="A571" s="3"/>
      <c r="B571" s="31"/>
      <c r="C571" s="31"/>
      <c r="D571" s="32"/>
      <c r="E571" s="32"/>
      <c r="F571" s="29"/>
      <c r="G571" s="29"/>
      <c r="H571" s="3"/>
      <c r="I571" s="29"/>
      <c r="J571" s="29"/>
      <c r="K571" s="29"/>
      <c r="L571" s="29"/>
      <c r="M571" s="29"/>
      <c r="N571" s="29"/>
      <c r="O571" s="3"/>
      <c r="P571" s="3"/>
      <c r="Q571" s="3"/>
      <c r="R571" s="3"/>
      <c r="S571" s="3"/>
    </row>
    <row r="572" ht="15.75" customHeight="1">
      <c r="A572" s="3"/>
      <c r="B572" s="31"/>
      <c r="C572" s="31"/>
      <c r="D572" s="32"/>
      <c r="E572" s="32"/>
      <c r="F572" s="29"/>
      <c r="G572" s="29"/>
      <c r="H572" s="3"/>
      <c r="I572" s="29"/>
      <c r="J572" s="29"/>
      <c r="K572" s="29"/>
      <c r="L572" s="29"/>
      <c r="M572" s="29"/>
      <c r="N572" s="29"/>
      <c r="O572" s="3"/>
      <c r="P572" s="3"/>
      <c r="Q572" s="3"/>
      <c r="R572" s="3"/>
      <c r="S572" s="3"/>
    </row>
    <row r="573" ht="15.75" customHeight="1">
      <c r="A573" s="3"/>
      <c r="B573" s="31"/>
      <c r="C573" s="31"/>
      <c r="D573" s="32"/>
      <c r="E573" s="32"/>
      <c r="F573" s="29"/>
      <c r="G573" s="29"/>
      <c r="H573" s="3"/>
      <c r="I573" s="29"/>
      <c r="J573" s="29"/>
      <c r="K573" s="29"/>
      <c r="L573" s="29"/>
      <c r="M573" s="29"/>
      <c r="N573" s="29"/>
      <c r="O573" s="3"/>
      <c r="P573" s="3"/>
      <c r="Q573" s="3"/>
      <c r="R573" s="3"/>
      <c r="S573" s="3"/>
    </row>
    <row r="574" ht="15.75" customHeight="1">
      <c r="A574" s="3"/>
      <c r="B574" s="31"/>
      <c r="C574" s="31"/>
      <c r="D574" s="32"/>
      <c r="E574" s="32"/>
      <c r="F574" s="29"/>
      <c r="G574" s="29"/>
      <c r="H574" s="3"/>
      <c r="I574" s="29"/>
      <c r="J574" s="29"/>
      <c r="K574" s="29"/>
      <c r="L574" s="29"/>
      <c r="M574" s="29"/>
      <c r="N574" s="29"/>
      <c r="O574" s="3"/>
      <c r="P574" s="3"/>
      <c r="Q574" s="3"/>
      <c r="R574" s="3"/>
      <c r="S574" s="3"/>
    </row>
    <row r="575" ht="15.75" customHeight="1">
      <c r="A575" s="3"/>
      <c r="B575" s="31"/>
      <c r="C575" s="31"/>
      <c r="D575" s="32"/>
      <c r="E575" s="32"/>
      <c r="F575" s="29"/>
      <c r="G575" s="29"/>
      <c r="H575" s="3"/>
      <c r="I575" s="29"/>
      <c r="J575" s="29"/>
      <c r="K575" s="29"/>
      <c r="L575" s="29"/>
      <c r="M575" s="29"/>
      <c r="N575" s="29"/>
      <c r="O575" s="3"/>
      <c r="P575" s="3"/>
      <c r="Q575" s="3"/>
      <c r="R575" s="3"/>
      <c r="S575" s="3"/>
    </row>
    <row r="576" ht="15.75" customHeight="1">
      <c r="A576" s="3"/>
      <c r="B576" s="31"/>
      <c r="C576" s="31"/>
      <c r="D576" s="32"/>
      <c r="E576" s="32"/>
      <c r="F576" s="29"/>
      <c r="G576" s="29"/>
      <c r="H576" s="3"/>
      <c r="I576" s="29"/>
      <c r="J576" s="29"/>
      <c r="K576" s="29"/>
      <c r="L576" s="29"/>
      <c r="M576" s="29"/>
      <c r="N576" s="29"/>
      <c r="O576" s="3"/>
      <c r="P576" s="3"/>
      <c r="Q576" s="3"/>
      <c r="R576" s="3"/>
      <c r="S576" s="3"/>
    </row>
    <row r="577" ht="15.75" customHeight="1">
      <c r="A577" s="3"/>
      <c r="B577" s="31"/>
      <c r="C577" s="31"/>
      <c r="D577" s="32"/>
      <c r="E577" s="32"/>
      <c r="F577" s="29"/>
      <c r="G577" s="29"/>
      <c r="H577" s="3"/>
      <c r="I577" s="29"/>
      <c r="J577" s="29"/>
      <c r="K577" s="29"/>
      <c r="L577" s="29"/>
      <c r="M577" s="29"/>
      <c r="N577" s="29"/>
      <c r="O577" s="3"/>
      <c r="P577" s="3"/>
      <c r="Q577" s="3"/>
      <c r="R577" s="3"/>
      <c r="S577" s="3"/>
    </row>
    <row r="578" ht="15.75" customHeight="1">
      <c r="A578" s="3"/>
      <c r="B578" s="31"/>
      <c r="C578" s="31"/>
      <c r="D578" s="32"/>
      <c r="E578" s="32"/>
      <c r="F578" s="29"/>
      <c r="G578" s="29"/>
      <c r="H578" s="3"/>
      <c r="I578" s="29"/>
      <c r="J578" s="29"/>
      <c r="K578" s="29"/>
      <c r="L578" s="29"/>
      <c r="M578" s="29"/>
      <c r="N578" s="29"/>
      <c r="O578" s="3"/>
      <c r="P578" s="3"/>
      <c r="Q578" s="3"/>
      <c r="R578" s="3"/>
      <c r="S578" s="3"/>
    </row>
    <row r="579" ht="15.75" customHeight="1">
      <c r="A579" s="3"/>
      <c r="B579" s="31"/>
      <c r="C579" s="31"/>
      <c r="D579" s="32"/>
      <c r="E579" s="32"/>
      <c r="F579" s="29"/>
      <c r="G579" s="29"/>
      <c r="H579" s="3"/>
      <c r="I579" s="29"/>
      <c r="J579" s="29"/>
      <c r="K579" s="29"/>
      <c r="L579" s="29"/>
      <c r="M579" s="29"/>
      <c r="N579" s="29"/>
      <c r="O579" s="3"/>
      <c r="P579" s="3"/>
      <c r="Q579" s="3"/>
      <c r="R579" s="3"/>
      <c r="S579" s="3"/>
    </row>
    <row r="580" ht="15.75" customHeight="1">
      <c r="A580" s="3"/>
      <c r="B580" s="31"/>
      <c r="C580" s="31"/>
      <c r="D580" s="32"/>
      <c r="E580" s="32"/>
      <c r="F580" s="29"/>
      <c r="G580" s="29"/>
      <c r="H580" s="3"/>
      <c r="I580" s="29"/>
      <c r="J580" s="29"/>
      <c r="K580" s="29"/>
      <c r="L580" s="29"/>
      <c r="M580" s="29"/>
      <c r="N580" s="29"/>
      <c r="O580" s="3"/>
      <c r="P580" s="3"/>
      <c r="Q580" s="3"/>
      <c r="R580" s="3"/>
      <c r="S580" s="3"/>
    </row>
    <row r="581" ht="15.75" customHeight="1">
      <c r="A581" s="3"/>
      <c r="B581" s="31"/>
      <c r="C581" s="31"/>
      <c r="D581" s="32"/>
      <c r="E581" s="32"/>
      <c r="F581" s="29"/>
      <c r="G581" s="29"/>
      <c r="H581" s="3"/>
      <c r="I581" s="29"/>
      <c r="J581" s="29"/>
      <c r="K581" s="29"/>
      <c r="L581" s="29"/>
      <c r="M581" s="29"/>
      <c r="N581" s="29"/>
      <c r="O581" s="3"/>
      <c r="P581" s="3"/>
      <c r="Q581" s="3"/>
      <c r="R581" s="3"/>
      <c r="S581" s="3"/>
    </row>
    <row r="582" ht="15.75" customHeight="1">
      <c r="A582" s="3"/>
      <c r="B582" s="31"/>
      <c r="C582" s="31"/>
      <c r="D582" s="32"/>
      <c r="E582" s="32"/>
      <c r="F582" s="29"/>
      <c r="G582" s="29"/>
      <c r="H582" s="3"/>
      <c r="I582" s="29"/>
      <c r="J582" s="29"/>
      <c r="K582" s="29"/>
      <c r="L582" s="29"/>
      <c r="M582" s="29"/>
      <c r="N582" s="29"/>
      <c r="O582" s="3"/>
      <c r="P582" s="3"/>
      <c r="Q582" s="3"/>
      <c r="R582" s="3"/>
      <c r="S582" s="3"/>
    </row>
    <row r="583" ht="15.75" customHeight="1">
      <c r="A583" s="3"/>
      <c r="B583" s="31"/>
      <c r="C583" s="31"/>
      <c r="D583" s="32"/>
      <c r="E583" s="32"/>
      <c r="F583" s="29"/>
      <c r="G583" s="29"/>
      <c r="H583" s="3"/>
      <c r="I583" s="29"/>
      <c r="J583" s="29"/>
      <c r="K583" s="29"/>
      <c r="L583" s="29"/>
      <c r="M583" s="29"/>
      <c r="N583" s="29"/>
      <c r="O583" s="3"/>
      <c r="P583" s="3"/>
      <c r="Q583" s="3"/>
      <c r="R583" s="3"/>
      <c r="S583" s="3"/>
    </row>
    <row r="584" ht="15.75" customHeight="1">
      <c r="A584" s="3"/>
      <c r="B584" s="31"/>
      <c r="C584" s="31"/>
      <c r="D584" s="32"/>
      <c r="E584" s="32"/>
      <c r="F584" s="29"/>
      <c r="G584" s="29"/>
      <c r="H584" s="3"/>
      <c r="I584" s="29"/>
      <c r="J584" s="29"/>
      <c r="K584" s="29"/>
      <c r="L584" s="29"/>
      <c r="M584" s="29"/>
      <c r="N584" s="29"/>
      <c r="O584" s="3"/>
      <c r="P584" s="3"/>
      <c r="Q584" s="3"/>
      <c r="R584" s="3"/>
      <c r="S584" s="3"/>
    </row>
    <row r="585" ht="15.75" customHeight="1">
      <c r="A585" s="3"/>
      <c r="B585" s="31"/>
      <c r="C585" s="31"/>
      <c r="D585" s="32"/>
      <c r="E585" s="32"/>
      <c r="F585" s="29"/>
      <c r="G585" s="29"/>
      <c r="H585" s="3"/>
      <c r="I585" s="29"/>
      <c r="J585" s="29"/>
      <c r="K585" s="29"/>
      <c r="L585" s="29"/>
      <c r="M585" s="29"/>
      <c r="N585" s="29"/>
      <c r="O585" s="3"/>
      <c r="P585" s="3"/>
      <c r="Q585" s="3"/>
      <c r="R585" s="3"/>
      <c r="S585" s="3"/>
    </row>
    <row r="586" ht="15.75" customHeight="1">
      <c r="A586" s="3"/>
      <c r="B586" s="31"/>
      <c r="C586" s="31"/>
      <c r="D586" s="32"/>
      <c r="E586" s="32"/>
      <c r="F586" s="29"/>
      <c r="G586" s="29"/>
      <c r="H586" s="3"/>
      <c r="I586" s="29"/>
      <c r="J586" s="29"/>
      <c r="K586" s="29"/>
      <c r="L586" s="29"/>
      <c r="M586" s="29"/>
      <c r="N586" s="29"/>
      <c r="O586" s="3"/>
      <c r="P586" s="3"/>
      <c r="Q586" s="3"/>
      <c r="R586" s="3"/>
      <c r="S586" s="3"/>
    </row>
    <row r="587" ht="15.75" customHeight="1">
      <c r="A587" s="3"/>
      <c r="B587" s="31"/>
      <c r="C587" s="31"/>
      <c r="D587" s="32"/>
      <c r="E587" s="32"/>
      <c r="F587" s="29"/>
      <c r="G587" s="29"/>
      <c r="H587" s="3"/>
      <c r="I587" s="29"/>
      <c r="J587" s="29"/>
      <c r="K587" s="29"/>
      <c r="L587" s="29"/>
      <c r="M587" s="29"/>
      <c r="N587" s="29"/>
      <c r="O587" s="3"/>
      <c r="P587" s="3"/>
      <c r="Q587" s="3"/>
      <c r="R587" s="3"/>
      <c r="S587" s="3"/>
    </row>
    <row r="588" ht="15.75" customHeight="1">
      <c r="A588" s="3"/>
      <c r="B588" s="31"/>
      <c r="C588" s="31"/>
      <c r="D588" s="32"/>
      <c r="E588" s="32"/>
      <c r="F588" s="29"/>
      <c r="G588" s="29"/>
      <c r="H588" s="3"/>
      <c r="I588" s="29"/>
      <c r="J588" s="29"/>
      <c r="K588" s="29"/>
      <c r="L588" s="29"/>
      <c r="M588" s="29"/>
      <c r="N588" s="29"/>
      <c r="O588" s="3"/>
      <c r="P588" s="3"/>
      <c r="Q588" s="3"/>
      <c r="R588" s="3"/>
      <c r="S588" s="3"/>
    </row>
    <row r="589" ht="15.75" customHeight="1">
      <c r="A589" s="3"/>
      <c r="B589" s="31"/>
      <c r="C589" s="31"/>
      <c r="D589" s="32"/>
      <c r="E589" s="32"/>
      <c r="F589" s="29"/>
      <c r="G589" s="29"/>
      <c r="H589" s="3"/>
      <c r="I589" s="29"/>
      <c r="J589" s="29"/>
      <c r="K589" s="29"/>
      <c r="L589" s="29"/>
      <c r="M589" s="29"/>
      <c r="N589" s="29"/>
      <c r="O589" s="3"/>
      <c r="P589" s="3"/>
      <c r="Q589" s="3"/>
      <c r="R589" s="3"/>
      <c r="S589" s="3"/>
    </row>
    <row r="590" ht="15.75" customHeight="1">
      <c r="A590" s="3"/>
      <c r="B590" s="31"/>
      <c r="C590" s="31"/>
      <c r="D590" s="32"/>
      <c r="E590" s="32"/>
      <c r="F590" s="29"/>
      <c r="G590" s="29"/>
      <c r="H590" s="3"/>
      <c r="I590" s="29"/>
      <c r="J590" s="29"/>
      <c r="K590" s="29"/>
      <c r="L590" s="29"/>
      <c r="M590" s="29"/>
      <c r="N590" s="29"/>
      <c r="O590" s="3"/>
      <c r="P590" s="3"/>
      <c r="Q590" s="3"/>
      <c r="R590" s="3"/>
      <c r="S590" s="3"/>
    </row>
    <row r="591" ht="15.75" customHeight="1">
      <c r="A591" s="3"/>
      <c r="B591" s="31"/>
      <c r="C591" s="31"/>
      <c r="D591" s="32"/>
      <c r="E591" s="32"/>
      <c r="F591" s="29"/>
      <c r="G591" s="29"/>
      <c r="H591" s="3"/>
      <c r="I591" s="29"/>
      <c r="J591" s="29"/>
      <c r="K591" s="29"/>
      <c r="L591" s="29"/>
      <c r="M591" s="29"/>
      <c r="N591" s="29"/>
      <c r="O591" s="3"/>
      <c r="P591" s="3"/>
      <c r="Q591" s="3"/>
      <c r="R591" s="3"/>
      <c r="S591" s="3"/>
    </row>
    <row r="592" ht="15.75" customHeight="1">
      <c r="A592" s="3"/>
      <c r="B592" s="31"/>
      <c r="C592" s="31"/>
      <c r="D592" s="32"/>
      <c r="E592" s="32"/>
      <c r="F592" s="29"/>
      <c r="G592" s="29"/>
      <c r="H592" s="3"/>
      <c r="I592" s="29"/>
      <c r="J592" s="29"/>
      <c r="K592" s="29"/>
      <c r="L592" s="29"/>
      <c r="M592" s="29"/>
      <c r="N592" s="29"/>
      <c r="O592" s="3"/>
      <c r="P592" s="3"/>
      <c r="Q592" s="3"/>
      <c r="R592" s="3"/>
      <c r="S592" s="3"/>
    </row>
    <row r="593" ht="15.75" customHeight="1">
      <c r="A593" s="3"/>
      <c r="B593" s="31"/>
      <c r="C593" s="31"/>
      <c r="D593" s="32"/>
      <c r="E593" s="32"/>
      <c r="F593" s="29"/>
      <c r="G593" s="29"/>
      <c r="H593" s="3"/>
      <c r="I593" s="29"/>
      <c r="J593" s="29"/>
      <c r="K593" s="29"/>
      <c r="L593" s="29"/>
      <c r="M593" s="29"/>
      <c r="N593" s="29"/>
      <c r="O593" s="3"/>
      <c r="P593" s="3"/>
      <c r="Q593" s="3"/>
      <c r="R593" s="3"/>
      <c r="S593" s="3"/>
    </row>
    <row r="594" ht="15.75" customHeight="1">
      <c r="A594" s="3"/>
      <c r="B594" s="31"/>
      <c r="C594" s="31"/>
      <c r="D594" s="32"/>
      <c r="E594" s="32"/>
      <c r="F594" s="29"/>
      <c r="G594" s="29"/>
      <c r="H594" s="3"/>
      <c r="I594" s="29"/>
      <c r="J594" s="29"/>
      <c r="K594" s="29"/>
      <c r="L594" s="29"/>
      <c r="M594" s="29"/>
      <c r="N594" s="29"/>
      <c r="O594" s="3"/>
      <c r="P594" s="3"/>
      <c r="Q594" s="3"/>
      <c r="R594" s="3"/>
      <c r="S594" s="3"/>
    </row>
    <row r="595" ht="15.75" customHeight="1">
      <c r="A595" s="3"/>
      <c r="B595" s="31"/>
      <c r="C595" s="31"/>
      <c r="D595" s="32"/>
      <c r="E595" s="32"/>
      <c r="F595" s="29"/>
      <c r="G595" s="29"/>
      <c r="H595" s="3"/>
      <c r="I595" s="29"/>
      <c r="J595" s="29"/>
      <c r="K595" s="29"/>
      <c r="L595" s="29"/>
      <c r="M595" s="29"/>
      <c r="N595" s="29"/>
      <c r="O595" s="3"/>
      <c r="P595" s="3"/>
      <c r="Q595" s="3"/>
      <c r="R595" s="3"/>
      <c r="S595" s="3"/>
    </row>
    <row r="596" ht="15.75" customHeight="1">
      <c r="A596" s="3"/>
      <c r="B596" s="31"/>
      <c r="C596" s="31"/>
      <c r="D596" s="32"/>
      <c r="E596" s="32"/>
      <c r="F596" s="29"/>
      <c r="G596" s="29"/>
      <c r="H596" s="3"/>
      <c r="I596" s="29"/>
      <c r="J596" s="29"/>
      <c r="K596" s="29"/>
      <c r="L596" s="29"/>
      <c r="M596" s="29"/>
      <c r="N596" s="29"/>
      <c r="O596" s="3"/>
      <c r="P596" s="3"/>
      <c r="Q596" s="3"/>
      <c r="R596" s="3"/>
      <c r="S596" s="3"/>
    </row>
    <row r="597" ht="15.75" customHeight="1">
      <c r="A597" s="3"/>
      <c r="B597" s="31"/>
      <c r="C597" s="31"/>
      <c r="D597" s="32"/>
      <c r="E597" s="32"/>
      <c r="F597" s="29"/>
      <c r="G597" s="29"/>
      <c r="H597" s="3"/>
      <c r="I597" s="29"/>
      <c r="J597" s="29"/>
      <c r="K597" s="29"/>
      <c r="L597" s="29"/>
      <c r="M597" s="29"/>
      <c r="N597" s="29"/>
      <c r="O597" s="3"/>
      <c r="P597" s="3"/>
      <c r="Q597" s="3"/>
      <c r="R597" s="3"/>
      <c r="S597" s="3"/>
    </row>
    <row r="598" ht="15.75" customHeight="1">
      <c r="A598" s="3"/>
      <c r="B598" s="31"/>
      <c r="C598" s="31"/>
      <c r="D598" s="32"/>
      <c r="E598" s="32"/>
      <c r="F598" s="29"/>
      <c r="G598" s="29"/>
      <c r="H598" s="3"/>
      <c r="I598" s="29"/>
      <c r="J598" s="29"/>
      <c r="K598" s="29"/>
      <c r="L598" s="29"/>
      <c r="M598" s="29"/>
      <c r="N598" s="29"/>
      <c r="O598" s="3"/>
      <c r="P598" s="3"/>
      <c r="Q598" s="3"/>
      <c r="R598" s="3"/>
      <c r="S598" s="3"/>
    </row>
    <row r="599" ht="15.75" customHeight="1">
      <c r="A599" s="3"/>
      <c r="B599" s="31"/>
      <c r="C599" s="31"/>
      <c r="D599" s="32"/>
      <c r="E599" s="32"/>
      <c r="F599" s="29"/>
      <c r="G599" s="29"/>
      <c r="H599" s="3"/>
      <c r="I599" s="29"/>
      <c r="J599" s="29"/>
      <c r="K599" s="29"/>
      <c r="L599" s="29"/>
      <c r="M599" s="29"/>
      <c r="N599" s="29"/>
      <c r="O599" s="3"/>
      <c r="P599" s="3"/>
      <c r="Q599" s="3"/>
      <c r="R599" s="3"/>
      <c r="S599" s="3"/>
    </row>
    <row r="600" ht="15.75" customHeight="1">
      <c r="A600" s="3"/>
      <c r="B600" s="31"/>
      <c r="C600" s="31"/>
      <c r="D600" s="32"/>
      <c r="E600" s="32"/>
      <c r="F600" s="29"/>
      <c r="G600" s="29"/>
      <c r="H600" s="3"/>
      <c r="I600" s="29"/>
      <c r="J600" s="29"/>
      <c r="K600" s="29"/>
      <c r="L600" s="29"/>
      <c r="M600" s="29"/>
      <c r="N600" s="29"/>
      <c r="O600" s="3"/>
      <c r="P600" s="3"/>
      <c r="Q600" s="3"/>
      <c r="R600" s="3"/>
      <c r="S600" s="3"/>
    </row>
    <row r="601" ht="15.75" customHeight="1">
      <c r="A601" s="3"/>
      <c r="B601" s="31"/>
      <c r="C601" s="31"/>
      <c r="D601" s="32"/>
      <c r="E601" s="32"/>
      <c r="F601" s="29"/>
      <c r="G601" s="29"/>
      <c r="H601" s="3"/>
      <c r="I601" s="29"/>
      <c r="J601" s="29"/>
      <c r="K601" s="29"/>
      <c r="L601" s="29"/>
      <c r="M601" s="29"/>
      <c r="N601" s="29"/>
      <c r="O601" s="3"/>
      <c r="P601" s="3"/>
      <c r="Q601" s="3"/>
      <c r="R601" s="3"/>
      <c r="S601" s="3"/>
    </row>
    <row r="602" ht="15.75" customHeight="1">
      <c r="A602" s="3"/>
      <c r="B602" s="31"/>
      <c r="C602" s="31"/>
      <c r="D602" s="32"/>
      <c r="E602" s="32"/>
      <c r="F602" s="29"/>
      <c r="G602" s="29"/>
      <c r="H602" s="3"/>
      <c r="I602" s="29"/>
      <c r="J602" s="29"/>
      <c r="K602" s="29"/>
      <c r="L602" s="29"/>
      <c r="M602" s="29"/>
      <c r="N602" s="29"/>
      <c r="O602" s="3"/>
      <c r="P602" s="3"/>
      <c r="Q602" s="3"/>
      <c r="R602" s="3"/>
      <c r="S602" s="3"/>
    </row>
    <row r="603" ht="15.75" customHeight="1">
      <c r="A603" s="3"/>
      <c r="B603" s="31"/>
      <c r="C603" s="31"/>
      <c r="D603" s="32"/>
      <c r="E603" s="32"/>
      <c r="F603" s="29"/>
      <c r="G603" s="29"/>
      <c r="H603" s="3"/>
      <c r="I603" s="29"/>
      <c r="J603" s="29"/>
      <c r="K603" s="29"/>
      <c r="L603" s="29"/>
      <c r="M603" s="29"/>
      <c r="N603" s="29"/>
      <c r="O603" s="3"/>
      <c r="P603" s="3"/>
      <c r="Q603" s="3"/>
      <c r="R603" s="3"/>
      <c r="S603" s="3"/>
    </row>
    <row r="604" ht="15.75" customHeight="1">
      <c r="A604" s="3"/>
      <c r="B604" s="31"/>
      <c r="C604" s="31"/>
      <c r="D604" s="32"/>
      <c r="E604" s="32"/>
      <c r="F604" s="29"/>
      <c r="G604" s="29"/>
      <c r="H604" s="3"/>
      <c r="I604" s="29"/>
      <c r="J604" s="29"/>
      <c r="K604" s="29"/>
      <c r="L604" s="29"/>
      <c r="M604" s="29"/>
      <c r="N604" s="29"/>
      <c r="O604" s="3"/>
      <c r="P604" s="3"/>
      <c r="Q604" s="3"/>
      <c r="R604" s="3"/>
      <c r="S604" s="3"/>
    </row>
    <row r="605" ht="15.75" customHeight="1">
      <c r="A605" s="3"/>
      <c r="B605" s="31"/>
      <c r="C605" s="31"/>
      <c r="D605" s="32"/>
      <c r="E605" s="32"/>
      <c r="F605" s="29"/>
      <c r="G605" s="29"/>
      <c r="H605" s="3"/>
      <c r="I605" s="29"/>
      <c r="J605" s="29"/>
      <c r="K605" s="29"/>
      <c r="L605" s="29"/>
      <c r="M605" s="29"/>
      <c r="N605" s="29"/>
      <c r="O605" s="3"/>
      <c r="P605" s="3"/>
      <c r="Q605" s="3"/>
      <c r="R605" s="3"/>
      <c r="S605" s="3"/>
    </row>
    <row r="606" ht="15.75" customHeight="1">
      <c r="A606" s="3"/>
      <c r="B606" s="31"/>
      <c r="C606" s="31"/>
      <c r="D606" s="32"/>
      <c r="E606" s="32"/>
      <c r="F606" s="29"/>
      <c r="G606" s="29"/>
      <c r="H606" s="3"/>
      <c r="I606" s="29"/>
      <c r="J606" s="29"/>
      <c r="K606" s="29"/>
      <c r="L606" s="29"/>
      <c r="M606" s="29"/>
      <c r="N606" s="29"/>
      <c r="O606" s="3"/>
      <c r="P606" s="3"/>
      <c r="Q606" s="3"/>
      <c r="R606" s="3"/>
      <c r="S606" s="3"/>
    </row>
    <row r="607" ht="15.75" customHeight="1">
      <c r="A607" s="3"/>
      <c r="B607" s="31"/>
      <c r="C607" s="31"/>
      <c r="D607" s="32"/>
      <c r="E607" s="32"/>
      <c r="F607" s="29"/>
      <c r="G607" s="29"/>
      <c r="H607" s="3"/>
      <c r="I607" s="29"/>
      <c r="J607" s="29"/>
      <c r="K607" s="29"/>
      <c r="L607" s="29"/>
      <c r="M607" s="29"/>
      <c r="N607" s="29"/>
      <c r="O607" s="3"/>
      <c r="P607" s="3"/>
      <c r="Q607" s="3"/>
      <c r="R607" s="3"/>
      <c r="S607" s="3"/>
    </row>
    <row r="608" ht="15.75" customHeight="1">
      <c r="A608" s="3"/>
      <c r="B608" s="31"/>
      <c r="C608" s="31"/>
      <c r="D608" s="32"/>
      <c r="E608" s="32"/>
      <c r="F608" s="29"/>
      <c r="G608" s="29"/>
      <c r="H608" s="3"/>
      <c r="I608" s="29"/>
      <c r="J608" s="29"/>
      <c r="K608" s="29"/>
      <c r="L608" s="29"/>
      <c r="M608" s="29"/>
      <c r="N608" s="29"/>
      <c r="O608" s="3"/>
      <c r="P608" s="3"/>
      <c r="Q608" s="3"/>
      <c r="R608" s="3"/>
      <c r="S608" s="3"/>
    </row>
    <row r="609" ht="15.75" customHeight="1">
      <c r="A609" s="3"/>
      <c r="B609" s="31"/>
      <c r="C609" s="31"/>
      <c r="D609" s="32"/>
      <c r="E609" s="32"/>
      <c r="F609" s="29"/>
      <c r="G609" s="29"/>
      <c r="H609" s="3"/>
      <c r="I609" s="29"/>
      <c r="J609" s="29"/>
      <c r="K609" s="29"/>
      <c r="L609" s="29"/>
      <c r="M609" s="29"/>
      <c r="N609" s="29"/>
      <c r="O609" s="3"/>
      <c r="P609" s="3"/>
      <c r="Q609" s="3"/>
      <c r="R609" s="3"/>
      <c r="S609" s="3"/>
    </row>
    <row r="610" ht="15.75" customHeight="1">
      <c r="A610" s="3"/>
      <c r="B610" s="31"/>
      <c r="C610" s="31"/>
      <c r="D610" s="32"/>
      <c r="E610" s="32"/>
      <c r="F610" s="29"/>
      <c r="G610" s="29"/>
      <c r="H610" s="3"/>
      <c r="I610" s="29"/>
      <c r="J610" s="29"/>
      <c r="K610" s="29"/>
      <c r="L610" s="29"/>
      <c r="M610" s="29"/>
      <c r="N610" s="29"/>
      <c r="O610" s="3"/>
      <c r="P610" s="3"/>
      <c r="Q610" s="3"/>
      <c r="R610" s="3"/>
      <c r="S610" s="3"/>
    </row>
    <row r="611" ht="15.75" customHeight="1">
      <c r="A611" s="3"/>
      <c r="B611" s="31"/>
      <c r="C611" s="31"/>
      <c r="D611" s="32"/>
      <c r="E611" s="32"/>
      <c r="F611" s="29"/>
      <c r="G611" s="29"/>
      <c r="H611" s="3"/>
      <c r="I611" s="29"/>
      <c r="J611" s="29"/>
      <c r="K611" s="29"/>
      <c r="L611" s="29"/>
      <c r="M611" s="29"/>
      <c r="N611" s="29"/>
      <c r="O611" s="3"/>
      <c r="P611" s="3"/>
      <c r="Q611" s="3"/>
      <c r="R611" s="3"/>
      <c r="S611" s="3"/>
    </row>
    <row r="612" ht="15.75" customHeight="1">
      <c r="A612" s="3"/>
      <c r="B612" s="31"/>
      <c r="C612" s="31"/>
      <c r="D612" s="32"/>
      <c r="E612" s="32"/>
      <c r="F612" s="29"/>
      <c r="G612" s="29"/>
      <c r="H612" s="3"/>
      <c r="I612" s="29"/>
      <c r="J612" s="29"/>
      <c r="K612" s="29"/>
      <c r="L612" s="29"/>
      <c r="M612" s="29"/>
      <c r="N612" s="29"/>
      <c r="O612" s="3"/>
      <c r="P612" s="3"/>
      <c r="Q612" s="3"/>
      <c r="R612" s="3"/>
      <c r="S612" s="3"/>
    </row>
    <row r="613" ht="15.75" customHeight="1">
      <c r="A613" s="3"/>
      <c r="B613" s="31"/>
      <c r="C613" s="31"/>
      <c r="D613" s="32"/>
      <c r="E613" s="32"/>
      <c r="F613" s="29"/>
      <c r="G613" s="29"/>
      <c r="H613" s="3"/>
      <c r="I613" s="29"/>
      <c r="J613" s="29"/>
      <c r="K613" s="29"/>
      <c r="L613" s="29"/>
      <c r="M613" s="29"/>
      <c r="N613" s="29"/>
      <c r="O613" s="3"/>
      <c r="P613" s="3"/>
      <c r="Q613" s="3"/>
      <c r="R613" s="3"/>
      <c r="S613" s="3"/>
    </row>
    <row r="614" ht="15.75" customHeight="1">
      <c r="A614" s="3"/>
      <c r="B614" s="31"/>
      <c r="C614" s="31"/>
      <c r="D614" s="32"/>
      <c r="E614" s="32"/>
      <c r="F614" s="29"/>
      <c r="G614" s="29"/>
      <c r="H614" s="3"/>
      <c r="I614" s="29"/>
      <c r="J614" s="29"/>
      <c r="K614" s="29"/>
      <c r="L614" s="29"/>
      <c r="M614" s="29"/>
      <c r="N614" s="29"/>
      <c r="O614" s="3"/>
      <c r="P614" s="3"/>
      <c r="Q614" s="3"/>
      <c r="R614" s="3"/>
      <c r="S614" s="3"/>
    </row>
    <row r="615" ht="15.75" customHeight="1">
      <c r="A615" s="3"/>
      <c r="B615" s="31"/>
      <c r="C615" s="31"/>
      <c r="D615" s="32"/>
      <c r="E615" s="32"/>
      <c r="F615" s="29"/>
      <c r="G615" s="29"/>
      <c r="H615" s="3"/>
      <c r="I615" s="29"/>
      <c r="J615" s="29"/>
      <c r="K615" s="29"/>
      <c r="L615" s="29"/>
      <c r="M615" s="29"/>
      <c r="N615" s="29"/>
      <c r="O615" s="3"/>
      <c r="P615" s="3"/>
      <c r="Q615" s="3"/>
      <c r="R615" s="3"/>
      <c r="S615" s="3"/>
    </row>
    <row r="616" ht="15.75" customHeight="1">
      <c r="A616" s="3"/>
      <c r="B616" s="31"/>
      <c r="C616" s="31"/>
      <c r="D616" s="32"/>
      <c r="E616" s="32"/>
      <c r="F616" s="29"/>
      <c r="G616" s="29"/>
      <c r="H616" s="3"/>
      <c r="I616" s="29"/>
      <c r="J616" s="29"/>
      <c r="K616" s="29"/>
      <c r="L616" s="29"/>
      <c r="M616" s="29"/>
      <c r="N616" s="29"/>
      <c r="O616" s="3"/>
      <c r="P616" s="3"/>
      <c r="Q616" s="3"/>
      <c r="R616" s="3"/>
      <c r="S616" s="3"/>
    </row>
    <row r="617" ht="15.75" customHeight="1">
      <c r="A617" s="3"/>
      <c r="B617" s="31"/>
      <c r="C617" s="31"/>
      <c r="D617" s="32"/>
      <c r="E617" s="32"/>
      <c r="F617" s="29"/>
      <c r="G617" s="29"/>
      <c r="H617" s="3"/>
      <c r="I617" s="29"/>
      <c r="J617" s="29"/>
      <c r="K617" s="29"/>
      <c r="L617" s="29"/>
      <c r="M617" s="29"/>
      <c r="N617" s="29"/>
      <c r="O617" s="3"/>
      <c r="P617" s="3"/>
      <c r="Q617" s="3"/>
      <c r="R617" s="3"/>
      <c r="S617" s="3"/>
    </row>
    <row r="618" ht="15.75" customHeight="1">
      <c r="A618" s="3"/>
      <c r="B618" s="31"/>
      <c r="C618" s="31"/>
      <c r="D618" s="32"/>
      <c r="E618" s="32"/>
      <c r="F618" s="29"/>
      <c r="G618" s="29"/>
      <c r="H618" s="3"/>
      <c r="I618" s="29"/>
      <c r="J618" s="29"/>
      <c r="K618" s="29"/>
      <c r="L618" s="29"/>
      <c r="M618" s="29"/>
      <c r="N618" s="29"/>
      <c r="O618" s="3"/>
      <c r="P618" s="3"/>
      <c r="Q618" s="3"/>
      <c r="R618" s="3"/>
      <c r="S618" s="3"/>
    </row>
    <row r="619" ht="15.75" customHeight="1">
      <c r="A619" s="3"/>
      <c r="B619" s="31"/>
      <c r="C619" s="31"/>
      <c r="D619" s="32"/>
      <c r="E619" s="32"/>
      <c r="F619" s="29"/>
      <c r="G619" s="29"/>
      <c r="H619" s="3"/>
      <c r="I619" s="29"/>
      <c r="J619" s="29"/>
      <c r="K619" s="29"/>
      <c r="L619" s="29"/>
      <c r="M619" s="29"/>
      <c r="N619" s="29"/>
      <c r="O619" s="3"/>
      <c r="P619" s="3"/>
      <c r="Q619" s="3"/>
      <c r="R619" s="3"/>
      <c r="S619" s="3"/>
    </row>
    <row r="620" ht="15.75" customHeight="1">
      <c r="A620" s="3"/>
      <c r="B620" s="31"/>
      <c r="C620" s="31"/>
      <c r="D620" s="32"/>
      <c r="E620" s="32"/>
      <c r="F620" s="29"/>
      <c r="G620" s="29"/>
      <c r="H620" s="3"/>
      <c r="I620" s="29"/>
      <c r="J620" s="29"/>
      <c r="K620" s="29"/>
      <c r="L620" s="29"/>
      <c r="M620" s="29"/>
      <c r="N620" s="29"/>
      <c r="O620" s="3"/>
      <c r="P620" s="3"/>
      <c r="Q620" s="3"/>
      <c r="R620" s="3"/>
      <c r="S620" s="3"/>
    </row>
    <row r="621" ht="15.75" customHeight="1">
      <c r="A621" s="3"/>
      <c r="B621" s="31"/>
      <c r="C621" s="31"/>
      <c r="D621" s="32"/>
      <c r="E621" s="32"/>
      <c r="F621" s="29"/>
      <c r="G621" s="29"/>
      <c r="H621" s="3"/>
      <c r="I621" s="29"/>
      <c r="J621" s="29"/>
      <c r="K621" s="29"/>
      <c r="L621" s="29"/>
      <c r="M621" s="29"/>
      <c r="N621" s="29"/>
      <c r="O621" s="3"/>
      <c r="P621" s="3"/>
      <c r="Q621" s="3"/>
      <c r="R621" s="3"/>
      <c r="S621" s="3"/>
    </row>
    <row r="622" ht="15.75" customHeight="1">
      <c r="A622" s="3"/>
      <c r="B622" s="31"/>
      <c r="C622" s="31"/>
      <c r="D622" s="32"/>
      <c r="E622" s="32"/>
      <c r="F622" s="29"/>
      <c r="G622" s="29"/>
      <c r="H622" s="3"/>
      <c r="I622" s="29"/>
      <c r="J622" s="29"/>
      <c r="K622" s="29"/>
      <c r="L622" s="29"/>
      <c r="M622" s="29"/>
      <c r="N622" s="29"/>
      <c r="O622" s="3"/>
      <c r="P622" s="3"/>
      <c r="Q622" s="3"/>
      <c r="R622" s="3"/>
      <c r="S622" s="3"/>
    </row>
    <row r="623" ht="15.75" customHeight="1">
      <c r="A623" s="3"/>
      <c r="B623" s="31"/>
      <c r="C623" s="31"/>
      <c r="D623" s="32"/>
      <c r="E623" s="32"/>
      <c r="F623" s="29"/>
      <c r="G623" s="29"/>
      <c r="H623" s="3"/>
      <c r="I623" s="29"/>
      <c r="J623" s="29"/>
      <c r="K623" s="29"/>
      <c r="L623" s="29"/>
      <c r="M623" s="29"/>
      <c r="N623" s="29"/>
      <c r="O623" s="3"/>
      <c r="P623" s="3"/>
      <c r="Q623" s="3"/>
      <c r="R623" s="3"/>
      <c r="S623" s="3"/>
    </row>
    <row r="624" ht="15.75" customHeight="1">
      <c r="A624" s="3"/>
      <c r="B624" s="31"/>
      <c r="C624" s="31"/>
      <c r="D624" s="32"/>
      <c r="E624" s="32"/>
      <c r="F624" s="29"/>
      <c r="G624" s="29"/>
      <c r="H624" s="3"/>
      <c r="I624" s="29"/>
      <c r="J624" s="29"/>
      <c r="K624" s="29"/>
      <c r="L624" s="29"/>
      <c r="M624" s="29"/>
      <c r="N624" s="29"/>
      <c r="O624" s="3"/>
      <c r="P624" s="3"/>
      <c r="Q624" s="3"/>
      <c r="R624" s="3"/>
      <c r="S624" s="3"/>
    </row>
    <row r="625" ht="15.75" customHeight="1">
      <c r="A625" s="3"/>
      <c r="B625" s="31"/>
      <c r="C625" s="31"/>
      <c r="D625" s="32"/>
      <c r="E625" s="32"/>
      <c r="F625" s="29"/>
      <c r="G625" s="29"/>
      <c r="H625" s="3"/>
      <c r="I625" s="29"/>
      <c r="J625" s="29"/>
      <c r="K625" s="29"/>
      <c r="L625" s="29"/>
      <c r="M625" s="29"/>
      <c r="N625" s="29"/>
      <c r="O625" s="3"/>
      <c r="P625" s="3"/>
      <c r="Q625" s="3"/>
      <c r="R625" s="3"/>
      <c r="S625" s="3"/>
    </row>
    <row r="626" ht="15.75" customHeight="1">
      <c r="A626" s="3"/>
      <c r="B626" s="31"/>
      <c r="C626" s="31"/>
      <c r="D626" s="32"/>
      <c r="E626" s="32"/>
      <c r="F626" s="29"/>
      <c r="G626" s="29"/>
      <c r="H626" s="3"/>
      <c r="I626" s="29"/>
      <c r="J626" s="29"/>
      <c r="K626" s="29"/>
      <c r="L626" s="29"/>
      <c r="M626" s="29"/>
      <c r="N626" s="29"/>
      <c r="O626" s="3"/>
      <c r="P626" s="3"/>
      <c r="Q626" s="3"/>
      <c r="R626" s="3"/>
      <c r="S626" s="3"/>
    </row>
    <row r="627" ht="15.75" customHeight="1">
      <c r="A627" s="3"/>
      <c r="B627" s="31"/>
      <c r="C627" s="31"/>
      <c r="D627" s="32"/>
      <c r="E627" s="32"/>
      <c r="F627" s="29"/>
      <c r="G627" s="29"/>
      <c r="H627" s="3"/>
      <c r="I627" s="29"/>
      <c r="J627" s="29"/>
      <c r="K627" s="29"/>
      <c r="L627" s="29"/>
      <c r="M627" s="29"/>
      <c r="N627" s="29"/>
      <c r="O627" s="3"/>
      <c r="P627" s="3"/>
      <c r="Q627" s="3"/>
      <c r="R627" s="3"/>
      <c r="S627" s="3"/>
    </row>
    <row r="628" ht="15.75" customHeight="1">
      <c r="A628" s="3"/>
      <c r="B628" s="31"/>
      <c r="C628" s="31"/>
      <c r="D628" s="32"/>
      <c r="E628" s="32"/>
      <c r="F628" s="29"/>
      <c r="G628" s="29"/>
      <c r="H628" s="3"/>
      <c r="I628" s="29"/>
      <c r="J628" s="29"/>
      <c r="K628" s="29"/>
      <c r="L628" s="29"/>
      <c r="M628" s="29"/>
      <c r="N628" s="29"/>
      <c r="O628" s="3"/>
      <c r="P628" s="3"/>
      <c r="Q628" s="3"/>
      <c r="R628" s="3"/>
      <c r="S628" s="3"/>
    </row>
    <row r="629" ht="15.75" customHeight="1">
      <c r="A629" s="3"/>
      <c r="B629" s="31"/>
      <c r="C629" s="31"/>
      <c r="D629" s="32"/>
      <c r="E629" s="32"/>
      <c r="F629" s="29"/>
      <c r="G629" s="29"/>
      <c r="H629" s="3"/>
      <c r="I629" s="29"/>
      <c r="J629" s="29"/>
      <c r="K629" s="29"/>
      <c r="L629" s="29"/>
      <c r="M629" s="29"/>
      <c r="N629" s="29"/>
      <c r="O629" s="3"/>
      <c r="P629" s="3"/>
      <c r="Q629" s="3"/>
      <c r="R629" s="3"/>
      <c r="S629" s="3"/>
    </row>
    <row r="630" ht="15.75" customHeight="1">
      <c r="A630" s="3"/>
      <c r="B630" s="31"/>
      <c r="C630" s="31"/>
      <c r="D630" s="32"/>
      <c r="E630" s="32"/>
      <c r="F630" s="29"/>
      <c r="G630" s="29"/>
      <c r="H630" s="3"/>
      <c r="I630" s="29"/>
      <c r="J630" s="29"/>
      <c r="K630" s="29"/>
      <c r="L630" s="29"/>
      <c r="M630" s="29"/>
      <c r="N630" s="29"/>
      <c r="O630" s="3"/>
      <c r="P630" s="3"/>
      <c r="Q630" s="3"/>
      <c r="R630" s="3"/>
      <c r="S630" s="3"/>
    </row>
    <row r="631" ht="15.75" customHeight="1">
      <c r="A631" s="3"/>
      <c r="B631" s="31"/>
      <c r="C631" s="31"/>
      <c r="D631" s="32"/>
      <c r="E631" s="32"/>
      <c r="F631" s="29"/>
      <c r="G631" s="29"/>
      <c r="H631" s="3"/>
      <c r="I631" s="29"/>
      <c r="J631" s="29"/>
      <c r="K631" s="29"/>
      <c r="L631" s="29"/>
      <c r="M631" s="29"/>
      <c r="N631" s="29"/>
      <c r="O631" s="3"/>
      <c r="P631" s="3"/>
      <c r="Q631" s="3"/>
      <c r="R631" s="3"/>
      <c r="S631" s="3"/>
    </row>
    <row r="632" ht="15.75" customHeight="1">
      <c r="A632" s="3"/>
      <c r="B632" s="31"/>
      <c r="C632" s="31"/>
      <c r="D632" s="32"/>
      <c r="E632" s="32"/>
      <c r="F632" s="29"/>
      <c r="G632" s="29"/>
      <c r="H632" s="3"/>
      <c r="I632" s="29"/>
      <c r="J632" s="29"/>
      <c r="K632" s="29"/>
      <c r="L632" s="29"/>
      <c r="M632" s="29"/>
      <c r="N632" s="29"/>
      <c r="O632" s="3"/>
      <c r="P632" s="3"/>
      <c r="Q632" s="3"/>
      <c r="R632" s="3"/>
      <c r="S632" s="3"/>
    </row>
    <row r="633" ht="15.75" customHeight="1">
      <c r="A633" s="3"/>
      <c r="B633" s="31"/>
      <c r="C633" s="31"/>
      <c r="D633" s="32"/>
      <c r="E633" s="32"/>
      <c r="F633" s="29"/>
      <c r="G633" s="29"/>
      <c r="H633" s="3"/>
      <c r="I633" s="29"/>
      <c r="J633" s="29"/>
      <c r="K633" s="29"/>
      <c r="L633" s="29"/>
      <c r="M633" s="29"/>
      <c r="N633" s="29"/>
      <c r="O633" s="3"/>
      <c r="P633" s="3"/>
      <c r="Q633" s="3"/>
      <c r="R633" s="3"/>
      <c r="S633" s="3"/>
    </row>
    <row r="634" ht="15.75" customHeight="1">
      <c r="A634" s="3"/>
      <c r="B634" s="31"/>
      <c r="C634" s="31"/>
      <c r="D634" s="32"/>
      <c r="E634" s="32"/>
      <c r="F634" s="29"/>
      <c r="G634" s="29"/>
      <c r="H634" s="3"/>
      <c r="I634" s="29"/>
      <c r="J634" s="29"/>
      <c r="K634" s="29"/>
      <c r="L634" s="29"/>
      <c r="M634" s="29"/>
      <c r="N634" s="29"/>
      <c r="O634" s="3"/>
      <c r="P634" s="3"/>
      <c r="Q634" s="3"/>
      <c r="R634" s="3"/>
      <c r="S634" s="3"/>
    </row>
    <row r="635" ht="15.75" customHeight="1">
      <c r="A635" s="3"/>
      <c r="B635" s="31"/>
      <c r="C635" s="31"/>
      <c r="D635" s="32"/>
      <c r="E635" s="32"/>
      <c r="F635" s="29"/>
      <c r="G635" s="29"/>
      <c r="H635" s="3"/>
      <c r="I635" s="29"/>
      <c r="J635" s="29"/>
      <c r="K635" s="29"/>
      <c r="L635" s="29"/>
      <c r="M635" s="29"/>
      <c r="N635" s="29"/>
      <c r="O635" s="3"/>
      <c r="P635" s="3"/>
      <c r="Q635" s="3"/>
      <c r="R635" s="3"/>
      <c r="S635" s="3"/>
    </row>
    <row r="636" ht="15.75" customHeight="1">
      <c r="A636" s="3"/>
      <c r="B636" s="31"/>
      <c r="C636" s="31"/>
      <c r="D636" s="32"/>
      <c r="E636" s="32"/>
      <c r="F636" s="29"/>
      <c r="G636" s="29"/>
      <c r="H636" s="3"/>
      <c r="I636" s="29"/>
      <c r="J636" s="29"/>
      <c r="K636" s="29"/>
      <c r="L636" s="29"/>
      <c r="M636" s="29"/>
      <c r="N636" s="29"/>
      <c r="O636" s="3"/>
      <c r="P636" s="3"/>
      <c r="Q636" s="3"/>
      <c r="R636" s="3"/>
      <c r="S636" s="3"/>
    </row>
    <row r="637" ht="15.75" customHeight="1">
      <c r="A637" s="3"/>
      <c r="B637" s="31"/>
      <c r="C637" s="31"/>
      <c r="D637" s="32"/>
      <c r="E637" s="32"/>
      <c r="F637" s="29"/>
      <c r="G637" s="29"/>
      <c r="H637" s="3"/>
      <c r="I637" s="29"/>
      <c r="J637" s="29"/>
      <c r="K637" s="29"/>
      <c r="L637" s="29"/>
      <c r="M637" s="29"/>
      <c r="N637" s="29"/>
      <c r="O637" s="3"/>
      <c r="P637" s="3"/>
      <c r="Q637" s="3"/>
      <c r="R637" s="3"/>
      <c r="S637" s="3"/>
    </row>
    <row r="638" ht="15.75" customHeight="1">
      <c r="A638" s="3"/>
      <c r="B638" s="31"/>
      <c r="C638" s="31"/>
      <c r="D638" s="32"/>
      <c r="E638" s="32"/>
      <c r="F638" s="29"/>
      <c r="G638" s="29"/>
      <c r="H638" s="3"/>
      <c r="I638" s="29"/>
      <c r="J638" s="29"/>
      <c r="K638" s="29"/>
      <c r="L638" s="29"/>
      <c r="M638" s="29"/>
      <c r="N638" s="29"/>
      <c r="O638" s="3"/>
      <c r="P638" s="3"/>
      <c r="Q638" s="3"/>
      <c r="R638" s="3"/>
      <c r="S638" s="3"/>
    </row>
    <row r="639" ht="15.75" customHeight="1">
      <c r="A639" s="3"/>
      <c r="B639" s="31"/>
      <c r="C639" s="31"/>
      <c r="D639" s="32"/>
      <c r="E639" s="32"/>
      <c r="F639" s="29"/>
      <c r="G639" s="29"/>
      <c r="H639" s="3"/>
      <c r="I639" s="29"/>
      <c r="J639" s="29"/>
      <c r="K639" s="29"/>
      <c r="L639" s="29"/>
      <c r="M639" s="29"/>
      <c r="N639" s="29"/>
      <c r="O639" s="3"/>
      <c r="P639" s="3"/>
      <c r="Q639" s="3"/>
      <c r="R639" s="3"/>
      <c r="S639" s="3"/>
    </row>
    <row r="640" ht="15.75" customHeight="1">
      <c r="A640" s="3"/>
      <c r="B640" s="31"/>
      <c r="C640" s="31"/>
      <c r="D640" s="32"/>
      <c r="E640" s="32"/>
      <c r="F640" s="29"/>
      <c r="G640" s="29"/>
      <c r="H640" s="3"/>
      <c r="I640" s="29"/>
      <c r="J640" s="29"/>
      <c r="K640" s="29"/>
      <c r="L640" s="29"/>
      <c r="M640" s="29"/>
      <c r="N640" s="29"/>
      <c r="O640" s="3"/>
      <c r="P640" s="3"/>
      <c r="Q640" s="3"/>
      <c r="R640" s="3"/>
      <c r="S640" s="3"/>
    </row>
    <row r="641" ht="15.75" customHeight="1">
      <c r="A641" s="3"/>
      <c r="B641" s="31"/>
      <c r="C641" s="31"/>
      <c r="D641" s="32"/>
      <c r="E641" s="32"/>
      <c r="F641" s="29"/>
      <c r="G641" s="29"/>
      <c r="H641" s="3"/>
      <c r="I641" s="29"/>
      <c r="J641" s="29"/>
      <c r="K641" s="29"/>
      <c r="L641" s="29"/>
      <c r="M641" s="29"/>
      <c r="N641" s="29"/>
      <c r="O641" s="3"/>
      <c r="P641" s="3"/>
      <c r="Q641" s="3"/>
      <c r="R641" s="3"/>
      <c r="S641" s="3"/>
    </row>
    <row r="642" ht="15.75" customHeight="1">
      <c r="A642" s="3"/>
      <c r="B642" s="31"/>
      <c r="C642" s="31"/>
      <c r="D642" s="32"/>
      <c r="E642" s="32"/>
      <c r="F642" s="29"/>
      <c r="G642" s="29"/>
      <c r="H642" s="3"/>
      <c r="I642" s="29"/>
      <c r="J642" s="29"/>
      <c r="K642" s="29"/>
      <c r="L642" s="29"/>
      <c r="M642" s="29"/>
      <c r="N642" s="29"/>
      <c r="O642" s="3"/>
      <c r="P642" s="3"/>
      <c r="Q642" s="3"/>
      <c r="R642" s="3"/>
      <c r="S642" s="3"/>
    </row>
    <row r="643" ht="15.75" customHeight="1">
      <c r="A643" s="3"/>
      <c r="B643" s="31"/>
      <c r="C643" s="31"/>
      <c r="D643" s="32"/>
      <c r="E643" s="32"/>
      <c r="F643" s="29"/>
      <c r="G643" s="29"/>
      <c r="H643" s="3"/>
      <c r="I643" s="29"/>
      <c r="J643" s="29"/>
      <c r="K643" s="29"/>
      <c r="L643" s="29"/>
      <c r="M643" s="29"/>
      <c r="N643" s="29"/>
      <c r="O643" s="3"/>
      <c r="P643" s="3"/>
      <c r="Q643" s="3"/>
      <c r="R643" s="3"/>
      <c r="S643" s="3"/>
    </row>
    <row r="644" ht="15.75" customHeight="1">
      <c r="A644" s="3"/>
      <c r="B644" s="31"/>
      <c r="C644" s="31"/>
      <c r="D644" s="32"/>
      <c r="E644" s="32"/>
      <c r="F644" s="29"/>
      <c r="G644" s="29"/>
      <c r="H644" s="3"/>
      <c r="I644" s="29"/>
      <c r="J644" s="29"/>
      <c r="K644" s="29"/>
      <c r="L644" s="29"/>
      <c r="M644" s="29"/>
      <c r="N644" s="29"/>
      <c r="O644" s="3"/>
      <c r="P644" s="3"/>
      <c r="Q644" s="3"/>
      <c r="R644" s="3"/>
      <c r="S644" s="3"/>
    </row>
    <row r="645" ht="15.75" customHeight="1">
      <c r="A645" s="3"/>
      <c r="B645" s="31"/>
      <c r="C645" s="31"/>
      <c r="D645" s="32"/>
      <c r="E645" s="32"/>
      <c r="F645" s="29"/>
      <c r="G645" s="29"/>
      <c r="H645" s="3"/>
      <c r="I645" s="29"/>
      <c r="J645" s="29"/>
      <c r="K645" s="29"/>
      <c r="L645" s="29"/>
      <c r="M645" s="29"/>
      <c r="N645" s="29"/>
      <c r="O645" s="3"/>
      <c r="P645" s="3"/>
      <c r="Q645" s="3"/>
      <c r="R645" s="3"/>
      <c r="S645" s="3"/>
    </row>
    <row r="646" ht="15.75" customHeight="1">
      <c r="A646" s="3"/>
      <c r="B646" s="31"/>
      <c r="C646" s="31"/>
      <c r="D646" s="32"/>
      <c r="E646" s="32"/>
      <c r="F646" s="29"/>
      <c r="G646" s="29"/>
      <c r="H646" s="3"/>
      <c r="I646" s="29"/>
      <c r="J646" s="29"/>
      <c r="K646" s="29"/>
      <c r="L646" s="29"/>
      <c r="M646" s="29"/>
      <c r="N646" s="29"/>
      <c r="O646" s="3"/>
      <c r="P646" s="3"/>
      <c r="Q646" s="3"/>
      <c r="R646" s="3"/>
      <c r="S646" s="3"/>
    </row>
    <row r="647" ht="15.75" customHeight="1">
      <c r="A647" s="3"/>
      <c r="B647" s="31"/>
      <c r="C647" s="31"/>
      <c r="D647" s="32"/>
      <c r="E647" s="32"/>
      <c r="F647" s="29"/>
      <c r="G647" s="29"/>
      <c r="H647" s="3"/>
      <c r="I647" s="29"/>
      <c r="J647" s="29"/>
      <c r="K647" s="29"/>
      <c r="L647" s="29"/>
      <c r="M647" s="29"/>
      <c r="N647" s="29"/>
      <c r="O647" s="3"/>
      <c r="P647" s="3"/>
      <c r="Q647" s="3"/>
      <c r="R647" s="3"/>
      <c r="S647" s="3"/>
    </row>
    <row r="648" ht="15.75" customHeight="1">
      <c r="A648" s="3"/>
      <c r="B648" s="31"/>
      <c r="C648" s="31"/>
      <c r="D648" s="32"/>
      <c r="E648" s="32"/>
      <c r="F648" s="29"/>
      <c r="G648" s="29"/>
      <c r="H648" s="3"/>
      <c r="I648" s="29"/>
      <c r="J648" s="29"/>
      <c r="K648" s="29"/>
      <c r="L648" s="29"/>
      <c r="M648" s="29"/>
      <c r="N648" s="29"/>
      <c r="O648" s="3"/>
      <c r="P648" s="3"/>
      <c r="Q648" s="3"/>
      <c r="R648" s="3"/>
      <c r="S648" s="3"/>
    </row>
    <row r="649" ht="15.75" customHeight="1">
      <c r="A649" s="3"/>
      <c r="B649" s="31"/>
      <c r="C649" s="31"/>
      <c r="D649" s="32"/>
      <c r="E649" s="32"/>
      <c r="F649" s="29"/>
      <c r="G649" s="29"/>
      <c r="H649" s="3"/>
      <c r="I649" s="29"/>
      <c r="J649" s="29"/>
      <c r="K649" s="29"/>
      <c r="L649" s="29"/>
      <c r="M649" s="29"/>
      <c r="N649" s="29"/>
      <c r="O649" s="3"/>
      <c r="P649" s="3"/>
      <c r="Q649" s="3"/>
      <c r="R649" s="3"/>
      <c r="S649" s="3"/>
    </row>
    <row r="650" ht="15.75" customHeight="1">
      <c r="A650" s="3"/>
      <c r="B650" s="31"/>
      <c r="C650" s="31"/>
      <c r="D650" s="32"/>
      <c r="E650" s="32"/>
      <c r="F650" s="29"/>
      <c r="G650" s="29"/>
      <c r="H650" s="3"/>
      <c r="I650" s="29"/>
      <c r="J650" s="29"/>
      <c r="K650" s="29"/>
      <c r="L650" s="29"/>
      <c r="M650" s="29"/>
      <c r="N650" s="29"/>
      <c r="O650" s="3"/>
      <c r="P650" s="3"/>
      <c r="Q650" s="3"/>
      <c r="R650" s="3"/>
      <c r="S650" s="3"/>
    </row>
    <row r="651" ht="15.75" customHeight="1">
      <c r="A651" s="3"/>
      <c r="B651" s="31"/>
      <c r="C651" s="31"/>
      <c r="D651" s="32"/>
      <c r="E651" s="32"/>
      <c r="F651" s="29"/>
      <c r="G651" s="29"/>
      <c r="H651" s="3"/>
      <c r="I651" s="29"/>
      <c r="J651" s="29"/>
      <c r="K651" s="29"/>
      <c r="L651" s="29"/>
      <c r="M651" s="29"/>
      <c r="N651" s="29"/>
      <c r="O651" s="3"/>
      <c r="P651" s="3"/>
      <c r="Q651" s="3"/>
      <c r="R651" s="3"/>
      <c r="S651" s="3"/>
    </row>
    <row r="652" ht="15.75" customHeight="1">
      <c r="A652" s="3"/>
      <c r="B652" s="31"/>
      <c r="C652" s="31"/>
      <c r="D652" s="32"/>
      <c r="E652" s="32"/>
      <c r="F652" s="29"/>
      <c r="G652" s="29"/>
      <c r="H652" s="3"/>
      <c r="I652" s="29"/>
      <c r="J652" s="29"/>
      <c r="K652" s="29"/>
      <c r="L652" s="29"/>
      <c r="M652" s="29"/>
      <c r="N652" s="29"/>
      <c r="O652" s="3"/>
      <c r="P652" s="3"/>
      <c r="Q652" s="3"/>
      <c r="R652" s="3"/>
      <c r="S652" s="3"/>
    </row>
    <row r="653" ht="15.75" customHeight="1">
      <c r="A653" s="3"/>
      <c r="B653" s="31"/>
      <c r="C653" s="31"/>
      <c r="D653" s="32"/>
      <c r="E653" s="32"/>
      <c r="F653" s="29"/>
      <c r="G653" s="29"/>
      <c r="H653" s="3"/>
      <c r="I653" s="29"/>
      <c r="J653" s="29"/>
      <c r="K653" s="29"/>
      <c r="L653" s="29"/>
      <c r="M653" s="29"/>
      <c r="N653" s="29"/>
      <c r="O653" s="3"/>
      <c r="P653" s="3"/>
      <c r="Q653" s="3"/>
      <c r="R653" s="3"/>
      <c r="S653" s="3"/>
    </row>
    <row r="654" ht="15.75" customHeight="1">
      <c r="A654" s="3"/>
      <c r="B654" s="31"/>
      <c r="C654" s="31"/>
      <c r="D654" s="32"/>
      <c r="E654" s="32"/>
      <c r="F654" s="29"/>
      <c r="G654" s="29"/>
      <c r="H654" s="3"/>
      <c r="I654" s="29"/>
      <c r="J654" s="29"/>
      <c r="K654" s="29"/>
      <c r="L654" s="29"/>
      <c r="M654" s="29"/>
      <c r="N654" s="29"/>
      <c r="O654" s="3"/>
      <c r="P654" s="3"/>
      <c r="Q654" s="3"/>
      <c r="R654" s="3"/>
      <c r="S654" s="3"/>
    </row>
    <row r="655" ht="15.75" customHeight="1">
      <c r="A655" s="3"/>
      <c r="B655" s="31"/>
      <c r="C655" s="31"/>
      <c r="D655" s="32"/>
      <c r="E655" s="32"/>
      <c r="F655" s="29"/>
      <c r="G655" s="29"/>
      <c r="H655" s="3"/>
      <c r="I655" s="29"/>
      <c r="J655" s="29"/>
      <c r="K655" s="29"/>
      <c r="L655" s="29"/>
      <c r="M655" s="29"/>
      <c r="N655" s="29"/>
      <c r="O655" s="3"/>
      <c r="P655" s="3"/>
      <c r="Q655" s="3"/>
      <c r="R655" s="3"/>
      <c r="S655" s="3"/>
    </row>
    <row r="656" ht="15.75" customHeight="1">
      <c r="A656" s="3"/>
      <c r="B656" s="31"/>
      <c r="C656" s="31"/>
      <c r="D656" s="32"/>
      <c r="E656" s="32"/>
      <c r="F656" s="29"/>
      <c r="G656" s="29"/>
      <c r="H656" s="3"/>
      <c r="I656" s="29"/>
      <c r="J656" s="29"/>
      <c r="K656" s="29"/>
      <c r="L656" s="29"/>
      <c r="M656" s="29"/>
      <c r="N656" s="29"/>
      <c r="O656" s="3"/>
      <c r="P656" s="3"/>
      <c r="Q656" s="3"/>
      <c r="R656" s="3"/>
      <c r="S656" s="3"/>
    </row>
    <row r="657" ht="15.75" customHeight="1">
      <c r="A657" s="3"/>
      <c r="B657" s="31"/>
      <c r="C657" s="31"/>
      <c r="D657" s="32"/>
      <c r="E657" s="32"/>
      <c r="F657" s="29"/>
      <c r="G657" s="29"/>
      <c r="H657" s="3"/>
      <c r="I657" s="29"/>
      <c r="J657" s="29"/>
      <c r="K657" s="29"/>
      <c r="L657" s="29"/>
      <c r="M657" s="29"/>
      <c r="N657" s="29"/>
      <c r="O657" s="3"/>
      <c r="P657" s="3"/>
      <c r="Q657" s="3"/>
      <c r="R657" s="3"/>
      <c r="S657" s="3"/>
    </row>
    <row r="658" ht="15.75" customHeight="1">
      <c r="A658" s="3"/>
      <c r="B658" s="31"/>
      <c r="C658" s="31"/>
      <c r="D658" s="32"/>
      <c r="E658" s="32"/>
      <c r="F658" s="29"/>
      <c r="G658" s="29"/>
      <c r="H658" s="3"/>
      <c r="I658" s="29"/>
      <c r="J658" s="29"/>
      <c r="K658" s="29"/>
      <c r="L658" s="29"/>
      <c r="M658" s="29"/>
      <c r="N658" s="29"/>
      <c r="O658" s="3"/>
      <c r="P658" s="3"/>
      <c r="Q658" s="3"/>
      <c r="R658" s="3"/>
      <c r="S658" s="3"/>
    </row>
    <row r="659" ht="15.75" customHeight="1">
      <c r="A659" s="3"/>
      <c r="B659" s="31"/>
      <c r="C659" s="31"/>
      <c r="D659" s="32"/>
      <c r="E659" s="32"/>
      <c r="F659" s="29"/>
      <c r="G659" s="29"/>
      <c r="H659" s="3"/>
      <c r="I659" s="29"/>
      <c r="J659" s="29"/>
      <c r="K659" s="29"/>
      <c r="L659" s="29"/>
      <c r="M659" s="29"/>
      <c r="N659" s="29"/>
      <c r="O659" s="3"/>
      <c r="P659" s="3"/>
      <c r="Q659" s="3"/>
      <c r="R659" s="3"/>
      <c r="S659" s="3"/>
    </row>
    <row r="660" ht="15.75" customHeight="1">
      <c r="A660" s="3"/>
      <c r="B660" s="31"/>
      <c r="C660" s="31"/>
      <c r="D660" s="32"/>
      <c r="E660" s="32"/>
      <c r="F660" s="29"/>
      <c r="G660" s="29"/>
      <c r="H660" s="3"/>
      <c r="I660" s="29"/>
      <c r="J660" s="29"/>
      <c r="K660" s="29"/>
      <c r="L660" s="29"/>
      <c r="M660" s="29"/>
      <c r="N660" s="29"/>
      <c r="O660" s="3"/>
      <c r="P660" s="3"/>
      <c r="Q660" s="3"/>
      <c r="R660" s="3"/>
      <c r="S660" s="3"/>
    </row>
    <row r="661" ht="15.75" customHeight="1">
      <c r="A661" s="3"/>
      <c r="B661" s="31"/>
      <c r="C661" s="31"/>
      <c r="D661" s="32"/>
      <c r="E661" s="32"/>
      <c r="F661" s="29"/>
      <c r="G661" s="29"/>
      <c r="H661" s="3"/>
      <c r="I661" s="29"/>
      <c r="J661" s="29"/>
      <c r="K661" s="29"/>
      <c r="L661" s="29"/>
      <c r="M661" s="29"/>
      <c r="N661" s="29"/>
      <c r="O661" s="3"/>
      <c r="P661" s="3"/>
      <c r="Q661" s="3"/>
      <c r="R661" s="3"/>
      <c r="S661" s="3"/>
    </row>
    <row r="662" ht="15.75" customHeight="1">
      <c r="A662" s="3"/>
      <c r="B662" s="31"/>
      <c r="C662" s="31"/>
      <c r="D662" s="32"/>
      <c r="E662" s="32"/>
      <c r="F662" s="29"/>
      <c r="G662" s="29"/>
      <c r="H662" s="3"/>
      <c r="I662" s="29"/>
      <c r="J662" s="29"/>
      <c r="K662" s="29"/>
      <c r="L662" s="29"/>
      <c r="M662" s="29"/>
      <c r="N662" s="29"/>
      <c r="O662" s="3"/>
      <c r="P662" s="3"/>
      <c r="Q662" s="3"/>
      <c r="R662" s="3"/>
      <c r="S662" s="3"/>
    </row>
    <row r="663" ht="15.75" customHeight="1">
      <c r="A663" s="3"/>
      <c r="B663" s="31"/>
      <c r="C663" s="31"/>
      <c r="D663" s="32"/>
      <c r="E663" s="32"/>
      <c r="F663" s="29"/>
      <c r="G663" s="29"/>
      <c r="H663" s="3"/>
      <c r="I663" s="29"/>
      <c r="J663" s="29"/>
      <c r="K663" s="29"/>
      <c r="L663" s="29"/>
      <c r="M663" s="29"/>
      <c r="N663" s="29"/>
      <c r="O663" s="3"/>
      <c r="P663" s="3"/>
      <c r="Q663" s="3"/>
      <c r="R663" s="3"/>
      <c r="S663" s="3"/>
    </row>
    <row r="664" ht="15.75" customHeight="1">
      <c r="A664" s="3"/>
      <c r="B664" s="31"/>
      <c r="C664" s="31"/>
      <c r="D664" s="32"/>
      <c r="E664" s="32"/>
      <c r="F664" s="29"/>
      <c r="G664" s="29"/>
      <c r="H664" s="3"/>
      <c r="I664" s="29"/>
      <c r="J664" s="29"/>
      <c r="K664" s="29"/>
      <c r="L664" s="29"/>
      <c r="M664" s="29"/>
      <c r="N664" s="29"/>
      <c r="O664" s="3"/>
      <c r="P664" s="3"/>
      <c r="Q664" s="3"/>
      <c r="R664" s="3"/>
      <c r="S664" s="3"/>
    </row>
    <row r="665" ht="15.75" customHeight="1">
      <c r="A665" s="3"/>
      <c r="B665" s="31"/>
      <c r="C665" s="31"/>
      <c r="D665" s="32"/>
      <c r="E665" s="32"/>
      <c r="F665" s="29"/>
      <c r="G665" s="29"/>
      <c r="H665" s="3"/>
      <c r="I665" s="29"/>
      <c r="J665" s="29"/>
      <c r="K665" s="29"/>
      <c r="L665" s="29"/>
      <c r="M665" s="29"/>
      <c r="N665" s="29"/>
      <c r="O665" s="3"/>
      <c r="P665" s="3"/>
      <c r="Q665" s="3"/>
      <c r="R665" s="3"/>
      <c r="S665" s="3"/>
    </row>
    <row r="666" ht="15.75" customHeight="1">
      <c r="A666" s="3"/>
      <c r="B666" s="31"/>
      <c r="C666" s="31"/>
      <c r="D666" s="32"/>
      <c r="E666" s="32"/>
      <c r="F666" s="29"/>
      <c r="G666" s="29"/>
      <c r="H666" s="3"/>
      <c r="I666" s="29"/>
      <c r="J666" s="29"/>
      <c r="K666" s="29"/>
      <c r="L666" s="29"/>
      <c r="M666" s="29"/>
      <c r="N666" s="29"/>
      <c r="O666" s="3"/>
      <c r="P666" s="3"/>
      <c r="Q666" s="3"/>
      <c r="R666" s="3"/>
      <c r="S666" s="3"/>
    </row>
    <row r="667" ht="15.75" customHeight="1">
      <c r="A667" s="3"/>
      <c r="B667" s="31"/>
      <c r="C667" s="31"/>
      <c r="D667" s="32"/>
      <c r="E667" s="32"/>
      <c r="F667" s="29"/>
      <c r="G667" s="29"/>
      <c r="H667" s="3"/>
      <c r="I667" s="29"/>
      <c r="J667" s="29"/>
      <c r="K667" s="29"/>
      <c r="L667" s="29"/>
      <c r="M667" s="29"/>
      <c r="N667" s="29"/>
      <c r="O667" s="3"/>
      <c r="P667" s="3"/>
      <c r="Q667" s="3"/>
      <c r="R667" s="3"/>
      <c r="S667" s="3"/>
    </row>
    <row r="668" ht="15.75" customHeight="1">
      <c r="A668" s="3"/>
      <c r="B668" s="31"/>
      <c r="C668" s="31"/>
      <c r="D668" s="32"/>
      <c r="E668" s="32"/>
      <c r="F668" s="29"/>
      <c r="G668" s="29"/>
      <c r="H668" s="3"/>
      <c r="I668" s="29"/>
      <c r="J668" s="29"/>
      <c r="K668" s="29"/>
      <c r="L668" s="29"/>
      <c r="M668" s="29"/>
      <c r="N668" s="29"/>
      <c r="O668" s="3"/>
      <c r="P668" s="3"/>
      <c r="Q668" s="3"/>
      <c r="R668" s="3"/>
      <c r="S668" s="3"/>
    </row>
    <row r="669" ht="15.75" customHeight="1">
      <c r="A669" s="3"/>
      <c r="B669" s="31"/>
      <c r="C669" s="31"/>
      <c r="D669" s="32"/>
      <c r="E669" s="32"/>
      <c r="F669" s="29"/>
      <c r="G669" s="29"/>
      <c r="H669" s="3"/>
      <c r="I669" s="29"/>
      <c r="J669" s="29"/>
      <c r="K669" s="29"/>
      <c r="L669" s="29"/>
      <c r="M669" s="29"/>
      <c r="N669" s="29"/>
      <c r="O669" s="3"/>
      <c r="P669" s="3"/>
      <c r="Q669" s="3"/>
      <c r="R669" s="3"/>
      <c r="S669" s="3"/>
    </row>
    <row r="670" ht="15.75" customHeight="1">
      <c r="A670" s="3"/>
      <c r="B670" s="31"/>
      <c r="C670" s="31"/>
      <c r="D670" s="32"/>
      <c r="E670" s="32"/>
      <c r="F670" s="29"/>
      <c r="G670" s="29"/>
      <c r="H670" s="3"/>
      <c r="I670" s="29"/>
      <c r="J670" s="29"/>
      <c r="K670" s="29"/>
      <c r="L670" s="29"/>
      <c r="M670" s="29"/>
      <c r="N670" s="29"/>
      <c r="O670" s="3"/>
      <c r="P670" s="3"/>
      <c r="Q670" s="3"/>
      <c r="R670" s="3"/>
      <c r="S670" s="3"/>
    </row>
    <row r="671" ht="15.75" customHeight="1">
      <c r="A671" s="3"/>
      <c r="B671" s="31"/>
      <c r="C671" s="31"/>
      <c r="D671" s="32"/>
      <c r="E671" s="32"/>
      <c r="F671" s="29"/>
      <c r="G671" s="29"/>
      <c r="H671" s="3"/>
      <c r="I671" s="29"/>
      <c r="J671" s="29"/>
      <c r="K671" s="29"/>
      <c r="L671" s="29"/>
      <c r="M671" s="29"/>
      <c r="N671" s="29"/>
      <c r="O671" s="3"/>
      <c r="P671" s="3"/>
      <c r="Q671" s="3"/>
      <c r="R671" s="3"/>
      <c r="S671" s="3"/>
    </row>
    <row r="672" ht="15.75" customHeight="1">
      <c r="A672" s="3"/>
      <c r="B672" s="31"/>
      <c r="C672" s="31"/>
      <c r="D672" s="32"/>
      <c r="E672" s="32"/>
      <c r="F672" s="29"/>
      <c r="G672" s="29"/>
      <c r="H672" s="3"/>
      <c r="I672" s="29"/>
      <c r="J672" s="29"/>
      <c r="K672" s="29"/>
      <c r="L672" s="29"/>
      <c r="M672" s="29"/>
      <c r="N672" s="29"/>
      <c r="O672" s="3"/>
      <c r="P672" s="3"/>
      <c r="Q672" s="3"/>
      <c r="R672" s="3"/>
      <c r="S672" s="3"/>
    </row>
    <row r="673" ht="15.75" customHeight="1">
      <c r="A673" s="3"/>
      <c r="B673" s="31"/>
      <c r="C673" s="31"/>
      <c r="D673" s="32"/>
      <c r="E673" s="32"/>
      <c r="F673" s="29"/>
      <c r="G673" s="29"/>
      <c r="H673" s="3"/>
      <c r="I673" s="29"/>
      <c r="J673" s="29"/>
      <c r="K673" s="29"/>
      <c r="L673" s="29"/>
      <c r="M673" s="29"/>
      <c r="N673" s="29"/>
      <c r="O673" s="3"/>
      <c r="P673" s="3"/>
      <c r="Q673" s="3"/>
      <c r="R673" s="3"/>
      <c r="S673" s="3"/>
    </row>
    <row r="674" ht="15.75" customHeight="1">
      <c r="A674" s="3"/>
      <c r="B674" s="31"/>
      <c r="C674" s="31"/>
      <c r="D674" s="32"/>
      <c r="E674" s="32"/>
      <c r="F674" s="29"/>
      <c r="G674" s="29"/>
      <c r="H674" s="3"/>
      <c r="I674" s="29"/>
      <c r="J674" s="29"/>
      <c r="K674" s="29"/>
      <c r="L674" s="29"/>
      <c r="M674" s="29"/>
      <c r="N674" s="29"/>
      <c r="O674" s="3"/>
      <c r="P674" s="3"/>
      <c r="Q674" s="3"/>
      <c r="R674" s="3"/>
      <c r="S674" s="3"/>
    </row>
    <row r="675" ht="15.75" customHeight="1">
      <c r="A675" s="3"/>
      <c r="B675" s="31"/>
      <c r="C675" s="31"/>
      <c r="D675" s="32"/>
      <c r="E675" s="32"/>
      <c r="F675" s="29"/>
      <c r="G675" s="29"/>
      <c r="H675" s="3"/>
      <c r="I675" s="29"/>
      <c r="J675" s="29"/>
      <c r="K675" s="29"/>
      <c r="L675" s="29"/>
      <c r="M675" s="29"/>
      <c r="N675" s="29"/>
      <c r="O675" s="3"/>
      <c r="P675" s="3"/>
      <c r="Q675" s="3"/>
      <c r="R675" s="3"/>
      <c r="S675" s="3"/>
    </row>
    <row r="676" ht="15.75" customHeight="1">
      <c r="A676" s="3"/>
      <c r="B676" s="31"/>
      <c r="C676" s="31"/>
      <c r="D676" s="32"/>
      <c r="E676" s="32"/>
      <c r="F676" s="29"/>
      <c r="G676" s="29"/>
      <c r="H676" s="3"/>
      <c r="I676" s="29"/>
      <c r="J676" s="29"/>
      <c r="K676" s="29"/>
      <c r="L676" s="29"/>
      <c r="M676" s="29"/>
      <c r="N676" s="29"/>
      <c r="O676" s="3"/>
      <c r="P676" s="3"/>
      <c r="Q676" s="3"/>
      <c r="R676" s="3"/>
      <c r="S676" s="3"/>
    </row>
    <row r="677" ht="15.75" customHeight="1">
      <c r="A677" s="3"/>
      <c r="B677" s="31"/>
      <c r="C677" s="31"/>
      <c r="D677" s="32"/>
      <c r="E677" s="32"/>
      <c r="F677" s="29"/>
      <c r="G677" s="29"/>
      <c r="H677" s="3"/>
      <c r="I677" s="29"/>
      <c r="J677" s="29"/>
      <c r="K677" s="29"/>
      <c r="L677" s="29"/>
      <c r="M677" s="29"/>
      <c r="N677" s="29"/>
      <c r="O677" s="3"/>
      <c r="P677" s="3"/>
      <c r="Q677" s="3"/>
      <c r="R677" s="3"/>
      <c r="S677" s="3"/>
    </row>
    <row r="678" ht="15.75" customHeight="1">
      <c r="A678" s="3"/>
      <c r="B678" s="31"/>
      <c r="C678" s="31"/>
      <c r="D678" s="32"/>
      <c r="E678" s="32"/>
      <c r="F678" s="29"/>
      <c r="G678" s="29"/>
      <c r="H678" s="3"/>
      <c r="I678" s="29"/>
      <c r="J678" s="29"/>
      <c r="K678" s="29"/>
      <c r="L678" s="29"/>
      <c r="M678" s="29"/>
      <c r="N678" s="29"/>
      <c r="O678" s="3"/>
      <c r="P678" s="3"/>
      <c r="Q678" s="3"/>
      <c r="R678" s="3"/>
      <c r="S678" s="3"/>
    </row>
    <row r="679" ht="15.75" customHeight="1">
      <c r="A679" s="3"/>
      <c r="B679" s="31"/>
      <c r="C679" s="31"/>
      <c r="D679" s="32"/>
      <c r="E679" s="32"/>
      <c r="F679" s="29"/>
      <c r="G679" s="29"/>
      <c r="H679" s="3"/>
      <c r="I679" s="29"/>
      <c r="J679" s="29"/>
      <c r="K679" s="29"/>
      <c r="L679" s="29"/>
      <c r="M679" s="29"/>
      <c r="N679" s="29"/>
      <c r="O679" s="3"/>
      <c r="P679" s="3"/>
      <c r="Q679" s="3"/>
      <c r="R679" s="3"/>
      <c r="S679" s="3"/>
    </row>
    <row r="680" ht="15.75" customHeight="1">
      <c r="A680" s="3"/>
      <c r="B680" s="31"/>
      <c r="C680" s="31"/>
      <c r="D680" s="32"/>
      <c r="E680" s="32"/>
      <c r="F680" s="29"/>
      <c r="G680" s="29"/>
      <c r="H680" s="3"/>
      <c r="I680" s="29"/>
      <c r="J680" s="29"/>
      <c r="K680" s="29"/>
      <c r="L680" s="29"/>
      <c r="M680" s="29"/>
      <c r="N680" s="29"/>
      <c r="O680" s="3"/>
      <c r="P680" s="3"/>
      <c r="Q680" s="3"/>
      <c r="R680" s="3"/>
      <c r="S680" s="3"/>
    </row>
    <row r="681" ht="15.75" customHeight="1">
      <c r="A681" s="3"/>
      <c r="B681" s="31"/>
      <c r="C681" s="31"/>
      <c r="D681" s="32"/>
      <c r="E681" s="32"/>
      <c r="F681" s="29"/>
      <c r="G681" s="29"/>
      <c r="H681" s="3"/>
      <c r="I681" s="29"/>
      <c r="J681" s="29"/>
      <c r="K681" s="29"/>
      <c r="L681" s="29"/>
      <c r="M681" s="29"/>
      <c r="N681" s="29"/>
      <c r="O681" s="3"/>
      <c r="P681" s="3"/>
      <c r="Q681" s="3"/>
      <c r="R681" s="3"/>
      <c r="S681" s="3"/>
    </row>
    <row r="682" ht="15.75" customHeight="1">
      <c r="A682" s="3"/>
      <c r="B682" s="31"/>
      <c r="C682" s="31"/>
      <c r="D682" s="32"/>
      <c r="E682" s="32"/>
      <c r="F682" s="29"/>
      <c r="G682" s="29"/>
      <c r="H682" s="3"/>
      <c r="I682" s="29"/>
      <c r="J682" s="29"/>
      <c r="K682" s="29"/>
      <c r="L682" s="29"/>
      <c r="M682" s="29"/>
      <c r="N682" s="29"/>
      <c r="O682" s="3"/>
      <c r="P682" s="3"/>
      <c r="Q682" s="3"/>
      <c r="R682" s="3"/>
      <c r="S682" s="3"/>
    </row>
    <row r="683" ht="15.75" customHeight="1">
      <c r="A683" s="3"/>
      <c r="B683" s="31"/>
      <c r="C683" s="31"/>
      <c r="D683" s="32"/>
      <c r="E683" s="32"/>
      <c r="F683" s="29"/>
      <c r="G683" s="29"/>
      <c r="H683" s="3"/>
      <c r="I683" s="29"/>
      <c r="J683" s="29"/>
      <c r="K683" s="29"/>
      <c r="L683" s="29"/>
      <c r="M683" s="29"/>
      <c r="N683" s="29"/>
      <c r="O683" s="3"/>
      <c r="P683" s="3"/>
      <c r="Q683" s="3"/>
      <c r="R683" s="3"/>
      <c r="S683" s="3"/>
    </row>
    <row r="684" ht="15.75" customHeight="1">
      <c r="A684" s="3"/>
      <c r="B684" s="31"/>
      <c r="C684" s="31"/>
      <c r="D684" s="32"/>
      <c r="E684" s="32"/>
      <c r="F684" s="29"/>
      <c r="G684" s="29"/>
      <c r="H684" s="3"/>
      <c r="I684" s="29"/>
      <c r="J684" s="29"/>
      <c r="K684" s="29"/>
      <c r="L684" s="29"/>
      <c r="M684" s="29"/>
      <c r="N684" s="29"/>
      <c r="O684" s="3"/>
      <c r="P684" s="3"/>
      <c r="Q684" s="3"/>
      <c r="R684" s="3"/>
      <c r="S684" s="3"/>
    </row>
    <row r="685" ht="15.75" customHeight="1">
      <c r="A685" s="3"/>
      <c r="B685" s="31"/>
      <c r="C685" s="31"/>
      <c r="D685" s="32"/>
      <c r="E685" s="32"/>
      <c r="F685" s="29"/>
      <c r="G685" s="29"/>
      <c r="H685" s="3"/>
      <c r="I685" s="29"/>
      <c r="J685" s="29"/>
      <c r="K685" s="29"/>
      <c r="L685" s="29"/>
      <c r="M685" s="29"/>
      <c r="N685" s="29"/>
      <c r="O685" s="3"/>
      <c r="P685" s="3"/>
      <c r="Q685" s="3"/>
      <c r="R685" s="3"/>
      <c r="S685" s="3"/>
    </row>
    <row r="686" ht="15.75" customHeight="1">
      <c r="A686" s="3"/>
      <c r="B686" s="31"/>
      <c r="C686" s="31"/>
      <c r="D686" s="32"/>
      <c r="E686" s="32"/>
      <c r="F686" s="29"/>
      <c r="G686" s="29"/>
      <c r="H686" s="3"/>
      <c r="I686" s="29"/>
      <c r="J686" s="29"/>
      <c r="K686" s="29"/>
      <c r="L686" s="29"/>
      <c r="M686" s="29"/>
      <c r="N686" s="29"/>
      <c r="O686" s="3"/>
      <c r="P686" s="3"/>
      <c r="Q686" s="3"/>
      <c r="R686" s="3"/>
      <c r="S686" s="3"/>
    </row>
    <row r="687" ht="15.75" customHeight="1">
      <c r="A687" s="3"/>
      <c r="B687" s="31"/>
      <c r="C687" s="31"/>
      <c r="D687" s="32"/>
      <c r="E687" s="32"/>
      <c r="F687" s="29"/>
      <c r="G687" s="29"/>
      <c r="H687" s="3"/>
      <c r="I687" s="29"/>
      <c r="J687" s="29"/>
      <c r="K687" s="29"/>
      <c r="L687" s="29"/>
      <c r="M687" s="29"/>
      <c r="N687" s="29"/>
      <c r="O687" s="3"/>
      <c r="P687" s="3"/>
      <c r="Q687" s="3"/>
      <c r="R687" s="3"/>
      <c r="S687" s="3"/>
    </row>
    <row r="688" ht="15.75" customHeight="1">
      <c r="A688" s="3"/>
      <c r="B688" s="31"/>
      <c r="C688" s="31"/>
      <c r="D688" s="32"/>
      <c r="E688" s="32"/>
      <c r="F688" s="29"/>
      <c r="G688" s="29"/>
      <c r="H688" s="3"/>
      <c r="I688" s="29"/>
      <c r="J688" s="29"/>
      <c r="K688" s="29"/>
      <c r="L688" s="29"/>
      <c r="M688" s="29"/>
      <c r="N688" s="29"/>
      <c r="O688" s="3"/>
      <c r="P688" s="3"/>
      <c r="Q688" s="3"/>
      <c r="R688" s="3"/>
      <c r="S688" s="3"/>
    </row>
    <row r="689" ht="15.75" customHeight="1">
      <c r="A689" s="3"/>
      <c r="B689" s="31"/>
      <c r="C689" s="31"/>
      <c r="D689" s="32"/>
      <c r="E689" s="32"/>
      <c r="F689" s="29"/>
      <c r="G689" s="29"/>
      <c r="H689" s="3"/>
      <c r="I689" s="29"/>
      <c r="J689" s="29"/>
      <c r="K689" s="29"/>
      <c r="L689" s="29"/>
      <c r="M689" s="29"/>
      <c r="N689" s="29"/>
      <c r="O689" s="3"/>
      <c r="P689" s="3"/>
      <c r="Q689" s="3"/>
      <c r="R689" s="3"/>
      <c r="S689" s="3"/>
    </row>
    <row r="690" ht="15.75" customHeight="1">
      <c r="A690" s="3"/>
      <c r="B690" s="31"/>
      <c r="C690" s="31"/>
      <c r="D690" s="32"/>
      <c r="E690" s="32"/>
      <c r="F690" s="29"/>
      <c r="G690" s="29"/>
      <c r="H690" s="3"/>
      <c r="I690" s="29"/>
      <c r="J690" s="29"/>
      <c r="K690" s="29"/>
      <c r="L690" s="29"/>
      <c r="M690" s="29"/>
      <c r="N690" s="29"/>
      <c r="O690" s="3"/>
      <c r="P690" s="3"/>
      <c r="Q690" s="3"/>
      <c r="R690" s="3"/>
      <c r="S690" s="3"/>
    </row>
    <row r="691" ht="15.75" customHeight="1">
      <c r="A691" s="3"/>
      <c r="B691" s="31"/>
      <c r="C691" s="31"/>
      <c r="D691" s="32"/>
      <c r="E691" s="32"/>
      <c r="F691" s="29"/>
      <c r="G691" s="29"/>
      <c r="H691" s="3"/>
      <c r="I691" s="29"/>
      <c r="J691" s="29"/>
      <c r="K691" s="29"/>
      <c r="L691" s="29"/>
      <c r="M691" s="29"/>
      <c r="N691" s="29"/>
      <c r="O691" s="3"/>
      <c r="P691" s="3"/>
      <c r="Q691" s="3"/>
      <c r="R691" s="3"/>
      <c r="S691" s="3"/>
    </row>
    <row r="692" ht="15.75" customHeight="1">
      <c r="A692" s="3"/>
      <c r="B692" s="31"/>
      <c r="C692" s="31"/>
      <c r="D692" s="32"/>
      <c r="E692" s="32"/>
      <c r="F692" s="29"/>
      <c r="G692" s="29"/>
      <c r="H692" s="3"/>
      <c r="I692" s="29"/>
      <c r="J692" s="29"/>
      <c r="K692" s="29"/>
      <c r="L692" s="29"/>
      <c r="M692" s="29"/>
      <c r="N692" s="29"/>
      <c r="O692" s="3"/>
      <c r="P692" s="3"/>
      <c r="Q692" s="3"/>
      <c r="R692" s="3"/>
      <c r="S692" s="3"/>
    </row>
    <row r="693" ht="15.75" customHeight="1">
      <c r="A693" s="3"/>
      <c r="B693" s="31"/>
      <c r="C693" s="31"/>
      <c r="D693" s="32"/>
      <c r="E693" s="32"/>
      <c r="F693" s="29"/>
      <c r="G693" s="29"/>
      <c r="H693" s="3"/>
      <c r="I693" s="29"/>
      <c r="J693" s="29"/>
      <c r="K693" s="29"/>
      <c r="L693" s="29"/>
      <c r="M693" s="29"/>
      <c r="N693" s="29"/>
      <c r="O693" s="3"/>
      <c r="P693" s="3"/>
      <c r="Q693" s="3"/>
      <c r="R693" s="3"/>
      <c r="S693" s="3"/>
    </row>
    <row r="694" ht="15.75" customHeight="1">
      <c r="A694" s="3"/>
      <c r="B694" s="31"/>
      <c r="C694" s="31"/>
      <c r="D694" s="32"/>
      <c r="E694" s="32"/>
      <c r="F694" s="29"/>
      <c r="G694" s="29"/>
      <c r="H694" s="3"/>
      <c r="I694" s="29"/>
      <c r="J694" s="29"/>
      <c r="K694" s="29"/>
      <c r="L694" s="29"/>
      <c r="M694" s="29"/>
      <c r="N694" s="29"/>
      <c r="O694" s="3"/>
      <c r="P694" s="3"/>
      <c r="Q694" s="3"/>
      <c r="R694" s="3"/>
      <c r="S694" s="3"/>
    </row>
    <row r="695" ht="15.75" customHeight="1">
      <c r="A695" s="3"/>
      <c r="B695" s="31"/>
      <c r="C695" s="31"/>
      <c r="D695" s="32"/>
      <c r="E695" s="32"/>
      <c r="F695" s="29"/>
      <c r="G695" s="29"/>
      <c r="H695" s="3"/>
      <c r="I695" s="29"/>
      <c r="J695" s="29"/>
      <c r="K695" s="29"/>
      <c r="L695" s="29"/>
      <c r="M695" s="29"/>
      <c r="N695" s="29"/>
      <c r="O695" s="3"/>
      <c r="P695" s="3"/>
      <c r="Q695" s="3"/>
      <c r="R695" s="3"/>
      <c r="S695" s="3"/>
    </row>
    <row r="696" ht="15.75" customHeight="1">
      <c r="A696" s="3"/>
      <c r="B696" s="31"/>
      <c r="C696" s="31"/>
      <c r="D696" s="32"/>
      <c r="E696" s="32"/>
      <c r="F696" s="29"/>
      <c r="G696" s="29"/>
      <c r="H696" s="3"/>
      <c r="I696" s="29"/>
      <c r="J696" s="29"/>
      <c r="K696" s="29"/>
      <c r="L696" s="29"/>
      <c r="M696" s="29"/>
      <c r="N696" s="29"/>
      <c r="O696" s="3"/>
      <c r="P696" s="3"/>
      <c r="Q696" s="3"/>
      <c r="R696" s="3"/>
      <c r="S696" s="3"/>
    </row>
    <row r="697" ht="15.75" customHeight="1">
      <c r="A697" s="3"/>
      <c r="B697" s="31"/>
      <c r="C697" s="31"/>
      <c r="D697" s="32"/>
      <c r="E697" s="32"/>
      <c r="F697" s="29"/>
      <c r="G697" s="29"/>
      <c r="H697" s="3"/>
      <c r="I697" s="29"/>
      <c r="J697" s="29"/>
      <c r="K697" s="29"/>
      <c r="L697" s="29"/>
      <c r="M697" s="29"/>
      <c r="N697" s="29"/>
      <c r="O697" s="3"/>
      <c r="P697" s="3"/>
      <c r="Q697" s="3"/>
      <c r="R697" s="3"/>
      <c r="S697" s="3"/>
    </row>
    <row r="698" ht="15.75" customHeight="1">
      <c r="A698" s="3"/>
      <c r="B698" s="31"/>
      <c r="C698" s="31"/>
      <c r="D698" s="32"/>
      <c r="E698" s="32"/>
      <c r="F698" s="29"/>
      <c r="G698" s="29"/>
      <c r="H698" s="3"/>
      <c r="I698" s="29"/>
      <c r="J698" s="29"/>
      <c r="K698" s="29"/>
      <c r="L698" s="29"/>
      <c r="M698" s="29"/>
      <c r="N698" s="29"/>
      <c r="O698" s="3"/>
      <c r="P698" s="3"/>
      <c r="Q698" s="3"/>
      <c r="R698" s="3"/>
      <c r="S698" s="3"/>
    </row>
    <row r="699" ht="15.75" customHeight="1">
      <c r="A699" s="3"/>
      <c r="B699" s="31"/>
      <c r="C699" s="31"/>
      <c r="D699" s="32"/>
      <c r="E699" s="32"/>
      <c r="F699" s="29"/>
      <c r="G699" s="29"/>
      <c r="H699" s="3"/>
      <c r="I699" s="29"/>
      <c r="J699" s="29"/>
      <c r="K699" s="29"/>
      <c r="L699" s="29"/>
      <c r="M699" s="29"/>
      <c r="N699" s="29"/>
      <c r="O699" s="3"/>
      <c r="P699" s="3"/>
      <c r="Q699" s="3"/>
      <c r="R699" s="3"/>
      <c r="S699" s="3"/>
    </row>
    <row r="700" ht="15.75" customHeight="1">
      <c r="A700" s="3"/>
      <c r="B700" s="31"/>
      <c r="C700" s="31"/>
      <c r="D700" s="32"/>
      <c r="E700" s="32"/>
      <c r="F700" s="29"/>
      <c r="G700" s="29"/>
      <c r="H700" s="3"/>
      <c r="I700" s="29"/>
      <c r="J700" s="29"/>
      <c r="K700" s="29"/>
      <c r="L700" s="29"/>
      <c r="M700" s="29"/>
      <c r="N700" s="29"/>
      <c r="O700" s="3"/>
      <c r="P700" s="3"/>
      <c r="Q700" s="3"/>
      <c r="R700" s="3"/>
      <c r="S700" s="3"/>
    </row>
    <row r="701" ht="15.75" customHeight="1">
      <c r="A701" s="3"/>
      <c r="B701" s="31"/>
      <c r="C701" s="31"/>
      <c r="D701" s="32"/>
      <c r="E701" s="32"/>
      <c r="F701" s="29"/>
      <c r="G701" s="29"/>
      <c r="H701" s="3"/>
      <c r="I701" s="29"/>
      <c r="J701" s="29"/>
      <c r="K701" s="29"/>
      <c r="L701" s="29"/>
      <c r="M701" s="29"/>
      <c r="N701" s="29"/>
      <c r="O701" s="3"/>
      <c r="P701" s="3"/>
      <c r="Q701" s="3"/>
      <c r="R701" s="3"/>
      <c r="S701" s="3"/>
    </row>
    <row r="702" ht="15.75" customHeight="1">
      <c r="A702" s="3"/>
      <c r="B702" s="31"/>
      <c r="C702" s="31"/>
      <c r="D702" s="32"/>
      <c r="E702" s="32"/>
      <c r="F702" s="29"/>
      <c r="G702" s="29"/>
      <c r="H702" s="3"/>
      <c r="I702" s="29"/>
      <c r="J702" s="29"/>
      <c r="K702" s="29"/>
      <c r="L702" s="29"/>
      <c r="M702" s="29"/>
      <c r="N702" s="29"/>
      <c r="O702" s="3"/>
      <c r="P702" s="3"/>
      <c r="Q702" s="3"/>
      <c r="R702" s="3"/>
      <c r="S702" s="3"/>
    </row>
    <row r="703" ht="15.75" customHeight="1">
      <c r="A703" s="3"/>
      <c r="B703" s="31"/>
      <c r="C703" s="31"/>
      <c r="D703" s="32"/>
      <c r="E703" s="32"/>
      <c r="F703" s="29"/>
      <c r="G703" s="29"/>
      <c r="H703" s="3"/>
      <c r="I703" s="29"/>
      <c r="J703" s="29"/>
      <c r="K703" s="29"/>
      <c r="L703" s="29"/>
      <c r="M703" s="29"/>
      <c r="N703" s="29"/>
      <c r="O703" s="3"/>
      <c r="P703" s="3"/>
      <c r="Q703" s="3"/>
      <c r="R703" s="3"/>
      <c r="S703" s="3"/>
    </row>
    <row r="704" ht="15.75" customHeight="1">
      <c r="A704" s="3"/>
      <c r="B704" s="31"/>
      <c r="C704" s="31"/>
      <c r="D704" s="32"/>
      <c r="E704" s="32"/>
      <c r="F704" s="29"/>
      <c r="G704" s="29"/>
      <c r="H704" s="3"/>
      <c r="I704" s="29"/>
      <c r="J704" s="29"/>
      <c r="K704" s="29"/>
      <c r="L704" s="29"/>
      <c r="M704" s="29"/>
      <c r="N704" s="29"/>
      <c r="O704" s="3"/>
      <c r="P704" s="3"/>
      <c r="Q704" s="3"/>
      <c r="R704" s="3"/>
      <c r="S704" s="3"/>
    </row>
    <row r="705" ht="15.75" customHeight="1">
      <c r="A705" s="3"/>
      <c r="B705" s="31"/>
      <c r="C705" s="31"/>
      <c r="D705" s="32"/>
      <c r="E705" s="32"/>
      <c r="F705" s="29"/>
      <c r="G705" s="29"/>
      <c r="H705" s="3"/>
      <c r="I705" s="29"/>
      <c r="J705" s="29"/>
      <c r="K705" s="29"/>
      <c r="L705" s="29"/>
      <c r="M705" s="29"/>
      <c r="N705" s="29"/>
      <c r="O705" s="3"/>
      <c r="P705" s="3"/>
      <c r="Q705" s="3"/>
      <c r="R705" s="3"/>
      <c r="S705" s="3"/>
    </row>
    <row r="706" ht="15.75" customHeight="1">
      <c r="A706" s="3"/>
      <c r="B706" s="31"/>
      <c r="C706" s="31"/>
      <c r="D706" s="32"/>
      <c r="E706" s="32"/>
      <c r="F706" s="29"/>
      <c r="G706" s="29"/>
      <c r="H706" s="3"/>
      <c r="I706" s="29"/>
      <c r="J706" s="29"/>
      <c r="K706" s="29"/>
      <c r="L706" s="29"/>
      <c r="M706" s="29"/>
      <c r="N706" s="29"/>
      <c r="O706" s="3"/>
      <c r="P706" s="3"/>
      <c r="Q706" s="3"/>
      <c r="R706" s="3"/>
      <c r="S706" s="3"/>
    </row>
    <row r="707" ht="15.75" customHeight="1">
      <c r="A707" s="3"/>
      <c r="B707" s="31"/>
      <c r="C707" s="31"/>
      <c r="D707" s="32"/>
      <c r="E707" s="32"/>
      <c r="F707" s="29"/>
      <c r="G707" s="29"/>
      <c r="H707" s="3"/>
      <c r="I707" s="29"/>
      <c r="J707" s="29"/>
      <c r="K707" s="29"/>
      <c r="L707" s="29"/>
      <c r="M707" s="29"/>
      <c r="N707" s="29"/>
      <c r="O707" s="3"/>
      <c r="P707" s="3"/>
      <c r="Q707" s="3"/>
      <c r="R707" s="3"/>
      <c r="S707" s="3"/>
    </row>
    <row r="708" ht="15.75" customHeight="1">
      <c r="A708" s="3"/>
      <c r="B708" s="31"/>
      <c r="C708" s="31"/>
      <c r="D708" s="32"/>
      <c r="E708" s="32"/>
      <c r="F708" s="29"/>
      <c r="G708" s="29"/>
      <c r="H708" s="3"/>
      <c r="I708" s="29"/>
      <c r="J708" s="29"/>
      <c r="K708" s="29"/>
      <c r="L708" s="29"/>
      <c r="M708" s="29"/>
      <c r="N708" s="29"/>
      <c r="O708" s="3"/>
      <c r="P708" s="3"/>
      <c r="Q708" s="3"/>
      <c r="R708" s="3"/>
      <c r="S708" s="3"/>
    </row>
    <row r="709" ht="15.75" customHeight="1">
      <c r="A709" s="3"/>
      <c r="B709" s="31"/>
      <c r="C709" s="31"/>
      <c r="D709" s="32"/>
      <c r="E709" s="32"/>
      <c r="F709" s="29"/>
      <c r="G709" s="29"/>
      <c r="H709" s="3"/>
      <c r="I709" s="29"/>
      <c r="J709" s="29"/>
      <c r="K709" s="29"/>
      <c r="L709" s="29"/>
      <c r="M709" s="29"/>
      <c r="N709" s="29"/>
      <c r="O709" s="3"/>
      <c r="P709" s="3"/>
      <c r="Q709" s="3"/>
      <c r="R709" s="3"/>
      <c r="S709" s="3"/>
    </row>
    <row r="710" ht="15.75" customHeight="1">
      <c r="A710" s="3"/>
      <c r="B710" s="31"/>
      <c r="C710" s="31"/>
      <c r="D710" s="32"/>
      <c r="E710" s="32"/>
      <c r="F710" s="29"/>
      <c r="G710" s="29"/>
      <c r="H710" s="3"/>
      <c r="I710" s="29"/>
      <c r="J710" s="29"/>
      <c r="K710" s="29"/>
      <c r="L710" s="29"/>
      <c r="M710" s="29"/>
      <c r="N710" s="29"/>
      <c r="O710" s="3"/>
      <c r="P710" s="3"/>
      <c r="Q710" s="3"/>
      <c r="R710" s="3"/>
      <c r="S710" s="3"/>
    </row>
    <row r="711" ht="15.75" customHeight="1">
      <c r="A711" s="3"/>
      <c r="B711" s="31"/>
      <c r="C711" s="31"/>
      <c r="D711" s="32"/>
      <c r="E711" s="32"/>
      <c r="F711" s="29"/>
      <c r="G711" s="29"/>
      <c r="H711" s="3"/>
      <c r="I711" s="29"/>
      <c r="J711" s="29"/>
      <c r="K711" s="29"/>
      <c r="L711" s="29"/>
      <c r="M711" s="29"/>
      <c r="N711" s="29"/>
      <c r="O711" s="3"/>
      <c r="P711" s="3"/>
      <c r="Q711" s="3"/>
      <c r="R711" s="3"/>
      <c r="S711" s="3"/>
    </row>
    <row r="712" ht="15.75" customHeight="1">
      <c r="A712" s="3"/>
      <c r="B712" s="31"/>
      <c r="C712" s="31"/>
      <c r="D712" s="32"/>
      <c r="E712" s="32"/>
      <c r="F712" s="29"/>
      <c r="G712" s="29"/>
      <c r="H712" s="3"/>
      <c r="I712" s="29"/>
      <c r="J712" s="29"/>
      <c r="K712" s="29"/>
      <c r="L712" s="29"/>
      <c r="M712" s="29"/>
      <c r="N712" s="29"/>
      <c r="O712" s="3"/>
      <c r="P712" s="3"/>
      <c r="Q712" s="3"/>
      <c r="R712" s="3"/>
      <c r="S712" s="3"/>
    </row>
    <row r="713" ht="15.75" customHeight="1">
      <c r="A713" s="3"/>
      <c r="B713" s="31"/>
      <c r="C713" s="31"/>
      <c r="D713" s="32"/>
      <c r="E713" s="32"/>
      <c r="F713" s="29"/>
      <c r="G713" s="29"/>
      <c r="H713" s="3"/>
      <c r="I713" s="29"/>
      <c r="J713" s="29"/>
      <c r="K713" s="29"/>
      <c r="L713" s="29"/>
      <c r="M713" s="29"/>
      <c r="N713" s="29"/>
      <c r="O713" s="3"/>
      <c r="P713" s="3"/>
      <c r="Q713" s="3"/>
      <c r="R713" s="3"/>
      <c r="S713" s="3"/>
    </row>
    <row r="714" ht="15.75" customHeight="1">
      <c r="A714" s="3"/>
      <c r="B714" s="31"/>
      <c r="C714" s="31"/>
      <c r="D714" s="32"/>
      <c r="E714" s="32"/>
      <c r="F714" s="29"/>
      <c r="G714" s="29"/>
      <c r="H714" s="3"/>
      <c r="I714" s="29"/>
      <c r="J714" s="29"/>
      <c r="K714" s="29"/>
      <c r="L714" s="29"/>
      <c r="M714" s="29"/>
      <c r="N714" s="29"/>
      <c r="O714" s="3"/>
      <c r="P714" s="3"/>
      <c r="Q714" s="3"/>
      <c r="R714" s="3"/>
      <c r="S714" s="3"/>
    </row>
    <row r="715" ht="15.75" customHeight="1">
      <c r="A715" s="3"/>
      <c r="B715" s="31"/>
      <c r="C715" s="31"/>
      <c r="D715" s="32"/>
      <c r="E715" s="32"/>
      <c r="F715" s="29"/>
      <c r="G715" s="29"/>
      <c r="H715" s="3"/>
      <c r="I715" s="29"/>
      <c r="J715" s="29"/>
      <c r="K715" s="29"/>
      <c r="L715" s="29"/>
      <c r="M715" s="29"/>
      <c r="N715" s="29"/>
      <c r="O715" s="3"/>
      <c r="P715" s="3"/>
      <c r="Q715" s="3"/>
      <c r="R715" s="3"/>
      <c r="S715" s="3"/>
    </row>
    <row r="716" ht="15.75" customHeight="1">
      <c r="A716" s="3"/>
      <c r="B716" s="31"/>
      <c r="C716" s="31"/>
      <c r="D716" s="32"/>
      <c r="E716" s="32"/>
      <c r="F716" s="29"/>
      <c r="G716" s="29"/>
      <c r="H716" s="3"/>
      <c r="I716" s="29"/>
      <c r="J716" s="29"/>
      <c r="K716" s="29"/>
      <c r="L716" s="29"/>
      <c r="M716" s="29"/>
      <c r="N716" s="29"/>
      <c r="O716" s="3"/>
      <c r="P716" s="3"/>
      <c r="Q716" s="3"/>
      <c r="R716" s="3"/>
      <c r="S716" s="3"/>
    </row>
    <row r="717" ht="15.75" customHeight="1">
      <c r="A717" s="3"/>
      <c r="B717" s="31"/>
      <c r="C717" s="31"/>
      <c r="D717" s="32"/>
      <c r="E717" s="32"/>
      <c r="F717" s="29"/>
      <c r="G717" s="29"/>
      <c r="H717" s="3"/>
      <c r="I717" s="29"/>
      <c r="J717" s="29"/>
      <c r="K717" s="29"/>
      <c r="L717" s="29"/>
      <c r="M717" s="29"/>
      <c r="N717" s="29"/>
      <c r="O717" s="3"/>
      <c r="P717" s="3"/>
      <c r="Q717" s="3"/>
      <c r="R717" s="3"/>
      <c r="S717" s="3"/>
    </row>
    <row r="718" ht="15.75" customHeight="1">
      <c r="A718" s="3"/>
      <c r="B718" s="31"/>
      <c r="C718" s="31"/>
      <c r="D718" s="32"/>
      <c r="E718" s="32"/>
      <c r="F718" s="29"/>
      <c r="G718" s="29"/>
      <c r="H718" s="3"/>
      <c r="I718" s="29"/>
      <c r="J718" s="29"/>
      <c r="K718" s="29"/>
      <c r="L718" s="29"/>
      <c r="M718" s="29"/>
      <c r="N718" s="29"/>
      <c r="O718" s="3"/>
      <c r="P718" s="3"/>
      <c r="Q718" s="3"/>
      <c r="R718" s="3"/>
      <c r="S718" s="3"/>
    </row>
    <row r="719" ht="15.75" customHeight="1">
      <c r="A719" s="3"/>
      <c r="B719" s="31"/>
      <c r="C719" s="31"/>
      <c r="D719" s="32"/>
      <c r="E719" s="32"/>
      <c r="F719" s="29"/>
      <c r="G719" s="29"/>
      <c r="H719" s="3"/>
      <c r="I719" s="29"/>
      <c r="J719" s="29"/>
      <c r="K719" s="29"/>
      <c r="L719" s="29"/>
      <c r="M719" s="29"/>
      <c r="N719" s="29"/>
      <c r="O719" s="3"/>
      <c r="P719" s="3"/>
      <c r="Q719" s="3"/>
      <c r="R719" s="3"/>
      <c r="S719" s="3"/>
    </row>
    <row r="720" ht="15.75" customHeight="1">
      <c r="A720" s="3"/>
      <c r="B720" s="31"/>
      <c r="C720" s="31"/>
      <c r="D720" s="32"/>
      <c r="E720" s="32"/>
      <c r="F720" s="29"/>
      <c r="G720" s="29"/>
      <c r="H720" s="3"/>
      <c r="I720" s="29"/>
      <c r="J720" s="29"/>
      <c r="K720" s="29"/>
      <c r="L720" s="29"/>
      <c r="M720" s="29"/>
      <c r="N720" s="29"/>
      <c r="O720" s="3"/>
      <c r="P720" s="3"/>
      <c r="Q720" s="3"/>
      <c r="R720" s="3"/>
      <c r="S720" s="3"/>
    </row>
    <row r="721" ht="15.75" customHeight="1">
      <c r="A721" s="3"/>
      <c r="B721" s="31"/>
      <c r="C721" s="31"/>
      <c r="D721" s="32"/>
      <c r="E721" s="32"/>
      <c r="F721" s="29"/>
      <c r="G721" s="29"/>
      <c r="H721" s="3"/>
      <c r="I721" s="29"/>
      <c r="J721" s="29"/>
      <c r="K721" s="29"/>
      <c r="L721" s="29"/>
      <c r="M721" s="29"/>
      <c r="N721" s="29"/>
      <c r="O721" s="3"/>
      <c r="P721" s="3"/>
      <c r="Q721" s="3"/>
      <c r="R721" s="3"/>
      <c r="S721" s="3"/>
    </row>
    <row r="722" ht="15.75" customHeight="1">
      <c r="A722" s="3"/>
      <c r="B722" s="31"/>
      <c r="C722" s="31"/>
      <c r="D722" s="32"/>
      <c r="E722" s="32"/>
      <c r="F722" s="29"/>
      <c r="G722" s="29"/>
      <c r="H722" s="3"/>
      <c r="I722" s="29"/>
      <c r="J722" s="29"/>
      <c r="K722" s="29"/>
      <c r="L722" s="29"/>
      <c r="M722" s="29"/>
      <c r="N722" s="29"/>
      <c r="O722" s="3"/>
      <c r="P722" s="3"/>
      <c r="Q722" s="3"/>
      <c r="R722" s="3"/>
      <c r="S722" s="3"/>
    </row>
    <row r="723" ht="15.75" customHeight="1">
      <c r="A723" s="3"/>
      <c r="B723" s="31"/>
      <c r="C723" s="31"/>
      <c r="D723" s="32"/>
      <c r="E723" s="32"/>
      <c r="F723" s="29"/>
      <c r="G723" s="29"/>
      <c r="H723" s="3"/>
      <c r="I723" s="29"/>
      <c r="J723" s="29"/>
      <c r="K723" s="29"/>
      <c r="L723" s="29"/>
      <c r="M723" s="29"/>
      <c r="N723" s="29"/>
      <c r="O723" s="3"/>
      <c r="P723" s="3"/>
      <c r="Q723" s="3"/>
      <c r="R723" s="3"/>
      <c r="S723" s="3"/>
    </row>
    <row r="724" ht="15.75" customHeight="1">
      <c r="A724" s="3"/>
      <c r="B724" s="31"/>
      <c r="C724" s="31"/>
      <c r="D724" s="32"/>
      <c r="E724" s="32"/>
      <c r="F724" s="29"/>
      <c r="G724" s="29"/>
      <c r="H724" s="3"/>
      <c r="I724" s="29"/>
      <c r="J724" s="29"/>
      <c r="K724" s="29"/>
      <c r="L724" s="29"/>
      <c r="M724" s="29"/>
      <c r="N724" s="29"/>
      <c r="O724" s="3"/>
      <c r="P724" s="3"/>
      <c r="Q724" s="3"/>
      <c r="R724" s="3"/>
      <c r="S724" s="3"/>
    </row>
    <row r="725" ht="15.75" customHeight="1">
      <c r="A725" s="3"/>
      <c r="B725" s="31"/>
      <c r="C725" s="31"/>
      <c r="D725" s="32"/>
      <c r="E725" s="32"/>
      <c r="F725" s="29"/>
      <c r="G725" s="29"/>
      <c r="H725" s="3"/>
      <c r="I725" s="29"/>
      <c r="J725" s="29"/>
      <c r="K725" s="29"/>
      <c r="L725" s="29"/>
      <c r="M725" s="29"/>
      <c r="N725" s="29"/>
      <c r="O725" s="3"/>
      <c r="P725" s="3"/>
      <c r="Q725" s="3"/>
      <c r="R725" s="3"/>
      <c r="S725" s="3"/>
    </row>
    <row r="726" ht="15.75" customHeight="1">
      <c r="A726" s="3"/>
      <c r="B726" s="31"/>
      <c r="C726" s="31"/>
      <c r="D726" s="32"/>
      <c r="E726" s="32"/>
      <c r="F726" s="29"/>
      <c r="G726" s="29"/>
      <c r="H726" s="3"/>
      <c r="I726" s="29"/>
      <c r="J726" s="29"/>
      <c r="K726" s="29"/>
      <c r="L726" s="29"/>
      <c r="M726" s="29"/>
      <c r="N726" s="29"/>
      <c r="O726" s="3"/>
      <c r="P726" s="3"/>
      <c r="Q726" s="3"/>
      <c r="R726" s="3"/>
      <c r="S726" s="3"/>
    </row>
    <row r="727" ht="15.75" customHeight="1">
      <c r="A727" s="3"/>
      <c r="B727" s="31"/>
      <c r="C727" s="31"/>
      <c r="D727" s="32"/>
      <c r="E727" s="32"/>
      <c r="F727" s="29"/>
      <c r="G727" s="29"/>
      <c r="H727" s="3"/>
      <c r="I727" s="29"/>
      <c r="J727" s="29"/>
      <c r="K727" s="29"/>
      <c r="L727" s="29"/>
      <c r="M727" s="29"/>
      <c r="N727" s="29"/>
      <c r="O727" s="3"/>
      <c r="P727" s="3"/>
      <c r="Q727" s="3"/>
      <c r="R727" s="3"/>
      <c r="S727" s="3"/>
    </row>
    <row r="728" ht="15.75" customHeight="1">
      <c r="A728" s="3"/>
      <c r="B728" s="31"/>
      <c r="C728" s="31"/>
      <c r="D728" s="32"/>
      <c r="E728" s="32"/>
      <c r="F728" s="29"/>
      <c r="G728" s="29"/>
      <c r="H728" s="3"/>
      <c r="I728" s="29"/>
      <c r="J728" s="29"/>
      <c r="K728" s="29"/>
      <c r="L728" s="29"/>
      <c r="M728" s="29"/>
      <c r="N728" s="29"/>
      <c r="O728" s="3"/>
      <c r="P728" s="3"/>
      <c r="Q728" s="3"/>
      <c r="R728" s="3"/>
      <c r="S728" s="3"/>
    </row>
    <row r="729" ht="15.75" customHeight="1">
      <c r="A729" s="3"/>
      <c r="B729" s="31"/>
      <c r="C729" s="31"/>
      <c r="D729" s="32"/>
      <c r="E729" s="32"/>
      <c r="F729" s="29"/>
      <c r="G729" s="29"/>
      <c r="H729" s="3"/>
      <c r="I729" s="29"/>
      <c r="J729" s="29"/>
      <c r="K729" s="29"/>
      <c r="L729" s="29"/>
      <c r="M729" s="29"/>
      <c r="N729" s="29"/>
      <c r="O729" s="3"/>
      <c r="P729" s="3"/>
      <c r="Q729" s="3"/>
      <c r="R729" s="3"/>
      <c r="S729" s="3"/>
    </row>
    <row r="730" ht="15.75" customHeight="1">
      <c r="A730" s="3"/>
      <c r="B730" s="31"/>
      <c r="C730" s="31"/>
      <c r="D730" s="32"/>
      <c r="E730" s="32"/>
      <c r="F730" s="29"/>
      <c r="G730" s="29"/>
      <c r="H730" s="3"/>
      <c r="I730" s="29"/>
      <c r="J730" s="29"/>
      <c r="K730" s="29"/>
      <c r="L730" s="29"/>
      <c r="M730" s="29"/>
      <c r="N730" s="29"/>
      <c r="O730" s="3"/>
      <c r="P730" s="3"/>
      <c r="Q730" s="3"/>
      <c r="R730" s="3"/>
      <c r="S730" s="3"/>
    </row>
    <row r="731" ht="15.75" customHeight="1">
      <c r="A731" s="3"/>
      <c r="B731" s="31"/>
      <c r="C731" s="31"/>
      <c r="D731" s="32"/>
      <c r="E731" s="32"/>
      <c r="F731" s="29"/>
      <c r="G731" s="29"/>
      <c r="H731" s="3"/>
      <c r="I731" s="29"/>
      <c r="J731" s="29"/>
      <c r="K731" s="29"/>
      <c r="L731" s="29"/>
      <c r="M731" s="29"/>
      <c r="N731" s="29"/>
      <c r="O731" s="3"/>
      <c r="P731" s="3"/>
      <c r="Q731" s="3"/>
      <c r="R731" s="3"/>
      <c r="S731" s="3"/>
    </row>
    <row r="732" ht="15.75" customHeight="1">
      <c r="A732" s="3"/>
      <c r="B732" s="31"/>
      <c r="C732" s="31"/>
      <c r="D732" s="32"/>
      <c r="E732" s="32"/>
      <c r="F732" s="29"/>
      <c r="G732" s="29"/>
      <c r="H732" s="3"/>
      <c r="I732" s="29"/>
      <c r="J732" s="29"/>
      <c r="K732" s="29"/>
      <c r="L732" s="29"/>
      <c r="M732" s="29"/>
      <c r="N732" s="29"/>
      <c r="O732" s="3"/>
      <c r="P732" s="3"/>
      <c r="Q732" s="3"/>
      <c r="R732" s="3"/>
      <c r="S732" s="3"/>
    </row>
    <row r="733" ht="15.75" customHeight="1">
      <c r="A733" s="3"/>
      <c r="B733" s="31"/>
      <c r="C733" s="31"/>
      <c r="D733" s="32"/>
      <c r="E733" s="32"/>
      <c r="F733" s="29"/>
      <c r="G733" s="29"/>
      <c r="H733" s="3"/>
      <c r="I733" s="29"/>
      <c r="J733" s="29"/>
      <c r="K733" s="29"/>
      <c r="L733" s="29"/>
      <c r="M733" s="29"/>
      <c r="N733" s="29"/>
      <c r="O733" s="3"/>
      <c r="P733" s="3"/>
      <c r="Q733" s="3"/>
      <c r="R733" s="3"/>
      <c r="S733" s="3"/>
    </row>
    <row r="734" ht="15.75" customHeight="1">
      <c r="A734" s="3"/>
      <c r="B734" s="31"/>
      <c r="C734" s="31"/>
      <c r="D734" s="32"/>
      <c r="E734" s="32"/>
      <c r="F734" s="29"/>
      <c r="G734" s="29"/>
      <c r="H734" s="3"/>
      <c r="I734" s="29"/>
      <c r="J734" s="29"/>
      <c r="K734" s="29"/>
      <c r="L734" s="29"/>
      <c r="M734" s="29"/>
      <c r="N734" s="29"/>
      <c r="O734" s="3"/>
      <c r="P734" s="3"/>
      <c r="Q734" s="3"/>
      <c r="R734" s="3"/>
      <c r="S734" s="3"/>
    </row>
    <row r="735" ht="15.75" customHeight="1">
      <c r="A735" s="3"/>
      <c r="B735" s="31"/>
      <c r="C735" s="31"/>
      <c r="D735" s="32"/>
      <c r="E735" s="32"/>
      <c r="F735" s="29"/>
      <c r="G735" s="29"/>
      <c r="H735" s="3"/>
      <c r="I735" s="29"/>
      <c r="J735" s="29"/>
      <c r="K735" s="29"/>
      <c r="L735" s="29"/>
      <c r="M735" s="29"/>
      <c r="N735" s="29"/>
      <c r="O735" s="3"/>
      <c r="P735" s="3"/>
      <c r="Q735" s="3"/>
      <c r="R735" s="3"/>
      <c r="S735" s="3"/>
    </row>
    <row r="736" ht="15.75" customHeight="1">
      <c r="A736" s="3"/>
      <c r="B736" s="31"/>
      <c r="C736" s="31"/>
      <c r="D736" s="32"/>
      <c r="E736" s="32"/>
      <c r="F736" s="29"/>
      <c r="G736" s="29"/>
      <c r="H736" s="3"/>
      <c r="I736" s="29"/>
      <c r="J736" s="29"/>
      <c r="K736" s="29"/>
      <c r="L736" s="29"/>
      <c r="M736" s="29"/>
      <c r="N736" s="29"/>
      <c r="O736" s="3"/>
      <c r="P736" s="3"/>
      <c r="Q736" s="3"/>
      <c r="R736" s="3"/>
      <c r="S736" s="3"/>
    </row>
    <row r="737" ht="15.75" customHeight="1">
      <c r="A737" s="3"/>
      <c r="B737" s="31"/>
      <c r="C737" s="31"/>
      <c r="D737" s="32"/>
      <c r="E737" s="32"/>
      <c r="F737" s="29"/>
      <c r="G737" s="29"/>
      <c r="H737" s="3"/>
      <c r="I737" s="29"/>
      <c r="J737" s="29"/>
      <c r="K737" s="29"/>
      <c r="L737" s="29"/>
      <c r="M737" s="29"/>
      <c r="N737" s="29"/>
      <c r="O737" s="3"/>
      <c r="P737" s="3"/>
      <c r="Q737" s="3"/>
      <c r="R737" s="3"/>
      <c r="S737" s="3"/>
    </row>
    <row r="738" ht="15.75" customHeight="1">
      <c r="A738" s="3"/>
      <c r="B738" s="31"/>
      <c r="C738" s="31"/>
      <c r="D738" s="32"/>
      <c r="E738" s="32"/>
      <c r="F738" s="29"/>
      <c r="G738" s="29"/>
      <c r="H738" s="3"/>
      <c r="I738" s="29"/>
      <c r="J738" s="29"/>
      <c r="K738" s="29"/>
      <c r="L738" s="29"/>
      <c r="M738" s="29"/>
      <c r="N738" s="29"/>
      <c r="O738" s="3"/>
      <c r="P738" s="3"/>
      <c r="Q738" s="3"/>
      <c r="R738" s="3"/>
      <c r="S738" s="3"/>
    </row>
    <row r="739" ht="15.75" customHeight="1">
      <c r="A739" s="3"/>
      <c r="B739" s="31"/>
      <c r="C739" s="31"/>
      <c r="D739" s="32"/>
      <c r="E739" s="32"/>
      <c r="F739" s="29"/>
      <c r="G739" s="29"/>
      <c r="H739" s="3"/>
      <c r="I739" s="29"/>
      <c r="J739" s="29"/>
      <c r="K739" s="29"/>
      <c r="L739" s="29"/>
      <c r="M739" s="29"/>
      <c r="N739" s="29"/>
      <c r="O739" s="3"/>
      <c r="P739" s="3"/>
      <c r="Q739" s="3"/>
      <c r="R739" s="3"/>
      <c r="S739" s="3"/>
    </row>
    <row r="740" ht="15.75" customHeight="1">
      <c r="A740" s="3"/>
      <c r="B740" s="31"/>
      <c r="C740" s="31"/>
      <c r="D740" s="32"/>
      <c r="E740" s="32"/>
      <c r="F740" s="29"/>
      <c r="G740" s="29"/>
      <c r="H740" s="3"/>
      <c r="I740" s="29"/>
      <c r="J740" s="29"/>
      <c r="K740" s="29"/>
      <c r="L740" s="29"/>
      <c r="M740" s="29"/>
      <c r="N740" s="29"/>
      <c r="O740" s="3"/>
      <c r="P740" s="3"/>
      <c r="Q740" s="3"/>
      <c r="R740" s="3"/>
      <c r="S740" s="3"/>
    </row>
    <row r="741" ht="15.75" customHeight="1">
      <c r="A741" s="3"/>
      <c r="B741" s="31"/>
      <c r="C741" s="31"/>
      <c r="D741" s="32"/>
      <c r="E741" s="32"/>
      <c r="F741" s="29"/>
      <c r="G741" s="29"/>
      <c r="H741" s="3"/>
      <c r="I741" s="29"/>
      <c r="J741" s="29"/>
      <c r="K741" s="29"/>
      <c r="L741" s="29"/>
      <c r="M741" s="29"/>
      <c r="N741" s="29"/>
      <c r="O741" s="3"/>
      <c r="P741" s="3"/>
      <c r="Q741" s="3"/>
      <c r="R741" s="3"/>
      <c r="S741" s="3"/>
    </row>
    <row r="742" ht="15.75" customHeight="1">
      <c r="A742" s="3"/>
      <c r="B742" s="31"/>
      <c r="C742" s="31"/>
      <c r="D742" s="32"/>
      <c r="E742" s="32"/>
      <c r="F742" s="29"/>
      <c r="G742" s="29"/>
      <c r="H742" s="3"/>
      <c r="I742" s="29"/>
      <c r="J742" s="29"/>
      <c r="K742" s="29"/>
      <c r="L742" s="29"/>
      <c r="M742" s="29"/>
      <c r="N742" s="29"/>
      <c r="O742" s="3"/>
      <c r="P742" s="3"/>
      <c r="Q742" s="3"/>
      <c r="R742" s="3"/>
      <c r="S742" s="3"/>
    </row>
    <row r="743" ht="15.75" customHeight="1">
      <c r="A743" s="3"/>
      <c r="B743" s="31"/>
      <c r="C743" s="31"/>
      <c r="D743" s="32"/>
      <c r="E743" s="32"/>
      <c r="F743" s="29"/>
      <c r="G743" s="29"/>
      <c r="H743" s="3"/>
      <c r="I743" s="29"/>
      <c r="J743" s="29"/>
      <c r="K743" s="29"/>
      <c r="L743" s="29"/>
      <c r="M743" s="29"/>
      <c r="N743" s="29"/>
      <c r="O743" s="3"/>
      <c r="P743" s="3"/>
      <c r="Q743" s="3"/>
      <c r="R743" s="3"/>
      <c r="S743" s="3"/>
    </row>
    <row r="744" ht="15.75" customHeight="1">
      <c r="A744" s="3"/>
      <c r="B744" s="31"/>
      <c r="C744" s="31"/>
      <c r="D744" s="32"/>
      <c r="E744" s="32"/>
      <c r="F744" s="29"/>
      <c r="G744" s="29"/>
      <c r="H744" s="3"/>
      <c r="I744" s="29"/>
      <c r="J744" s="29"/>
      <c r="K744" s="29"/>
      <c r="L744" s="29"/>
      <c r="M744" s="29"/>
      <c r="N744" s="29"/>
      <c r="O744" s="3"/>
      <c r="P744" s="3"/>
      <c r="Q744" s="3"/>
      <c r="R744" s="3"/>
      <c r="S744" s="3"/>
    </row>
    <row r="745" ht="15.75" customHeight="1">
      <c r="A745" s="3"/>
      <c r="B745" s="31"/>
      <c r="C745" s="31"/>
      <c r="D745" s="32"/>
      <c r="E745" s="32"/>
      <c r="F745" s="29"/>
      <c r="G745" s="29"/>
      <c r="H745" s="3"/>
      <c r="I745" s="29"/>
      <c r="J745" s="29"/>
      <c r="K745" s="29"/>
      <c r="L745" s="29"/>
      <c r="M745" s="29"/>
      <c r="N745" s="29"/>
      <c r="O745" s="3"/>
      <c r="P745" s="3"/>
      <c r="Q745" s="3"/>
      <c r="R745" s="3"/>
      <c r="S745" s="3"/>
    </row>
    <row r="746" ht="15.75" customHeight="1">
      <c r="A746" s="3"/>
      <c r="B746" s="31"/>
      <c r="C746" s="31"/>
      <c r="D746" s="32"/>
      <c r="E746" s="32"/>
      <c r="F746" s="29"/>
      <c r="G746" s="29"/>
      <c r="H746" s="3"/>
      <c r="I746" s="29"/>
      <c r="J746" s="29"/>
      <c r="K746" s="29"/>
      <c r="L746" s="29"/>
      <c r="M746" s="29"/>
      <c r="N746" s="29"/>
      <c r="O746" s="3"/>
      <c r="P746" s="3"/>
      <c r="Q746" s="3"/>
      <c r="R746" s="3"/>
      <c r="S746" s="3"/>
    </row>
    <row r="747" ht="15.75" customHeight="1">
      <c r="A747" s="3"/>
      <c r="B747" s="31"/>
      <c r="C747" s="31"/>
      <c r="D747" s="32"/>
      <c r="E747" s="32"/>
      <c r="F747" s="29"/>
      <c r="G747" s="29"/>
      <c r="H747" s="3"/>
      <c r="I747" s="29"/>
      <c r="J747" s="29"/>
      <c r="K747" s="29"/>
      <c r="L747" s="29"/>
      <c r="M747" s="29"/>
      <c r="N747" s="29"/>
      <c r="O747" s="3"/>
      <c r="P747" s="3"/>
      <c r="Q747" s="3"/>
      <c r="R747" s="3"/>
      <c r="S747" s="3"/>
    </row>
    <row r="748" ht="15.75" customHeight="1">
      <c r="A748" s="3"/>
      <c r="B748" s="31"/>
      <c r="C748" s="31"/>
      <c r="D748" s="32"/>
      <c r="E748" s="32"/>
      <c r="F748" s="29"/>
      <c r="G748" s="29"/>
      <c r="H748" s="3"/>
      <c r="I748" s="29"/>
      <c r="J748" s="29"/>
      <c r="K748" s="29"/>
      <c r="L748" s="29"/>
      <c r="M748" s="29"/>
      <c r="N748" s="29"/>
      <c r="O748" s="3"/>
      <c r="P748" s="3"/>
      <c r="Q748" s="3"/>
      <c r="R748" s="3"/>
      <c r="S748" s="3"/>
    </row>
    <row r="749" ht="15.75" customHeight="1">
      <c r="A749" s="3"/>
      <c r="B749" s="31"/>
      <c r="C749" s="31"/>
      <c r="D749" s="32"/>
      <c r="E749" s="32"/>
      <c r="F749" s="29"/>
      <c r="G749" s="29"/>
      <c r="H749" s="3"/>
      <c r="I749" s="29"/>
      <c r="J749" s="29"/>
      <c r="K749" s="29"/>
      <c r="L749" s="29"/>
      <c r="M749" s="29"/>
      <c r="N749" s="29"/>
      <c r="O749" s="3"/>
      <c r="P749" s="3"/>
      <c r="Q749" s="3"/>
      <c r="R749" s="3"/>
      <c r="S749" s="3"/>
    </row>
    <row r="750" ht="15.75" customHeight="1">
      <c r="A750" s="3"/>
      <c r="B750" s="31"/>
      <c r="C750" s="31"/>
      <c r="D750" s="32"/>
      <c r="E750" s="32"/>
      <c r="F750" s="29"/>
      <c r="G750" s="29"/>
      <c r="H750" s="3"/>
      <c r="I750" s="29"/>
      <c r="J750" s="29"/>
      <c r="K750" s="29"/>
      <c r="L750" s="29"/>
      <c r="M750" s="29"/>
      <c r="N750" s="29"/>
      <c r="O750" s="3"/>
      <c r="P750" s="3"/>
      <c r="Q750" s="3"/>
      <c r="R750" s="3"/>
      <c r="S750" s="3"/>
    </row>
    <row r="751" ht="15.75" customHeight="1">
      <c r="A751" s="3"/>
      <c r="B751" s="31"/>
      <c r="C751" s="31"/>
      <c r="D751" s="32"/>
      <c r="E751" s="32"/>
      <c r="F751" s="29"/>
      <c r="G751" s="29"/>
      <c r="H751" s="3"/>
      <c r="I751" s="29"/>
      <c r="J751" s="29"/>
      <c r="K751" s="29"/>
      <c r="L751" s="29"/>
      <c r="M751" s="29"/>
      <c r="N751" s="29"/>
      <c r="O751" s="3"/>
      <c r="P751" s="3"/>
      <c r="Q751" s="3"/>
      <c r="R751" s="3"/>
      <c r="S751" s="3"/>
    </row>
    <row r="752" ht="15.75" customHeight="1">
      <c r="A752" s="3"/>
      <c r="B752" s="31"/>
      <c r="C752" s="31"/>
      <c r="D752" s="32"/>
      <c r="E752" s="32"/>
      <c r="F752" s="29"/>
      <c r="G752" s="29"/>
      <c r="H752" s="3"/>
      <c r="I752" s="29"/>
      <c r="J752" s="29"/>
      <c r="K752" s="29"/>
      <c r="L752" s="29"/>
      <c r="M752" s="29"/>
      <c r="N752" s="29"/>
      <c r="O752" s="3"/>
      <c r="P752" s="3"/>
      <c r="Q752" s="3"/>
      <c r="R752" s="3"/>
      <c r="S752" s="3"/>
    </row>
    <row r="753" ht="15.75" customHeight="1">
      <c r="A753" s="3"/>
      <c r="B753" s="31"/>
      <c r="C753" s="31"/>
      <c r="D753" s="32"/>
      <c r="E753" s="32"/>
      <c r="F753" s="29"/>
      <c r="G753" s="29"/>
      <c r="H753" s="3"/>
      <c r="I753" s="29"/>
      <c r="J753" s="29"/>
      <c r="K753" s="29"/>
      <c r="L753" s="29"/>
      <c r="M753" s="29"/>
      <c r="N753" s="29"/>
      <c r="O753" s="3"/>
      <c r="P753" s="3"/>
      <c r="Q753" s="3"/>
      <c r="R753" s="3"/>
      <c r="S753" s="3"/>
    </row>
    <row r="754" ht="15.75" customHeight="1">
      <c r="A754" s="3"/>
      <c r="B754" s="31"/>
      <c r="C754" s="31"/>
      <c r="D754" s="32"/>
      <c r="E754" s="32"/>
      <c r="F754" s="29"/>
      <c r="G754" s="29"/>
      <c r="H754" s="3"/>
      <c r="I754" s="29"/>
      <c r="J754" s="29"/>
      <c r="K754" s="29"/>
      <c r="L754" s="29"/>
      <c r="M754" s="29"/>
      <c r="N754" s="29"/>
      <c r="O754" s="3"/>
      <c r="P754" s="3"/>
      <c r="Q754" s="3"/>
      <c r="R754" s="3"/>
      <c r="S754" s="3"/>
    </row>
    <row r="755" ht="15.75" customHeight="1">
      <c r="A755" s="3"/>
      <c r="B755" s="31"/>
      <c r="C755" s="31"/>
      <c r="D755" s="32"/>
      <c r="E755" s="32"/>
      <c r="F755" s="29"/>
      <c r="G755" s="29"/>
      <c r="H755" s="3"/>
      <c r="I755" s="29"/>
      <c r="J755" s="29"/>
      <c r="K755" s="29"/>
      <c r="L755" s="29"/>
      <c r="M755" s="29"/>
      <c r="N755" s="29"/>
      <c r="O755" s="3"/>
      <c r="P755" s="3"/>
      <c r="Q755" s="3"/>
      <c r="R755" s="3"/>
      <c r="S755" s="3"/>
    </row>
    <row r="756" ht="15.75" customHeight="1">
      <c r="A756" s="3"/>
      <c r="B756" s="31"/>
      <c r="C756" s="31"/>
      <c r="D756" s="32"/>
      <c r="E756" s="32"/>
      <c r="F756" s="29"/>
      <c r="G756" s="29"/>
      <c r="H756" s="3"/>
      <c r="I756" s="29"/>
      <c r="J756" s="29"/>
      <c r="K756" s="29"/>
      <c r="L756" s="29"/>
      <c r="M756" s="29"/>
      <c r="N756" s="29"/>
      <c r="O756" s="3"/>
      <c r="P756" s="3"/>
      <c r="Q756" s="3"/>
      <c r="R756" s="3"/>
      <c r="S756" s="3"/>
    </row>
    <row r="757" ht="15.75" customHeight="1">
      <c r="A757" s="3"/>
      <c r="B757" s="31"/>
      <c r="C757" s="31"/>
      <c r="D757" s="32"/>
      <c r="E757" s="32"/>
      <c r="F757" s="29"/>
      <c r="G757" s="29"/>
      <c r="H757" s="3"/>
      <c r="I757" s="29"/>
      <c r="J757" s="29"/>
      <c r="K757" s="29"/>
      <c r="L757" s="29"/>
      <c r="M757" s="29"/>
      <c r="N757" s="29"/>
      <c r="O757" s="3"/>
      <c r="P757" s="3"/>
      <c r="Q757" s="3"/>
      <c r="R757" s="3"/>
      <c r="S757" s="3"/>
    </row>
    <row r="758" ht="15.75" customHeight="1">
      <c r="A758" s="3"/>
      <c r="B758" s="31"/>
      <c r="C758" s="31"/>
      <c r="D758" s="32"/>
      <c r="E758" s="32"/>
      <c r="F758" s="29"/>
      <c r="G758" s="29"/>
      <c r="H758" s="3"/>
      <c r="I758" s="29"/>
      <c r="J758" s="29"/>
      <c r="K758" s="29"/>
      <c r="L758" s="29"/>
      <c r="M758" s="29"/>
      <c r="N758" s="29"/>
      <c r="O758" s="3"/>
      <c r="P758" s="3"/>
      <c r="Q758" s="3"/>
      <c r="R758" s="3"/>
      <c r="S758" s="3"/>
    </row>
    <row r="759" ht="15.75" customHeight="1">
      <c r="A759" s="3"/>
      <c r="B759" s="31"/>
      <c r="C759" s="31"/>
      <c r="D759" s="32"/>
      <c r="E759" s="32"/>
      <c r="F759" s="29"/>
      <c r="G759" s="29"/>
      <c r="H759" s="3"/>
      <c r="I759" s="29"/>
      <c r="J759" s="29"/>
      <c r="K759" s="29"/>
      <c r="L759" s="29"/>
      <c r="M759" s="29"/>
      <c r="N759" s="29"/>
      <c r="O759" s="3"/>
      <c r="P759" s="3"/>
      <c r="Q759" s="3"/>
      <c r="R759" s="3"/>
      <c r="S759" s="3"/>
    </row>
    <row r="760" ht="15.75" customHeight="1">
      <c r="A760" s="3"/>
      <c r="B760" s="31"/>
      <c r="C760" s="31"/>
      <c r="D760" s="32"/>
      <c r="E760" s="32"/>
      <c r="F760" s="29"/>
      <c r="G760" s="29"/>
      <c r="H760" s="3"/>
      <c r="I760" s="29"/>
      <c r="J760" s="29"/>
      <c r="K760" s="29"/>
      <c r="L760" s="29"/>
      <c r="M760" s="29"/>
      <c r="N760" s="29"/>
      <c r="O760" s="3"/>
      <c r="P760" s="3"/>
      <c r="Q760" s="3"/>
      <c r="R760" s="3"/>
      <c r="S760" s="3"/>
    </row>
    <row r="761" ht="15.75" customHeight="1">
      <c r="A761" s="3"/>
      <c r="B761" s="31"/>
      <c r="C761" s="31"/>
      <c r="D761" s="32"/>
      <c r="E761" s="32"/>
      <c r="F761" s="29"/>
      <c r="G761" s="29"/>
      <c r="H761" s="3"/>
      <c r="I761" s="29"/>
      <c r="J761" s="29"/>
      <c r="K761" s="29"/>
      <c r="L761" s="29"/>
      <c r="M761" s="29"/>
      <c r="N761" s="29"/>
      <c r="O761" s="3"/>
      <c r="P761" s="3"/>
      <c r="Q761" s="3"/>
      <c r="R761" s="3"/>
      <c r="S761" s="3"/>
    </row>
    <row r="762" ht="15.75" customHeight="1">
      <c r="A762" s="3"/>
      <c r="B762" s="31"/>
      <c r="C762" s="31"/>
      <c r="D762" s="32"/>
      <c r="E762" s="32"/>
      <c r="F762" s="29"/>
      <c r="G762" s="29"/>
      <c r="H762" s="3"/>
      <c r="I762" s="29"/>
      <c r="J762" s="29"/>
      <c r="K762" s="29"/>
      <c r="L762" s="29"/>
      <c r="M762" s="29"/>
      <c r="N762" s="29"/>
      <c r="O762" s="3"/>
      <c r="P762" s="3"/>
      <c r="Q762" s="3"/>
      <c r="R762" s="3"/>
      <c r="S762" s="3"/>
    </row>
    <row r="763" ht="15.75" customHeight="1">
      <c r="A763" s="3"/>
      <c r="B763" s="31"/>
      <c r="C763" s="31"/>
      <c r="D763" s="32"/>
      <c r="E763" s="32"/>
      <c r="F763" s="29"/>
      <c r="G763" s="29"/>
      <c r="H763" s="3"/>
      <c r="I763" s="29"/>
      <c r="J763" s="29"/>
      <c r="K763" s="29"/>
      <c r="L763" s="29"/>
      <c r="M763" s="29"/>
      <c r="N763" s="29"/>
      <c r="O763" s="3"/>
      <c r="P763" s="3"/>
      <c r="Q763" s="3"/>
      <c r="R763" s="3"/>
      <c r="S763" s="3"/>
    </row>
    <row r="764" ht="15.75" customHeight="1">
      <c r="A764" s="3"/>
      <c r="B764" s="31"/>
      <c r="C764" s="31"/>
      <c r="D764" s="32"/>
      <c r="E764" s="32"/>
      <c r="F764" s="29"/>
      <c r="G764" s="29"/>
      <c r="H764" s="3"/>
      <c r="I764" s="29"/>
      <c r="J764" s="29"/>
      <c r="K764" s="29"/>
      <c r="L764" s="29"/>
      <c r="M764" s="29"/>
      <c r="N764" s="29"/>
      <c r="O764" s="3"/>
      <c r="P764" s="3"/>
      <c r="Q764" s="3"/>
      <c r="R764" s="3"/>
      <c r="S764" s="3"/>
    </row>
    <row r="765" ht="15.75" customHeight="1">
      <c r="A765" s="3"/>
      <c r="B765" s="31"/>
      <c r="C765" s="31"/>
      <c r="D765" s="32"/>
      <c r="E765" s="32"/>
      <c r="F765" s="29"/>
      <c r="G765" s="29"/>
      <c r="H765" s="3"/>
      <c r="I765" s="29"/>
      <c r="J765" s="29"/>
      <c r="K765" s="29"/>
      <c r="L765" s="29"/>
      <c r="M765" s="29"/>
      <c r="N765" s="29"/>
      <c r="O765" s="3"/>
      <c r="P765" s="3"/>
      <c r="Q765" s="3"/>
      <c r="R765" s="3"/>
      <c r="S765" s="3"/>
    </row>
    <row r="766" ht="15.75" customHeight="1">
      <c r="A766" s="3"/>
      <c r="B766" s="31"/>
      <c r="C766" s="31"/>
      <c r="D766" s="32"/>
      <c r="E766" s="32"/>
      <c r="F766" s="29"/>
      <c r="G766" s="29"/>
      <c r="H766" s="3"/>
      <c r="I766" s="29"/>
      <c r="J766" s="29"/>
      <c r="K766" s="29"/>
      <c r="L766" s="29"/>
      <c r="M766" s="29"/>
      <c r="N766" s="29"/>
      <c r="O766" s="3"/>
      <c r="P766" s="3"/>
      <c r="Q766" s="3"/>
      <c r="R766" s="3"/>
      <c r="S766" s="3"/>
    </row>
    <row r="767" ht="15.75" customHeight="1">
      <c r="A767" s="3"/>
      <c r="B767" s="31"/>
      <c r="C767" s="31"/>
      <c r="D767" s="32"/>
      <c r="E767" s="32"/>
      <c r="F767" s="29"/>
      <c r="G767" s="29"/>
      <c r="H767" s="3"/>
      <c r="I767" s="29"/>
      <c r="J767" s="29"/>
      <c r="K767" s="29"/>
      <c r="L767" s="29"/>
      <c r="M767" s="29"/>
      <c r="N767" s="29"/>
      <c r="O767" s="3"/>
      <c r="P767" s="3"/>
      <c r="Q767" s="3"/>
      <c r="R767" s="3"/>
      <c r="S767" s="3"/>
    </row>
    <row r="768" ht="15.75" customHeight="1">
      <c r="A768" s="3"/>
      <c r="B768" s="31"/>
      <c r="C768" s="31"/>
      <c r="D768" s="32"/>
      <c r="E768" s="32"/>
      <c r="F768" s="29"/>
      <c r="G768" s="29"/>
      <c r="H768" s="3"/>
      <c r="I768" s="29"/>
      <c r="J768" s="29"/>
      <c r="K768" s="29"/>
      <c r="L768" s="29"/>
      <c r="M768" s="29"/>
      <c r="N768" s="29"/>
      <c r="O768" s="3"/>
      <c r="P768" s="3"/>
      <c r="Q768" s="3"/>
      <c r="R768" s="3"/>
      <c r="S768" s="3"/>
    </row>
    <row r="769" ht="15.75" customHeight="1">
      <c r="A769" s="3"/>
      <c r="B769" s="31"/>
      <c r="C769" s="31"/>
      <c r="D769" s="32"/>
      <c r="E769" s="32"/>
      <c r="F769" s="29"/>
      <c r="G769" s="29"/>
      <c r="H769" s="3"/>
      <c r="I769" s="29"/>
      <c r="J769" s="29"/>
      <c r="K769" s="29"/>
      <c r="L769" s="29"/>
      <c r="M769" s="29"/>
      <c r="N769" s="29"/>
      <c r="O769" s="3"/>
      <c r="P769" s="3"/>
      <c r="Q769" s="3"/>
      <c r="R769" s="3"/>
      <c r="S769" s="3"/>
    </row>
    <row r="770" ht="15.75" customHeight="1">
      <c r="A770" s="3"/>
      <c r="B770" s="31"/>
      <c r="C770" s="31"/>
      <c r="D770" s="32"/>
      <c r="E770" s="32"/>
      <c r="F770" s="29"/>
      <c r="G770" s="29"/>
      <c r="H770" s="3"/>
      <c r="I770" s="29"/>
      <c r="J770" s="29"/>
      <c r="K770" s="29"/>
      <c r="L770" s="29"/>
      <c r="M770" s="29"/>
      <c r="N770" s="29"/>
      <c r="O770" s="3"/>
      <c r="P770" s="3"/>
      <c r="Q770" s="3"/>
      <c r="R770" s="3"/>
      <c r="S770" s="3"/>
    </row>
    <row r="771" ht="15.75" customHeight="1">
      <c r="A771" s="3"/>
      <c r="B771" s="31"/>
      <c r="C771" s="31"/>
      <c r="D771" s="32"/>
      <c r="E771" s="32"/>
      <c r="F771" s="29"/>
      <c r="G771" s="29"/>
      <c r="H771" s="3"/>
      <c r="I771" s="29"/>
      <c r="J771" s="29"/>
      <c r="K771" s="29"/>
      <c r="L771" s="29"/>
      <c r="M771" s="29"/>
      <c r="N771" s="29"/>
      <c r="O771" s="3"/>
      <c r="P771" s="3"/>
      <c r="Q771" s="3"/>
      <c r="R771" s="3"/>
      <c r="S771" s="3"/>
    </row>
    <row r="772" ht="15.75" customHeight="1">
      <c r="A772" s="3"/>
      <c r="B772" s="31"/>
      <c r="C772" s="31"/>
      <c r="D772" s="32"/>
      <c r="E772" s="32"/>
      <c r="F772" s="29"/>
      <c r="G772" s="29"/>
      <c r="H772" s="3"/>
      <c r="I772" s="29"/>
      <c r="J772" s="29"/>
      <c r="K772" s="29"/>
      <c r="L772" s="29"/>
      <c r="M772" s="29"/>
      <c r="N772" s="29"/>
      <c r="O772" s="3"/>
      <c r="P772" s="3"/>
      <c r="Q772" s="3"/>
      <c r="R772" s="3"/>
      <c r="S772" s="3"/>
    </row>
    <row r="773" ht="15.75" customHeight="1">
      <c r="A773" s="3"/>
      <c r="B773" s="31"/>
      <c r="C773" s="31"/>
      <c r="D773" s="32"/>
      <c r="E773" s="32"/>
      <c r="F773" s="29"/>
      <c r="G773" s="29"/>
      <c r="H773" s="3"/>
      <c r="I773" s="29"/>
      <c r="J773" s="29"/>
      <c r="K773" s="29"/>
      <c r="L773" s="29"/>
      <c r="M773" s="29"/>
      <c r="N773" s="29"/>
      <c r="O773" s="3"/>
      <c r="P773" s="3"/>
      <c r="Q773" s="3"/>
      <c r="R773" s="3"/>
      <c r="S773" s="3"/>
    </row>
    <row r="774" ht="15.75" customHeight="1">
      <c r="A774" s="3"/>
      <c r="B774" s="31"/>
      <c r="C774" s="31"/>
      <c r="D774" s="32"/>
      <c r="E774" s="32"/>
      <c r="F774" s="29"/>
      <c r="G774" s="29"/>
      <c r="H774" s="3"/>
      <c r="I774" s="29"/>
      <c r="J774" s="29"/>
      <c r="K774" s="29"/>
      <c r="L774" s="29"/>
      <c r="M774" s="29"/>
      <c r="N774" s="29"/>
      <c r="O774" s="3"/>
      <c r="P774" s="3"/>
      <c r="Q774" s="3"/>
      <c r="R774" s="3"/>
      <c r="S774" s="3"/>
    </row>
    <row r="775" ht="15.75" customHeight="1">
      <c r="A775" s="3"/>
      <c r="B775" s="31"/>
      <c r="C775" s="31"/>
      <c r="D775" s="32"/>
      <c r="E775" s="32"/>
      <c r="F775" s="29"/>
      <c r="G775" s="29"/>
      <c r="H775" s="3"/>
      <c r="I775" s="29"/>
      <c r="J775" s="29"/>
      <c r="K775" s="29"/>
      <c r="L775" s="29"/>
      <c r="M775" s="29"/>
      <c r="N775" s="29"/>
      <c r="O775" s="3"/>
      <c r="P775" s="3"/>
      <c r="Q775" s="3"/>
      <c r="R775" s="3"/>
      <c r="S775" s="3"/>
    </row>
    <row r="776" ht="15.75" customHeight="1">
      <c r="A776" s="3"/>
      <c r="B776" s="31"/>
      <c r="C776" s="31"/>
      <c r="D776" s="32"/>
      <c r="E776" s="32"/>
      <c r="F776" s="29"/>
      <c r="G776" s="29"/>
      <c r="H776" s="3"/>
      <c r="I776" s="29"/>
      <c r="J776" s="29"/>
      <c r="K776" s="29"/>
      <c r="L776" s="29"/>
      <c r="M776" s="29"/>
      <c r="N776" s="29"/>
      <c r="O776" s="3"/>
      <c r="P776" s="3"/>
      <c r="Q776" s="3"/>
      <c r="R776" s="3"/>
      <c r="S776" s="3"/>
    </row>
    <row r="777" ht="15.75" customHeight="1">
      <c r="A777" s="3"/>
      <c r="B777" s="31"/>
      <c r="C777" s="31"/>
      <c r="D777" s="32"/>
      <c r="E777" s="32"/>
      <c r="F777" s="29"/>
      <c r="G777" s="29"/>
      <c r="H777" s="3"/>
      <c r="I777" s="29"/>
      <c r="J777" s="29"/>
      <c r="K777" s="29"/>
      <c r="L777" s="29"/>
      <c r="M777" s="29"/>
      <c r="N777" s="29"/>
      <c r="O777" s="3"/>
      <c r="P777" s="3"/>
      <c r="Q777" s="3"/>
      <c r="R777" s="3"/>
      <c r="S777" s="3"/>
    </row>
    <row r="778" ht="15.75" customHeight="1">
      <c r="A778" s="3"/>
      <c r="B778" s="31"/>
      <c r="C778" s="31"/>
      <c r="D778" s="32"/>
      <c r="E778" s="32"/>
      <c r="F778" s="29"/>
      <c r="G778" s="29"/>
      <c r="H778" s="3"/>
      <c r="I778" s="29"/>
      <c r="J778" s="29"/>
      <c r="K778" s="29"/>
      <c r="L778" s="29"/>
      <c r="M778" s="29"/>
      <c r="N778" s="29"/>
      <c r="O778" s="3"/>
      <c r="P778" s="3"/>
      <c r="Q778" s="3"/>
      <c r="R778" s="3"/>
      <c r="S778" s="3"/>
    </row>
    <row r="779" ht="15.75" customHeight="1">
      <c r="A779" s="3"/>
      <c r="B779" s="31"/>
      <c r="C779" s="31"/>
      <c r="D779" s="32"/>
      <c r="E779" s="32"/>
      <c r="F779" s="29"/>
      <c r="G779" s="29"/>
      <c r="H779" s="3"/>
      <c r="I779" s="29"/>
      <c r="J779" s="29"/>
      <c r="K779" s="29"/>
      <c r="L779" s="29"/>
      <c r="M779" s="29"/>
      <c r="N779" s="29"/>
      <c r="O779" s="3"/>
      <c r="P779" s="3"/>
      <c r="Q779" s="3"/>
      <c r="R779" s="3"/>
      <c r="S779" s="3"/>
    </row>
    <row r="780" ht="15.75" customHeight="1">
      <c r="A780" s="3"/>
      <c r="B780" s="31"/>
      <c r="C780" s="31"/>
      <c r="D780" s="32"/>
      <c r="E780" s="32"/>
      <c r="F780" s="29"/>
      <c r="G780" s="29"/>
      <c r="H780" s="3"/>
      <c r="I780" s="29"/>
      <c r="J780" s="29"/>
      <c r="K780" s="29"/>
      <c r="L780" s="29"/>
      <c r="M780" s="29"/>
      <c r="N780" s="29"/>
      <c r="O780" s="3"/>
      <c r="P780" s="3"/>
      <c r="Q780" s="3"/>
      <c r="R780" s="3"/>
      <c r="S780" s="3"/>
    </row>
    <row r="781" ht="15.75" customHeight="1">
      <c r="A781" s="3"/>
      <c r="B781" s="31"/>
      <c r="C781" s="31"/>
      <c r="D781" s="32"/>
      <c r="E781" s="32"/>
      <c r="F781" s="29"/>
      <c r="G781" s="29"/>
      <c r="H781" s="3"/>
      <c r="I781" s="29"/>
      <c r="J781" s="29"/>
      <c r="K781" s="29"/>
      <c r="L781" s="29"/>
      <c r="M781" s="29"/>
      <c r="N781" s="29"/>
      <c r="O781" s="3"/>
      <c r="P781" s="3"/>
      <c r="Q781" s="3"/>
      <c r="R781" s="3"/>
      <c r="S781" s="3"/>
    </row>
    <row r="782" ht="15.75" customHeight="1">
      <c r="A782" s="3"/>
      <c r="B782" s="31"/>
      <c r="C782" s="31"/>
      <c r="D782" s="32"/>
      <c r="E782" s="32"/>
      <c r="F782" s="29"/>
      <c r="G782" s="29"/>
      <c r="H782" s="3"/>
      <c r="I782" s="29"/>
      <c r="J782" s="29"/>
      <c r="K782" s="29"/>
      <c r="L782" s="29"/>
      <c r="M782" s="29"/>
      <c r="N782" s="29"/>
      <c r="O782" s="3"/>
      <c r="P782" s="3"/>
      <c r="Q782" s="3"/>
      <c r="R782" s="3"/>
      <c r="S782" s="3"/>
    </row>
    <row r="783" ht="15.75" customHeight="1">
      <c r="A783" s="3"/>
      <c r="B783" s="31"/>
      <c r="C783" s="31"/>
      <c r="D783" s="32"/>
      <c r="E783" s="32"/>
      <c r="F783" s="29"/>
      <c r="G783" s="29"/>
      <c r="H783" s="3"/>
      <c r="I783" s="29"/>
      <c r="J783" s="29"/>
      <c r="K783" s="29"/>
      <c r="L783" s="29"/>
      <c r="M783" s="29"/>
      <c r="N783" s="29"/>
      <c r="O783" s="3"/>
      <c r="P783" s="3"/>
      <c r="Q783" s="3"/>
      <c r="R783" s="3"/>
      <c r="S783" s="3"/>
    </row>
    <row r="784" ht="15.75" customHeight="1">
      <c r="A784" s="3"/>
      <c r="B784" s="31"/>
      <c r="C784" s="31"/>
      <c r="D784" s="32"/>
      <c r="E784" s="32"/>
      <c r="F784" s="29"/>
      <c r="G784" s="29"/>
      <c r="H784" s="3"/>
      <c r="I784" s="29"/>
      <c r="J784" s="29"/>
      <c r="K784" s="29"/>
      <c r="L784" s="29"/>
      <c r="M784" s="29"/>
      <c r="N784" s="29"/>
      <c r="O784" s="3"/>
      <c r="P784" s="3"/>
      <c r="Q784" s="3"/>
      <c r="R784" s="3"/>
      <c r="S784" s="3"/>
    </row>
    <row r="785" ht="15.75" customHeight="1">
      <c r="A785" s="3"/>
      <c r="B785" s="31"/>
      <c r="C785" s="31"/>
      <c r="D785" s="32"/>
      <c r="E785" s="32"/>
      <c r="F785" s="29"/>
      <c r="G785" s="29"/>
      <c r="H785" s="3"/>
      <c r="I785" s="29"/>
      <c r="J785" s="29"/>
      <c r="K785" s="29"/>
      <c r="L785" s="29"/>
      <c r="M785" s="29"/>
      <c r="N785" s="29"/>
      <c r="O785" s="3"/>
      <c r="P785" s="3"/>
      <c r="Q785" s="3"/>
      <c r="R785" s="3"/>
      <c r="S785" s="3"/>
    </row>
    <row r="786" ht="15.75" customHeight="1">
      <c r="A786" s="3"/>
      <c r="B786" s="31"/>
      <c r="C786" s="31"/>
      <c r="D786" s="32"/>
      <c r="E786" s="32"/>
      <c r="F786" s="29"/>
      <c r="G786" s="29"/>
      <c r="H786" s="3"/>
      <c r="I786" s="29"/>
      <c r="J786" s="29"/>
      <c r="K786" s="29"/>
      <c r="L786" s="29"/>
      <c r="M786" s="29"/>
      <c r="N786" s="29"/>
      <c r="O786" s="3"/>
      <c r="P786" s="3"/>
      <c r="Q786" s="3"/>
      <c r="R786" s="3"/>
      <c r="S786" s="3"/>
    </row>
    <row r="787" ht="15.75" customHeight="1">
      <c r="A787" s="3"/>
      <c r="B787" s="31"/>
      <c r="C787" s="31"/>
      <c r="D787" s="32"/>
      <c r="E787" s="32"/>
      <c r="F787" s="29"/>
      <c r="G787" s="29"/>
      <c r="H787" s="3"/>
      <c r="I787" s="29"/>
      <c r="J787" s="29"/>
      <c r="K787" s="29"/>
      <c r="L787" s="29"/>
      <c r="M787" s="29"/>
      <c r="N787" s="29"/>
      <c r="O787" s="3"/>
      <c r="P787" s="3"/>
      <c r="Q787" s="3"/>
      <c r="R787" s="3"/>
      <c r="S787" s="3"/>
    </row>
    <row r="788" ht="15.75" customHeight="1">
      <c r="A788" s="3"/>
      <c r="B788" s="31"/>
      <c r="C788" s="31"/>
      <c r="D788" s="32"/>
      <c r="E788" s="32"/>
      <c r="F788" s="29"/>
      <c r="G788" s="29"/>
      <c r="H788" s="3"/>
      <c r="I788" s="29"/>
      <c r="J788" s="29"/>
      <c r="K788" s="29"/>
      <c r="L788" s="29"/>
      <c r="M788" s="29"/>
      <c r="N788" s="29"/>
      <c r="O788" s="3"/>
      <c r="P788" s="3"/>
      <c r="Q788" s="3"/>
      <c r="R788" s="3"/>
      <c r="S788" s="3"/>
    </row>
    <row r="789" ht="15.75" customHeight="1">
      <c r="A789" s="3"/>
      <c r="B789" s="31"/>
      <c r="C789" s="31"/>
      <c r="D789" s="32"/>
      <c r="E789" s="32"/>
      <c r="F789" s="29"/>
      <c r="G789" s="29"/>
      <c r="H789" s="3"/>
      <c r="I789" s="29"/>
      <c r="J789" s="29"/>
      <c r="K789" s="29"/>
      <c r="L789" s="29"/>
      <c r="M789" s="29"/>
      <c r="N789" s="29"/>
      <c r="O789" s="3"/>
      <c r="P789" s="3"/>
      <c r="Q789" s="3"/>
      <c r="R789" s="3"/>
      <c r="S789" s="3"/>
    </row>
    <row r="790" ht="15.75" customHeight="1">
      <c r="A790" s="3"/>
      <c r="B790" s="31"/>
      <c r="C790" s="31"/>
      <c r="D790" s="32"/>
      <c r="E790" s="32"/>
      <c r="F790" s="29"/>
      <c r="G790" s="29"/>
      <c r="H790" s="3"/>
      <c r="I790" s="29"/>
      <c r="J790" s="29"/>
      <c r="K790" s="29"/>
      <c r="L790" s="29"/>
      <c r="M790" s="29"/>
      <c r="N790" s="29"/>
      <c r="O790" s="3"/>
      <c r="P790" s="3"/>
      <c r="Q790" s="3"/>
      <c r="R790" s="3"/>
      <c r="S790" s="3"/>
    </row>
    <row r="791" ht="15.75" customHeight="1">
      <c r="A791" s="3"/>
      <c r="B791" s="31"/>
      <c r="C791" s="31"/>
      <c r="D791" s="32"/>
      <c r="E791" s="32"/>
      <c r="F791" s="29"/>
      <c r="G791" s="29"/>
      <c r="H791" s="3"/>
      <c r="I791" s="29"/>
      <c r="J791" s="29"/>
      <c r="K791" s="29"/>
      <c r="L791" s="29"/>
      <c r="M791" s="29"/>
      <c r="N791" s="29"/>
      <c r="O791" s="3"/>
      <c r="P791" s="3"/>
      <c r="Q791" s="3"/>
      <c r="R791" s="3"/>
      <c r="S791" s="3"/>
    </row>
    <row r="792" ht="15.75" customHeight="1">
      <c r="A792" s="3"/>
      <c r="B792" s="31"/>
      <c r="C792" s="31"/>
      <c r="D792" s="32"/>
      <c r="E792" s="32"/>
      <c r="F792" s="29"/>
      <c r="G792" s="29"/>
      <c r="H792" s="3"/>
      <c r="I792" s="29"/>
      <c r="J792" s="29"/>
      <c r="K792" s="29"/>
      <c r="L792" s="29"/>
      <c r="M792" s="29"/>
      <c r="N792" s="29"/>
      <c r="O792" s="3"/>
      <c r="P792" s="3"/>
      <c r="Q792" s="3"/>
      <c r="R792" s="3"/>
      <c r="S792" s="3"/>
    </row>
    <row r="793" ht="15.75" customHeight="1">
      <c r="A793" s="3"/>
      <c r="B793" s="31"/>
      <c r="C793" s="31"/>
      <c r="D793" s="32"/>
      <c r="E793" s="32"/>
      <c r="F793" s="29"/>
      <c r="G793" s="29"/>
      <c r="H793" s="3"/>
      <c r="I793" s="29"/>
      <c r="J793" s="29"/>
      <c r="K793" s="29"/>
      <c r="L793" s="29"/>
      <c r="M793" s="29"/>
      <c r="N793" s="29"/>
      <c r="O793" s="3"/>
      <c r="P793" s="3"/>
      <c r="Q793" s="3"/>
      <c r="R793" s="3"/>
      <c r="S793" s="3"/>
    </row>
    <row r="794" ht="15.75" customHeight="1">
      <c r="A794" s="3"/>
      <c r="B794" s="31"/>
      <c r="C794" s="31"/>
      <c r="D794" s="32"/>
      <c r="E794" s="32"/>
      <c r="F794" s="29"/>
      <c r="G794" s="29"/>
      <c r="H794" s="3"/>
      <c r="I794" s="29"/>
      <c r="J794" s="29"/>
      <c r="K794" s="29"/>
      <c r="L794" s="29"/>
      <c r="M794" s="29"/>
      <c r="N794" s="29"/>
      <c r="O794" s="3"/>
      <c r="P794" s="3"/>
      <c r="Q794" s="3"/>
      <c r="R794" s="3"/>
      <c r="S794" s="3"/>
    </row>
    <row r="795" ht="15.75" customHeight="1">
      <c r="A795" s="3"/>
      <c r="B795" s="31"/>
      <c r="C795" s="31"/>
      <c r="D795" s="32"/>
      <c r="E795" s="32"/>
      <c r="F795" s="29"/>
      <c r="G795" s="29"/>
      <c r="H795" s="3"/>
      <c r="I795" s="29"/>
      <c r="J795" s="29"/>
      <c r="K795" s="29"/>
      <c r="L795" s="29"/>
      <c r="M795" s="29"/>
      <c r="N795" s="29"/>
      <c r="O795" s="3"/>
      <c r="P795" s="3"/>
      <c r="Q795" s="3"/>
      <c r="R795" s="3"/>
      <c r="S795" s="3"/>
    </row>
    <row r="796" ht="15.75" customHeight="1">
      <c r="A796" s="3"/>
      <c r="B796" s="31"/>
      <c r="C796" s="31"/>
      <c r="D796" s="32"/>
      <c r="E796" s="32"/>
      <c r="F796" s="29"/>
      <c r="G796" s="29"/>
      <c r="H796" s="3"/>
      <c r="I796" s="29"/>
      <c r="J796" s="29"/>
      <c r="K796" s="29"/>
      <c r="L796" s="29"/>
      <c r="M796" s="29"/>
      <c r="N796" s="29"/>
      <c r="O796" s="3"/>
      <c r="P796" s="3"/>
      <c r="Q796" s="3"/>
      <c r="R796" s="3"/>
      <c r="S796" s="3"/>
    </row>
    <row r="797" ht="15.75" customHeight="1">
      <c r="A797" s="3"/>
      <c r="B797" s="31"/>
      <c r="C797" s="31"/>
      <c r="D797" s="32"/>
      <c r="E797" s="32"/>
      <c r="F797" s="29"/>
      <c r="G797" s="29"/>
      <c r="H797" s="3"/>
      <c r="I797" s="29"/>
      <c r="J797" s="29"/>
      <c r="K797" s="29"/>
      <c r="L797" s="29"/>
      <c r="M797" s="29"/>
      <c r="N797" s="29"/>
      <c r="O797" s="3"/>
      <c r="P797" s="3"/>
      <c r="Q797" s="3"/>
      <c r="R797" s="3"/>
      <c r="S797" s="3"/>
    </row>
    <row r="798" ht="15.75" customHeight="1">
      <c r="A798" s="3"/>
      <c r="B798" s="31"/>
      <c r="C798" s="31"/>
      <c r="D798" s="32"/>
      <c r="E798" s="32"/>
      <c r="F798" s="29"/>
      <c r="G798" s="29"/>
      <c r="H798" s="3"/>
      <c r="I798" s="29"/>
      <c r="J798" s="29"/>
      <c r="K798" s="29"/>
      <c r="L798" s="29"/>
      <c r="M798" s="29"/>
      <c r="N798" s="29"/>
      <c r="O798" s="3"/>
      <c r="P798" s="3"/>
      <c r="Q798" s="3"/>
      <c r="R798" s="3"/>
      <c r="S798" s="3"/>
    </row>
    <row r="799" ht="15.75" customHeight="1">
      <c r="A799" s="3"/>
      <c r="B799" s="31"/>
      <c r="C799" s="31"/>
      <c r="D799" s="32"/>
      <c r="E799" s="32"/>
      <c r="F799" s="29"/>
      <c r="G799" s="29"/>
      <c r="H799" s="3"/>
      <c r="I799" s="29"/>
      <c r="J799" s="29"/>
      <c r="K799" s="29"/>
      <c r="L799" s="29"/>
      <c r="M799" s="29"/>
      <c r="N799" s="29"/>
      <c r="O799" s="3"/>
      <c r="P799" s="3"/>
      <c r="Q799" s="3"/>
      <c r="R799" s="3"/>
      <c r="S799" s="3"/>
    </row>
    <row r="800" ht="15.75" customHeight="1">
      <c r="A800" s="3"/>
      <c r="B800" s="31"/>
      <c r="C800" s="31"/>
      <c r="D800" s="32"/>
      <c r="E800" s="32"/>
      <c r="F800" s="29"/>
      <c r="G800" s="29"/>
      <c r="H800" s="3"/>
      <c r="I800" s="29"/>
      <c r="J800" s="29"/>
      <c r="K800" s="29"/>
      <c r="L800" s="29"/>
      <c r="M800" s="29"/>
      <c r="N800" s="29"/>
      <c r="O800" s="3"/>
      <c r="P800" s="3"/>
      <c r="Q800" s="3"/>
      <c r="R800" s="3"/>
      <c r="S800" s="3"/>
    </row>
    <row r="801" ht="15.75" customHeight="1">
      <c r="A801" s="3"/>
      <c r="B801" s="31"/>
      <c r="C801" s="31"/>
      <c r="D801" s="32"/>
      <c r="E801" s="32"/>
      <c r="F801" s="29"/>
      <c r="G801" s="29"/>
      <c r="H801" s="3"/>
      <c r="I801" s="29"/>
      <c r="J801" s="29"/>
      <c r="K801" s="29"/>
      <c r="L801" s="29"/>
      <c r="M801" s="29"/>
      <c r="N801" s="29"/>
      <c r="O801" s="3"/>
      <c r="P801" s="3"/>
      <c r="Q801" s="3"/>
      <c r="R801" s="3"/>
      <c r="S801" s="3"/>
    </row>
    <row r="802" ht="15.75" customHeight="1">
      <c r="A802" s="3"/>
      <c r="B802" s="31"/>
      <c r="C802" s="31"/>
      <c r="D802" s="32"/>
      <c r="E802" s="32"/>
      <c r="F802" s="29"/>
      <c r="G802" s="29"/>
      <c r="H802" s="3"/>
      <c r="I802" s="29"/>
      <c r="J802" s="29"/>
      <c r="K802" s="29"/>
      <c r="L802" s="29"/>
      <c r="M802" s="29"/>
      <c r="N802" s="29"/>
      <c r="O802" s="3"/>
      <c r="P802" s="3"/>
      <c r="Q802" s="3"/>
      <c r="R802" s="3"/>
      <c r="S802" s="3"/>
    </row>
    <row r="803" ht="15.75" customHeight="1">
      <c r="A803" s="3"/>
      <c r="B803" s="31"/>
      <c r="C803" s="31"/>
      <c r="D803" s="32"/>
      <c r="E803" s="32"/>
      <c r="F803" s="29"/>
      <c r="G803" s="29"/>
      <c r="H803" s="3"/>
      <c r="I803" s="29"/>
      <c r="J803" s="29"/>
      <c r="K803" s="29"/>
      <c r="L803" s="29"/>
      <c r="M803" s="29"/>
      <c r="N803" s="29"/>
      <c r="O803" s="3"/>
      <c r="P803" s="3"/>
      <c r="Q803" s="3"/>
      <c r="R803" s="3"/>
      <c r="S803" s="3"/>
    </row>
    <row r="804" ht="15.75" customHeight="1">
      <c r="A804" s="3"/>
      <c r="B804" s="31"/>
      <c r="C804" s="31"/>
      <c r="D804" s="32"/>
      <c r="E804" s="32"/>
      <c r="F804" s="29"/>
      <c r="G804" s="29"/>
      <c r="H804" s="3"/>
      <c r="I804" s="29"/>
      <c r="J804" s="29"/>
      <c r="K804" s="29"/>
      <c r="L804" s="29"/>
      <c r="M804" s="29"/>
      <c r="N804" s="29"/>
      <c r="O804" s="3"/>
      <c r="P804" s="3"/>
      <c r="Q804" s="3"/>
      <c r="R804" s="3"/>
      <c r="S804" s="3"/>
    </row>
    <row r="805" ht="15.75" customHeight="1">
      <c r="A805" s="3"/>
      <c r="B805" s="31"/>
      <c r="C805" s="31"/>
      <c r="D805" s="32"/>
      <c r="E805" s="32"/>
      <c r="F805" s="29"/>
      <c r="G805" s="29"/>
      <c r="H805" s="3"/>
      <c r="I805" s="29"/>
      <c r="J805" s="29"/>
      <c r="K805" s="29"/>
      <c r="L805" s="29"/>
      <c r="M805" s="29"/>
      <c r="N805" s="29"/>
      <c r="O805" s="3"/>
      <c r="P805" s="3"/>
      <c r="Q805" s="3"/>
      <c r="R805" s="3"/>
      <c r="S805" s="3"/>
    </row>
    <row r="806" ht="15.75" customHeight="1">
      <c r="A806" s="3"/>
      <c r="B806" s="31"/>
      <c r="C806" s="31"/>
      <c r="D806" s="32"/>
      <c r="E806" s="32"/>
      <c r="F806" s="29"/>
      <c r="G806" s="29"/>
      <c r="H806" s="3"/>
      <c r="I806" s="29"/>
      <c r="J806" s="29"/>
      <c r="K806" s="29"/>
      <c r="L806" s="29"/>
      <c r="M806" s="29"/>
      <c r="N806" s="29"/>
      <c r="O806" s="3"/>
      <c r="P806" s="3"/>
      <c r="Q806" s="3"/>
      <c r="R806" s="3"/>
      <c r="S806" s="3"/>
    </row>
    <row r="807" ht="15.75" customHeight="1">
      <c r="A807" s="3"/>
      <c r="B807" s="31"/>
      <c r="C807" s="31"/>
      <c r="D807" s="32"/>
      <c r="E807" s="32"/>
      <c r="F807" s="29"/>
      <c r="G807" s="29"/>
      <c r="H807" s="3"/>
      <c r="I807" s="29"/>
      <c r="J807" s="29"/>
      <c r="K807" s="29"/>
      <c r="L807" s="29"/>
      <c r="M807" s="29"/>
      <c r="N807" s="29"/>
      <c r="O807" s="3"/>
      <c r="P807" s="3"/>
      <c r="Q807" s="3"/>
      <c r="R807" s="3"/>
      <c r="S807" s="3"/>
    </row>
    <row r="808" ht="15.75" customHeight="1">
      <c r="A808" s="3"/>
      <c r="B808" s="31"/>
      <c r="C808" s="31"/>
      <c r="D808" s="32"/>
      <c r="E808" s="32"/>
      <c r="F808" s="29"/>
      <c r="G808" s="29"/>
      <c r="H808" s="3"/>
      <c r="I808" s="29"/>
      <c r="J808" s="29"/>
      <c r="K808" s="29"/>
      <c r="L808" s="29"/>
      <c r="M808" s="29"/>
      <c r="N808" s="29"/>
      <c r="O808" s="3"/>
      <c r="P808" s="3"/>
      <c r="Q808" s="3"/>
      <c r="R808" s="3"/>
      <c r="S808" s="3"/>
    </row>
    <row r="809" ht="15.75" customHeight="1">
      <c r="A809" s="3"/>
      <c r="B809" s="31"/>
      <c r="C809" s="31"/>
      <c r="D809" s="32"/>
      <c r="E809" s="32"/>
      <c r="F809" s="29"/>
      <c r="G809" s="29"/>
      <c r="H809" s="3"/>
      <c r="I809" s="29"/>
      <c r="J809" s="29"/>
      <c r="K809" s="29"/>
      <c r="L809" s="29"/>
      <c r="M809" s="29"/>
      <c r="N809" s="29"/>
      <c r="O809" s="3"/>
      <c r="P809" s="3"/>
      <c r="Q809" s="3"/>
      <c r="R809" s="3"/>
      <c r="S809" s="3"/>
    </row>
    <row r="810" ht="15.75" customHeight="1">
      <c r="A810" s="3"/>
      <c r="B810" s="31"/>
      <c r="C810" s="31"/>
      <c r="D810" s="32"/>
      <c r="E810" s="32"/>
      <c r="F810" s="29"/>
      <c r="G810" s="29"/>
      <c r="H810" s="3"/>
      <c r="I810" s="29"/>
      <c r="J810" s="29"/>
      <c r="K810" s="29"/>
      <c r="L810" s="29"/>
      <c r="M810" s="29"/>
      <c r="N810" s="29"/>
      <c r="O810" s="3"/>
      <c r="P810" s="3"/>
      <c r="Q810" s="3"/>
      <c r="R810" s="3"/>
      <c r="S810" s="3"/>
    </row>
    <row r="811" ht="15.75" customHeight="1">
      <c r="A811" s="3"/>
      <c r="B811" s="31"/>
      <c r="C811" s="31"/>
      <c r="D811" s="32"/>
      <c r="E811" s="32"/>
      <c r="F811" s="29"/>
      <c r="G811" s="29"/>
      <c r="H811" s="3"/>
      <c r="I811" s="29"/>
      <c r="J811" s="29"/>
      <c r="K811" s="29"/>
      <c r="L811" s="29"/>
      <c r="M811" s="29"/>
      <c r="N811" s="29"/>
      <c r="O811" s="3"/>
      <c r="P811" s="3"/>
      <c r="Q811" s="3"/>
      <c r="R811" s="3"/>
      <c r="S811" s="3"/>
    </row>
    <row r="812" ht="15.75" customHeight="1">
      <c r="A812" s="3"/>
      <c r="B812" s="31"/>
      <c r="C812" s="31"/>
      <c r="D812" s="32"/>
      <c r="E812" s="32"/>
      <c r="F812" s="29"/>
      <c r="G812" s="29"/>
      <c r="H812" s="3"/>
      <c r="I812" s="29"/>
      <c r="J812" s="29"/>
      <c r="K812" s="29"/>
      <c r="L812" s="29"/>
      <c r="M812" s="29"/>
      <c r="N812" s="29"/>
      <c r="O812" s="3"/>
      <c r="P812" s="3"/>
      <c r="Q812" s="3"/>
      <c r="R812" s="3"/>
      <c r="S812" s="3"/>
    </row>
    <row r="813" ht="15.75" customHeight="1">
      <c r="A813" s="3"/>
      <c r="B813" s="31"/>
      <c r="C813" s="31"/>
      <c r="D813" s="32"/>
      <c r="E813" s="32"/>
      <c r="F813" s="29"/>
      <c r="G813" s="29"/>
      <c r="H813" s="3"/>
      <c r="I813" s="29"/>
      <c r="J813" s="29"/>
      <c r="K813" s="29"/>
      <c r="L813" s="29"/>
      <c r="M813" s="29"/>
      <c r="N813" s="29"/>
      <c r="O813" s="3"/>
      <c r="P813" s="3"/>
      <c r="Q813" s="3"/>
      <c r="R813" s="3"/>
      <c r="S813" s="3"/>
    </row>
    <row r="814" ht="15.75" customHeight="1">
      <c r="A814" s="3"/>
      <c r="B814" s="31"/>
      <c r="C814" s="31"/>
      <c r="D814" s="32"/>
      <c r="E814" s="32"/>
      <c r="F814" s="29"/>
      <c r="G814" s="29"/>
      <c r="H814" s="3"/>
      <c r="I814" s="29"/>
      <c r="J814" s="29"/>
      <c r="K814" s="29"/>
      <c r="L814" s="29"/>
      <c r="M814" s="29"/>
      <c r="N814" s="29"/>
      <c r="O814" s="3"/>
      <c r="P814" s="3"/>
      <c r="Q814" s="3"/>
      <c r="R814" s="3"/>
      <c r="S814" s="3"/>
    </row>
    <row r="815" ht="15.75" customHeight="1">
      <c r="A815" s="3"/>
      <c r="B815" s="31"/>
      <c r="C815" s="31"/>
      <c r="D815" s="32"/>
      <c r="E815" s="32"/>
      <c r="F815" s="29"/>
      <c r="G815" s="29"/>
      <c r="H815" s="3"/>
      <c r="I815" s="29"/>
      <c r="J815" s="29"/>
      <c r="K815" s="29"/>
      <c r="L815" s="29"/>
      <c r="M815" s="29"/>
      <c r="N815" s="29"/>
      <c r="O815" s="3"/>
      <c r="P815" s="3"/>
      <c r="Q815" s="3"/>
      <c r="R815" s="3"/>
      <c r="S815" s="3"/>
    </row>
    <row r="816" ht="15.75" customHeight="1">
      <c r="A816" s="3"/>
      <c r="B816" s="31"/>
      <c r="C816" s="31"/>
      <c r="D816" s="32"/>
      <c r="E816" s="32"/>
      <c r="F816" s="29"/>
      <c r="G816" s="29"/>
      <c r="H816" s="3"/>
      <c r="I816" s="29"/>
      <c r="J816" s="29"/>
      <c r="K816" s="29"/>
      <c r="L816" s="29"/>
      <c r="M816" s="29"/>
      <c r="N816" s="29"/>
      <c r="O816" s="3"/>
      <c r="P816" s="3"/>
      <c r="Q816" s="3"/>
      <c r="R816" s="3"/>
      <c r="S816" s="3"/>
    </row>
    <row r="817" ht="15.75" customHeight="1">
      <c r="A817" s="3"/>
      <c r="B817" s="31"/>
      <c r="C817" s="31"/>
      <c r="D817" s="32"/>
      <c r="E817" s="32"/>
      <c r="F817" s="29"/>
      <c r="G817" s="29"/>
      <c r="H817" s="3"/>
      <c r="I817" s="29"/>
      <c r="J817" s="29"/>
      <c r="K817" s="29"/>
      <c r="L817" s="29"/>
      <c r="M817" s="29"/>
      <c r="N817" s="29"/>
      <c r="O817" s="3"/>
      <c r="P817" s="3"/>
      <c r="Q817" s="3"/>
      <c r="R817" s="3"/>
      <c r="S817" s="3"/>
    </row>
    <row r="818" ht="15.75" customHeight="1">
      <c r="A818" s="3"/>
      <c r="B818" s="31"/>
      <c r="C818" s="31"/>
      <c r="D818" s="32"/>
      <c r="E818" s="32"/>
      <c r="F818" s="29"/>
      <c r="G818" s="29"/>
      <c r="H818" s="3"/>
      <c r="I818" s="29"/>
      <c r="J818" s="29"/>
      <c r="K818" s="29"/>
      <c r="L818" s="29"/>
      <c r="M818" s="29"/>
      <c r="N818" s="29"/>
      <c r="O818" s="3"/>
      <c r="P818" s="3"/>
      <c r="Q818" s="3"/>
      <c r="R818" s="3"/>
      <c r="S818" s="3"/>
    </row>
    <row r="819" ht="15.75" customHeight="1">
      <c r="A819" s="3"/>
      <c r="B819" s="31"/>
      <c r="C819" s="31"/>
      <c r="D819" s="32"/>
      <c r="E819" s="32"/>
      <c r="F819" s="29"/>
      <c r="G819" s="29"/>
      <c r="H819" s="3"/>
      <c r="I819" s="29"/>
      <c r="J819" s="29"/>
      <c r="K819" s="29"/>
      <c r="L819" s="29"/>
      <c r="M819" s="29"/>
      <c r="N819" s="29"/>
      <c r="O819" s="3"/>
      <c r="P819" s="3"/>
      <c r="Q819" s="3"/>
      <c r="R819" s="3"/>
      <c r="S819" s="3"/>
    </row>
    <row r="820" ht="15.75" customHeight="1">
      <c r="A820" s="3"/>
      <c r="B820" s="31"/>
      <c r="C820" s="31"/>
      <c r="D820" s="32"/>
      <c r="E820" s="32"/>
      <c r="F820" s="29"/>
      <c r="G820" s="29"/>
      <c r="H820" s="3"/>
      <c r="I820" s="29"/>
      <c r="J820" s="29"/>
      <c r="K820" s="29"/>
      <c r="L820" s="29"/>
      <c r="M820" s="29"/>
      <c r="N820" s="29"/>
      <c r="O820" s="3"/>
      <c r="P820" s="3"/>
      <c r="Q820" s="3"/>
      <c r="R820" s="3"/>
      <c r="S820" s="3"/>
    </row>
    <row r="821" ht="15.75" customHeight="1">
      <c r="A821" s="3"/>
      <c r="B821" s="31"/>
      <c r="C821" s="31"/>
      <c r="D821" s="32"/>
      <c r="E821" s="32"/>
      <c r="F821" s="29"/>
      <c r="G821" s="29"/>
      <c r="H821" s="3"/>
      <c r="I821" s="29"/>
      <c r="J821" s="29"/>
      <c r="K821" s="29"/>
      <c r="L821" s="29"/>
      <c r="M821" s="29"/>
      <c r="N821" s="29"/>
      <c r="O821" s="3"/>
      <c r="P821" s="3"/>
      <c r="Q821" s="3"/>
      <c r="R821" s="3"/>
      <c r="S821" s="3"/>
    </row>
    <row r="822" ht="15.75" customHeight="1">
      <c r="A822" s="3"/>
      <c r="B822" s="31"/>
      <c r="C822" s="31"/>
      <c r="D822" s="32"/>
      <c r="E822" s="32"/>
      <c r="F822" s="29"/>
      <c r="G822" s="29"/>
      <c r="H822" s="3"/>
      <c r="I822" s="29"/>
      <c r="J822" s="29"/>
      <c r="K822" s="29"/>
      <c r="L822" s="29"/>
      <c r="M822" s="29"/>
      <c r="N822" s="29"/>
      <c r="O822" s="3"/>
      <c r="P822" s="3"/>
      <c r="Q822" s="3"/>
      <c r="R822" s="3"/>
      <c r="S822" s="3"/>
    </row>
    <row r="823" ht="15.75" customHeight="1">
      <c r="A823" s="3"/>
      <c r="B823" s="31"/>
      <c r="C823" s="31"/>
      <c r="D823" s="32"/>
      <c r="E823" s="32"/>
      <c r="F823" s="29"/>
      <c r="G823" s="29"/>
      <c r="H823" s="3"/>
      <c r="I823" s="29"/>
      <c r="J823" s="29"/>
      <c r="K823" s="29"/>
      <c r="L823" s="29"/>
      <c r="M823" s="29"/>
      <c r="N823" s="29"/>
      <c r="O823" s="3"/>
      <c r="P823" s="3"/>
      <c r="Q823" s="3"/>
      <c r="R823" s="3"/>
      <c r="S823" s="3"/>
    </row>
    <row r="824" ht="15.75" customHeight="1">
      <c r="A824" s="3"/>
      <c r="B824" s="31"/>
      <c r="C824" s="31"/>
      <c r="D824" s="32"/>
      <c r="E824" s="32"/>
      <c r="F824" s="29"/>
      <c r="G824" s="29"/>
      <c r="H824" s="3"/>
      <c r="I824" s="29"/>
      <c r="J824" s="29"/>
      <c r="K824" s="29"/>
      <c r="L824" s="29"/>
      <c r="M824" s="29"/>
      <c r="N824" s="29"/>
      <c r="O824" s="3"/>
      <c r="P824" s="3"/>
      <c r="Q824" s="3"/>
      <c r="R824" s="3"/>
      <c r="S824" s="3"/>
    </row>
    <row r="825" ht="15.75" customHeight="1">
      <c r="A825" s="3"/>
      <c r="B825" s="31"/>
      <c r="C825" s="31"/>
      <c r="D825" s="32"/>
      <c r="E825" s="32"/>
      <c r="F825" s="29"/>
      <c r="G825" s="29"/>
      <c r="H825" s="3"/>
      <c r="I825" s="29"/>
      <c r="J825" s="29"/>
      <c r="K825" s="29"/>
      <c r="L825" s="29"/>
      <c r="M825" s="29"/>
      <c r="N825" s="29"/>
      <c r="O825" s="3"/>
      <c r="P825" s="3"/>
      <c r="Q825" s="3"/>
      <c r="R825" s="3"/>
      <c r="S825" s="3"/>
    </row>
    <row r="826" ht="15.75" customHeight="1">
      <c r="A826" s="3"/>
      <c r="B826" s="31"/>
      <c r="C826" s="31"/>
      <c r="D826" s="32"/>
      <c r="E826" s="32"/>
      <c r="F826" s="29"/>
      <c r="G826" s="29"/>
      <c r="H826" s="3"/>
      <c r="I826" s="29"/>
      <c r="J826" s="29"/>
      <c r="K826" s="29"/>
      <c r="L826" s="29"/>
      <c r="M826" s="29"/>
      <c r="N826" s="29"/>
      <c r="O826" s="3"/>
      <c r="P826" s="3"/>
      <c r="Q826" s="3"/>
      <c r="R826" s="3"/>
      <c r="S826" s="3"/>
    </row>
    <row r="827" ht="15.75" customHeight="1">
      <c r="A827" s="3"/>
      <c r="B827" s="31"/>
      <c r="C827" s="31"/>
      <c r="D827" s="32"/>
      <c r="E827" s="32"/>
      <c r="F827" s="29"/>
      <c r="G827" s="29"/>
      <c r="H827" s="3"/>
      <c r="I827" s="29"/>
      <c r="J827" s="29"/>
      <c r="K827" s="29"/>
      <c r="L827" s="29"/>
      <c r="M827" s="29"/>
      <c r="N827" s="29"/>
      <c r="O827" s="3"/>
      <c r="P827" s="3"/>
      <c r="Q827" s="3"/>
      <c r="R827" s="3"/>
      <c r="S827" s="3"/>
    </row>
    <row r="828" ht="15.75" customHeight="1">
      <c r="A828" s="3"/>
      <c r="B828" s="31"/>
      <c r="C828" s="31"/>
      <c r="D828" s="32"/>
      <c r="E828" s="32"/>
      <c r="F828" s="29"/>
      <c r="G828" s="29"/>
      <c r="H828" s="3"/>
      <c r="I828" s="29"/>
      <c r="J828" s="29"/>
      <c r="K828" s="29"/>
      <c r="L828" s="29"/>
      <c r="M828" s="29"/>
      <c r="N828" s="29"/>
      <c r="O828" s="3"/>
      <c r="P828" s="3"/>
      <c r="Q828" s="3"/>
      <c r="R828" s="3"/>
      <c r="S828" s="3"/>
    </row>
    <row r="829" ht="15.75" customHeight="1">
      <c r="A829" s="3"/>
      <c r="B829" s="31"/>
      <c r="C829" s="31"/>
      <c r="D829" s="32"/>
      <c r="E829" s="32"/>
      <c r="F829" s="29"/>
      <c r="G829" s="29"/>
      <c r="H829" s="3"/>
      <c r="I829" s="29"/>
      <c r="J829" s="29"/>
      <c r="K829" s="29"/>
      <c r="L829" s="29"/>
      <c r="M829" s="29"/>
      <c r="N829" s="29"/>
      <c r="O829" s="3"/>
      <c r="P829" s="3"/>
      <c r="Q829" s="3"/>
      <c r="R829" s="3"/>
      <c r="S829" s="3"/>
    </row>
    <row r="830" ht="15.75" customHeight="1">
      <c r="A830" s="3"/>
      <c r="B830" s="31"/>
      <c r="C830" s="31"/>
      <c r="D830" s="32"/>
      <c r="E830" s="32"/>
      <c r="F830" s="29"/>
      <c r="G830" s="29"/>
      <c r="H830" s="3"/>
      <c r="I830" s="29"/>
      <c r="J830" s="29"/>
      <c r="K830" s="29"/>
      <c r="L830" s="29"/>
      <c r="M830" s="29"/>
      <c r="N830" s="29"/>
      <c r="O830" s="3"/>
      <c r="P830" s="3"/>
      <c r="Q830" s="3"/>
      <c r="R830" s="3"/>
      <c r="S830" s="3"/>
    </row>
    <row r="831" ht="15.75" customHeight="1">
      <c r="A831" s="3"/>
      <c r="B831" s="31"/>
      <c r="C831" s="31"/>
      <c r="D831" s="32"/>
      <c r="E831" s="32"/>
      <c r="F831" s="29"/>
      <c r="G831" s="29"/>
      <c r="H831" s="3"/>
      <c r="I831" s="29"/>
      <c r="J831" s="29"/>
      <c r="K831" s="29"/>
      <c r="L831" s="29"/>
      <c r="M831" s="29"/>
      <c r="N831" s="29"/>
      <c r="O831" s="3"/>
      <c r="P831" s="3"/>
      <c r="Q831" s="3"/>
      <c r="R831" s="3"/>
      <c r="S831" s="3"/>
    </row>
    <row r="832" ht="15.75" customHeight="1">
      <c r="A832" s="3"/>
      <c r="B832" s="31"/>
      <c r="C832" s="31"/>
      <c r="D832" s="32"/>
      <c r="E832" s="32"/>
      <c r="F832" s="29"/>
      <c r="G832" s="29"/>
      <c r="H832" s="3"/>
      <c r="I832" s="29"/>
      <c r="J832" s="29"/>
      <c r="K832" s="29"/>
      <c r="L832" s="29"/>
      <c r="M832" s="29"/>
      <c r="N832" s="29"/>
      <c r="O832" s="3"/>
      <c r="P832" s="3"/>
      <c r="Q832" s="3"/>
      <c r="R832" s="3"/>
      <c r="S832" s="3"/>
    </row>
    <row r="833" ht="15.75" customHeight="1">
      <c r="A833" s="3"/>
      <c r="B833" s="31"/>
      <c r="C833" s="31"/>
      <c r="D833" s="32"/>
      <c r="E833" s="32"/>
      <c r="F833" s="29"/>
      <c r="G833" s="29"/>
      <c r="H833" s="3"/>
      <c r="I833" s="29"/>
      <c r="J833" s="29"/>
      <c r="K833" s="29"/>
      <c r="L833" s="29"/>
      <c r="M833" s="29"/>
      <c r="N833" s="29"/>
      <c r="O833" s="3"/>
      <c r="P833" s="3"/>
      <c r="Q833" s="3"/>
      <c r="R833" s="3"/>
      <c r="S833" s="3"/>
    </row>
    <row r="834" ht="15.75" customHeight="1">
      <c r="A834" s="3"/>
      <c r="B834" s="31"/>
      <c r="C834" s="31"/>
      <c r="D834" s="32"/>
      <c r="E834" s="32"/>
      <c r="F834" s="29"/>
      <c r="G834" s="29"/>
      <c r="H834" s="3"/>
      <c r="I834" s="29"/>
      <c r="J834" s="29"/>
      <c r="K834" s="29"/>
      <c r="L834" s="29"/>
      <c r="M834" s="29"/>
      <c r="N834" s="29"/>
      <c r="O834" s="3"/>
      <c r="P834" s="3"/>
      <c r="Q834" s="3"/>
      <c r="R834" s="3"/>
      <c r="S834" s="3"/>
    </row>
    <row r="835" ht="15.75" customHeight="1">
      <c r="A835" s="3"/>
      <c r="B835" s="31"/>
      <c r="C835" s="31"/>
      <c r="D835" s="32"/>
      <c r="E835" s="32"/>
      <c r="F835" s="29"/>
      <c r="G835" s="29"/>
      <c r="H835" s="3"/>
      <c r="I835" s="29"/>
      <c r="J835" s="29"/>
      <c r="K835" s="29"/>
      <c r="L835" s="29"/>
      <c r="M835" s="29"/>
      <c r="N835" s="29"/>
      <c r="O835" s="3"/>
      <c r="P835" s="3"/>
      <c r="Q835" s="3"/>
      <c r="R835" s="3"/>
      <c r="S835" s="3"/>
    </row>
    <row r="836" ht="15.75" customHeight="1">
      <c r="A836" s="3"/>
      <c r="B836" s="31"/>
      <c r="C836" s="31"/>
      <c r="D836" s="32"/>
      <c r="E836" s="32"/>
      <c r="F836" s="29"/>
      <c r="G836" s="29"/>
      <c r="H836" s="3"/>
      <c r="I836" s="29"/>
      <c r="J836" s="29"/>
      <c r="K836" s="29"/>
      <c r="L836" s="29"/>
      <c r="M836" s="29"/>
      <c r="N836" s="29"/>
      <c r="O836" s="3"/>
      <c r="P836" s="3"/>
      <c r="Q836" s="3"/>
      <c r="R836" s="3"/>
      <c r="S836" s="3"/>
    </row>
    <row r="837" ht="15.75" customHeight="1">
      <c r="A837" s="3"/>
      <c r="B837" s="31"/>
      <c r="C837" s="31"/>
      <c r="D837" s="32"/>
      <c r="E837" s="32"/>
      <c r="F837" s="29"/>
      <c r="G837" s="29"/>
      <c r="H837" s="3"/>
      <c r="I837" s="29"/>
      <c r="J837" s="29"/>
      <c r="K837" s="29"/>
      <c r="L837" s="29"/>
      <c r="M837" s="29"/>
      <c r="N837" s="29"/>
      <c r="O837" s="3"/>
      <c r="P837" s="3"/>
      <c r="Q837" s="3"/>
      <c r="R837" s="3"/>
      <c r="S837" s="3"/>
    </row>
    <row r="838" ht="15.75" customHeight="1">
      <c r="A838" s="3"/>
      <c r="B838" s="31"/>
      <c r="C838" s="31"/>
      <c r="D838" s="32"/>
      <c r="E838" s="32"/>
      <c r="F838" s="29"/>
      <c r="G838" s="29"/>
      <c r="H838" s="3"/>
      <c r="I838" s="29"/>
      <c r="J838" s="29"/>
      <c r="K838" s="29"/>
      <c r="L838" s="29"/>
      <c r="M838" s="29"/>
      <c r="N838" s="29"/>
      <c r="O838" s="3"/>
      <c r="P838" s="3"/>
      <c r="Q838" s="3"/>
      <c r="R838" s="3"/>
      <c r="S838" s="3"/>
    </row>
    <row r="839" ht="15.75" customHeight="1">
      <c r="A839" s="3"/>
      <c r="B839" s="31"/>
      <c r="C839" s="31"/>
      <c r="D839" s="32"/>
      <c r="E839" s="32"/>
      <c r="F839" s="29"/>
      <c r="G839" s="29"/>
      <c r="H839" s="3"/>
      <c r="I839" s="29"/>
      <c r="J839" s="29"/>
      <c r="K839" s="29"/>
      <c r="L839" s="29"/>
      <c r="M839" s="29"/>
      <c r="N839" s="29"/>
      <c r="O839" s="3"/>
      <c r="P839" s="3"/>
      <c r="Q839" s="3"/>
      <c r="R839" s="3"/>
      <c r="S839" s="3"/>
    </row>
    <row r="840" ht="15.75" customHeight="1">
      <c r="A840" s="3"/>
      <c r="B840" s="31"/>
      <c r="C840" s="31"/>
      <c r="D840" s="32"/>
      <c r="E840" s="32"/>
      <c r="F840" s="29"/>
      <c r="G840" s="29"/>
      <c r="H840" s="3"/>
      <c r="I840" s="29"/>
      <c r="J840" s="29"/>
      <c r="K840" s="29"/>
      <c r="L840" s="29"/>
      <c r="M840" s="29"/>
      <c r="N840" s="29"/>
      <c r="O840" s="3"/>
      <c r="P840" s="3"/>
      <c r="Q840" s="3"/>
      <c r="R840" s="3"/>
      <c r="S840" s="3"/>
    </row>
    <row r="841" ht="15.75" customHeight="1">
      <c r="A841" s="3"/>
      <c r="B841" s="31"/>
      <c r="C841" s="31"/>
      <c r="D841" s="32"/>
      <c r="E841" s="32"/>
      <c r="F841" s="29"/>
      <c r="G841" s="29"/>
      <c r="H841" s="3"/>
      <c r="I841" s="29"/>
      <c r="J841" s="29"/>
      <c r="K841" s="29"/>
      <c r="L841" s="29"/>
      <c r="M841" s="29"/>
      <c r="N841" s="29"/>
      <c r="O841" s="3"/>
      <c r="P841" s="3"/>
      <c r="Q841" s="3"/>
      <c r="R841" s="3"/>
      <c r="S841" s="3"/>
    </row>
    <row r="842" ht="15.75" customHeight="1">
      <c r="A842" s="3"/>
      <c r="B842" s="31"/>
      <c r="C842" s="31"/>
      <c r="D842" s="32"/>
      <c r="E842" s="32"/>
      <c r="F842" s="29"/>
      <c r="G842" s="29"/>
      <c r="H842" s="3"/>
      <c r="I842" s="29"/>
      <c r="J842" s="29"/>
      <c r="K842" s="29"/>
      <c r="L842" s="29"/>
      <c r="M842" s="29"/>
      <c r="N842" s="29"/>
      <c r="O842" s="3"/>
      <c r="P842" s="3"/>
      <c r="Q842" s="3"/>
      <c r="R842" s="3"/>
      <c r="S842" s="3"/>
    </row>
    <row r="843" ht="15.75" customHeight="1">
      <c r="A843" s="3"/>
      <c r="B843" s="31"/>
      <c r="C843" s="31"/>
      <c r="D843" s="32"/>
      <c r="E843" s="32"/>
      <c r="F843" s="29"/>
      <c r="G843" s="29"/>
      <c r="H843" s="3"/>
      <c r="I843" s="29"/>
      <c r="J843" s="29"/>
      <c r="K843" s="29"/>
      <c r="L843" s="29"/>
      <c r="M843" s="29"/>
      <c r="N843" s="29"/>
      <c r="O843" s="3"/>
      <c r="P843" s="3"/>
      <c r="Q843" s="3"/>
      <c r="R843" s="3"/>
      <c r="S843" s="3"/>
    </row>
    <row r="844" ht="15.75" customHeight="1">
      <c r="A844" s="3"/>
      <c r="B844" s="31"/>
      <c r="C844" s="31"/>
      <c r="D844" s="32"/>
      <c r="E844" s="32"/>
      <c r="F844" s="29"/>
      <c r="G844" s="29"/>
      <c r="H844" s="3"/>
      <c r="I844" s="29"/>
      <c r="J844" s="29"/>
      <c r="K844" s="29"/>
      <c r="L844" s="29"/>
      <c r="M844" s="29"/>
      <c r="N844" s="29"/>
      <c r="O844" s="3"/>
      <c r="P844" s="3"/>
      <c r="Q844" s="3"/>
      <c r="R844" s="3"/>
      <c r="S844" s="3"/>
    </row>
    <row r="845" ht="15.75" customHeight="1">
      <c r="A845" s="3"/>
      <c r="B845" s="31"/>
      <c r="C845" s="31"/>
      <c r="D845" s="32"/>
      <c r="E845" s="32"/>
      <c r="F845" s="29"/>
      <c r="G845" s="29"/>
      <c r="H845" s="3"/>
      <c r="I845" s="29"/>
      <c r="J845" s="29"/>
      <c r="K845" s="29"/>
      <c r="L845" s="29"/>
      <c r="M845" s="29"/>
      <c r="N845" s="29"/>
      <c r="O845" s="3"/>
      <c r="P845" s="3"/>
      <c r="Q845" s="3"/>
      <c r="R845" s="3"/>
      <c r="S845" s="3"/>
    </row>
    <row r="846" ht="15.75" customHeight="1">
      <c r="A846" s="3"/>
      <c r="B846" s="31"/>
      <c r="C846" s="31"/>
      <c r="D846" s="32"/>
      <c r="E846" s="32"/>
      <c r="F846" s="29"/>
      <c r="G846" s="29"/>
      <c r="H846" s="3"/>
      <c r="I846" s="29"/>
      <c r="J846" s="29"/>
      <c r="K846" s="29"/>
      <c r="L846" s="29"/>
      <c r="M846" s="29"/>
      <c r="N846" s="29"/>
      <c r="O846" s="3"/>
      <c r="P846" s="3"/>
      <c r="Q846" s="3"/>
      <c r="R846" s="3"/>
      <c r="S846" s="3"/>
    </row>
    <row r="847" ht="15.75" customHeight="1">
      <c r="A847" s="3"/>
      <c r="B847" s="31"/>
      <c r="C847" s="31"/>
      <c r="D847" s="32"/>
      <c r="E847" s="32"/>
      <c r="F847" s="29"/>
      <c r="G847" s="29"/>
      <c r="H847" s="3"/>
      <c r="I847" s="29"/>
      <c r="J847" s="29"/>
      <c r="K847" s="29"/>
      <c r="L847" s="29"/>
      <c r="M847" s="29"/>
      <c r="N847" s="29"/>
      <c r="O847" s="3"/>
      <c r="P847" s="3"/>
      <c r="Q847" s="3"/>
      <c r="R847" s="3"/>
      <c r="S847" s="3"/>
    </row>
    <row r="848" ht="15.75" customHeight="1">
      <c r="A848" s="3"/>
      <c r="B848" s="31"/>
      <c r="C848" s="31"/>
      <c r="D848" s="32"/>
      <c r="E848" s="32"/>
      <c r="F848" s="29"/>
      <c r="G848" s="29"/>
      <c r="H848" s="3"/>
      <c r="I848" s="29"/>
      <c r="J848" s="29"/>
      <c r="K848" s="29"/>
      <c r="L848" s="29"/>
      <c r="M848" s="29"/>
      <c r="N848" s="29"/>
      <c r="O848" s="3"/>
      <c r="P848" s="3"/>
      <c r="Q848" s="3"/>
      <c r="R848" s="3"/>
      <c r="S848" s="3"/>
    </row>
    <row r="849" ht="15.75" customHeight="1">
      <c r="A849" s="3"/>
      <c r="B849" s="31"/>
      <c r="C849" s="31"/>
      <c r="D849" s="32"/>
      <c r="E849" s="32"/>
      <c r="F849" s="29"/>
      <c r="G849" s="29"/>
      <c r="H849" s="3"/>
      <c r="I849" s="29"/>
      <c r="J849" s="29"/>
      <c r="K849" s="29"/>
      <c r="L849" s="29"/>
      <c r="M849" s="29"/>
      <c r="N849" s="29"/>
      <c r="O849" s="3"/>
      <c r="P849" s="3"/>
      <c r="Q849" s="3"/>
      <c r="R849" s="3"/>
      <c r="S849" s="3"/>
    </row>
    <row r="850" ht="15.75" customHeight="1">
      <c r="A850" s="3"/>
      <c r="B850" s="31"/>
      <c r="C850" s="31"/>
      <c r="D850" s="32"/>
      <c r="E850" s="32"/>
      <c r="F850" s="29"/>
      <c r="G850" s="29"/>
      <c r="H850" s="3"/>
      <c r="I850" s="29"/>
      <c r="J850" s="29"/>
      <c r="K850" s="29"/>
      <c r="L850" s="29"/>
      <c r="M850" s="29"/>
      <c r="N850" s="29"/>
      <c r="O850" s="3"/>
      <c r="P850" s="3"/>
      <c r="Q850" s="3"/>
      <c r="R850" s="3"/>
      <c r="S850" s="3"/>
    </row>
    <row r="851" ht="15.75" customHeight="1">
      <c r="A851" s="3"/>
      <c r="B851" s="31"/>
      <c r="C851" s="31"/>
      <c r="D851" s="32"/>
      <c r="E851" s="32"/>
      <c r="F851" s="29"/>
      <c r="G851" s="29"/>
      <c r="H851" s="3"/>
      <c r="I851" s="29"/>
      <c r="J851" s="29"/>
      <c r="K851" s="29"/>
      <c r="L851" s="29"/>
      <c r="M851" s="29"/>
      <c r="N851" s="29"/>
      <c r="O851" s="3"/>
      <c r="P851" s="3"/>
      <c r="Q851" s="3"/>
      <c r="R851" s="3"/>
      <c r="S851" s="3"/>
    </row>
    <row r="852" ht="15.75" customHeight="1">
      <c r="A852" s="3"/>
      <c r="B852" s="31"/>
      <c r="C852" s="31"/>
      <c r="D852" s="32"/>
      <c r="E852" s="32"/>
      <c r="F852" s="29"/>
      <c r="G852" s="29"/>
      <c r="H852" s="3"/>
      <c r="I852" s="29"/>
      <c r="J852" s="29"/>
      <c r="K852" s="29"/>
      <c r="L852" s="29"/>
      <c r="M852" s="29"/>
      <c r="N852" s="29"/>
      <c r="O852" s="3"/>
      <c r="P852" s="3"/>
      <c r="Q852" s="3"/>
      <c r="R852" s="3"/>
      <c r="S852" s="3"/>
    </row>
    <row r="853" ht="15.75" customHeight="1">
      <c r="A853" s="3"/>
      <c r="B853" s="31"/>
      <c r="C853" s="31"/>
      <c r="D853" s="32"/>
      <c r="E853" s="32"/>
      <c r="F853" s="29"/>
      <c r="G853" s="29"/>
      <c r="H853" s="3"/>
      <c r="I853" s="29"/>
      <c r="J853" s="29"/>
      <c r="K853" s="29"/>
      <c r="L853" s="29"/>
      <c r="M853" s="29"/>
      <c r="N853" s="29"/>
      <c r="O853" s="3"/>
      <c r="P853" s="3"/>
      <c r="Q853" s="3"/>
      <c r="R853" s="3"/>
      <c r="S853" s="3"/>
    </row>
    <row r="854" ht="15.75" customHeight="1">
      <c r="A854" s="3"/>
      <c r="B854" s="31"/>
      <c r="C854" s="31"/>
      <c r="D854" s="32"/>
      <c r="E854" s="32"/>
      <c r="F854" s="29"/>
      <c r="G854" s="29"/>
      <c r="H854" s="3"/>
      <c r="I854" s="29"/>
      <c r="J854" s="29"/>
      <c r="K854" s="29"/>
      <c r="L854" s="29"/>
      <c r="M854" s="29"/>
      <c r="N854" s="29"/>
      <c r="O854" s="3"/>
      <c r="P854" s="3"/>
      <c r="Q854" s="3"/>
      <c r="R854" s="3"/>
      <c r="S854" s="3"/>
    </row>
    <row r="855" ht="15.75" customHeight="1">
      <c r="A855" s="3"/>
      <c r="B855" s="31"/>
      <c r="C855" s="31"/>
      <c r="D855" s="32"/>
      <c r="E855" s="32"/>
      <c r="F855" s="29"/>
      <c r="G855" s="29"/>
      <c r="H855" s="3"/>
      <c r="I855" s="29"/>
      <c r="J855" s="29"/>
      <c r="K855" s="29"/>
      <c r="L855" s="29"/>
      <c r="M855" s="29"/>
      <c r="N855" s="29"/>
      <c r="O855" s="3"/>
      <c r="P855" s="3"/>
      <c r="Q855" s="3"/>
      <c r="R855" s="3"/>
      <c r="S855" s="3"/>
    </row>
    <row r="856" ht="15.75" customHeight="1">
      <c r="A856" s="3"/>
      <c r="B856" s="31"/>
      <c r="C856" s="31"/>
      <c r="D856" s="32"/>
      <c r="E856" s="32"/>
      <c r="F856" s="29"/>
      <c r="G856" s="29"/>
      <c r="H856" s="3"/>
      <c r="I856" s="29"/>
      <c r="J856" s="29"/>
      <c r="K856" s="29"/>
      <c r="L856" s="29"/>
      <c r="M856" s="29"/>
      <c r="N856" s="29"/>
      <c r="O856" s="3"/>
      <c r="P856" s="3"/>
      <c r="Q856" s="3"/>
      <c r="R856" s="3"/>
      <c r="S856" s="3"/>
    </row>
    <row r="857" ht="15.75" customHeight="1">
      <c r="A857" s="3"/>
      <c r="B857" s="31"/>
      <c r="C857" s="31"/>
      <c r="D857" s="32"/>
      <c r="E857" s="32"/>
      <c r="F857" s="29"/>
      <c r="G857" s="29"/>
      <c r="H857" s="3"/>
      <c r="I857" s="29"/>
      <c r="J857" s="29"/>
      <c r="K857" s="29"/>
      <c r="L857" s="29"/>
      <c r="M857" s="29"/>
      <c r="N857" s="29"/>
      <c r="O857" s="3"/>
      <c r="P857" s="3"/>
      <c r="Q857" s="3"/>
      <c r="R857" s="3"/>
      <c r="S857" s="3"/>
    </row>
    <row r="858" ht="15.75" customHeight="1">
      <c r="A858" s="3"/>
      <c r="B858" s="31"/>
      <c r="C858" s="31"/>
      <c r="D858" s="32"/>
      <c r="E858" s="32"/>
      <c r="F858" s="29"/>
      <c r="G858" s="29"/>
      <c r="H858" s="3"/>
      <c r="I858" s="29"/>
      <c r="J858" s="29"/>
      <c r="K858" s="29"/>
      <c r="L858" s="29"/>
      <c r="M858" s="29"/>
      <c r="N858" s="29"/>
      <c r="O858" s="3"/>
      <c r="P858" s="3"/>
      <c r="Q858" s="3"/>
      <c r="R858" s="3"/>
      <c r="S858" s="3"/>
    </row>
    <row r="859" ht="15.75" customHeight="1">
      <c r="A859" s="3"/>
      <c r="B859" s="31"/>
      <c r="C859" s="31"/>
      <c r="D859" s="32"/>
      <c r="E859" s="32"/>
      <c r="F859" s="29"/>
      <c r="G859" s="29"/>
      <c r="H859" s="3"/>
      <c r="I859" s="29"/>
      <c r="J859" s="29"/>
      <c r="K859" s="29"/>
      <c r="L859" s="29"/>
      <c r="M859" s="29"/>
      <c r="N859" s="29"/>
      <c r="O859" s="3"/>
      <c r="P859" s="3"/>
      <c r="Q859" s="3"/>
      <c r="R859" s="3"/>
      <c r="S859" s="3"/>
    </row>
    <row r="860" ht="15.75" customHeight="1">
      <c r="A860" s="3"/>
      <c r="B860" s="31"/>
      <c r="C860" s="31"/>
      <c r="D860" s="32"/>
      <c r="E860" s="32"/>
      <c r="F860" s="29"/>
      <c r="G860" s="29"/>
      <c r="H860" s="3"/>
      <c r="I860" s="29"/>
      <c r="J860" s="29"/>
      <c r="K860" s="29"/>
      <c r="L860" s="29"/>
      <c r="M860" s="29"/>
      <c r="N860" s="29"/>
      <c r="O860" s="3"/>
      <c r="P860" s="3"/>
      <c r="Q860" s="3"/>
      <c r="R860" s="3"/>
      <c r="S860" s="3"/>
    </row>
    <row r="861" ht="15.75" customHeight="1">
      <c r="A861" s="3"/>
      <c r="B861" s="31"/>
      <c r="C861" s="31"/>
      <c r="D861" s="32"/>
      <c r="E861" s="32"/>
      <c r="F861" s="29"/>
      <c r="G861" s="29"/>
      <c r="H861" s="3"/>
      <c r="I861" s="29"/>
      <c r="J861" s="29"/>
      <c r="K861" s="29"/>
      <c r="L861" s="29"/>
      <c r="M861" s="29"/>
      <c r="N861" s="29"/>
      <c r="O861" s="3"/>
      <c r="P861" s="3"/>
      <c r="Q861" s="3"/>
      <c r="R861" s="3"/>
      <c r="S861" s="3"/>
    </row>
    <row r="862" ht="15.75" customHeight="1">
      <c r="A862" s="3"/>
      <c r="B862" s="31"/>
      <c r="C862" s="31"/>
      <c r="D862" s="32"/>
      <c r="E862" s="32"/>
      <c r="F862" s="29"/>
      <c r="G862" s="29"/>
      <c r="H862" s="3"/>
      <c r="I862" s="29"/>
      <c r="J862" s="29"/>
      <c r="K862" s="29"/>
      <c r="L862" s="29"/>
      <c r="M862" s="29"/>
      <c r="N862" s="29"/>
      <c r="O862" s="3"/>
      <c r="P862" s="3"/>
      <c r="Q862" s="3"/>
      <c r="R862" s="3"/>
      <c r="S862" s="3"/>
    </row>
    <row r="863" ht="15.75" customHeight="1">
      <c r="A863" s="3"/>
      <c r="B863" s="31"/>
      <c r="C863" s="31"/>
      <c r="D863" s="32"/>
      <c r="E863" s="32"/>
      <c r="F863" s="29"/>
      <c r="G863" s="29"/>
      <c r="H863" s="3"/>
      <c r="I863" s="29"/>
      <c r="J863" s="29"/>
      <c r="K863" s="29"/>
      <c r="L863" s="29"/>
      <c r="M863" s="29"/>
      <c r="N863" s="29"/>
      <c r="O863" s="3"/>
      <c r="P863" s="3"/>
      <c r="Q863" s="3"/>
      <c r="R863" s="3"/>
      <c r="S863" s="3"/>
    </row>
    <row r="864" ht="15.75" customHeight="1">
      <c r="A864" s="3"/>
      <c r="B864" s="31"/>
      <c r="C864" s="31"/>
      <c r="D864" s="32"/>
      <c r="E864" s="32"/>
      <c r="F864" s="29"/>
      <c r="G864" s="29"/>
      <c r="H864" s="3"/>
      <c r="I864" s="29"/>
      <c r="J864" s="29"/>
      <c r="K864" s="29"/>
      <c r="L864" s="29"/>
      <c r="M864" s="29"/>
      <c r="N864" s="29"/>
      <c r="O864" s="3"/>
      <c r="P864" s="3"/>
      <c r="Q864" s="3"/>
      <c r="R864" s="3"/>
      <c r="S864" s="3"/>
    </row>
    <row r="865" ht="15.75" customHeight="1">
      <c r="A865" s="3"/>
      <c r="B865" s="31"/>
      <c r="C865" s="31"/>
      <c r="D865" s="32"/>
      <c r="E865" s="32"/>
      <c r="F865" s="29"/>
      <c r="G865" s="29"/>
      <c r="H865" s="3"/>
      <c r="I865" s="29"/>
      <c r="J865" s="29"/>
      <c r="K865" s="29"/>
      <c r="L865" s="29"/>
      <c r="M865" s="29"/>
      <c r="N865" s="29"/>
      <c r="O865" s="3"/>
      <c r="P865" s="3"/>
      <c r="Q865" s="3"/>
      <c r="R865" s="3"/>
      <c r="S865" s="3"/>
    </row>
    <row r="866" ht="15.75" customHeight="1">
      <c r="A866" s="3"/>
      <c r="B866" s="31"/>
      <c r="C866" s="31"/>
      <c r="D866" s="32"/>
      <c r="E866" s="32"/>
      <c r="F866" s="29"/>
      <c r="G866" s="29"/>
      <c r="H866" s="3"/>
      <c r="I866" s="29"/>
      <c r="J866" s="29"/>
      <c r="K866" s="29"/>
      <c r="L866" s="29"/>
      <c r="M866" s="29"/>
      <c r="N866" s="29"/>
      <c r="O866" s="3"/>
      <c r="P866" s="3"/>
      <c r="Q866" s="3"/>
      <c r="R866" s="3"/>
      <c r="S866" s="3"/>
    </row>
    <row r="867" ht="15.75" customHeight="1">
      <c r="A867" s="3"/>
      <c r="B867" s="31"/>
      <c r="C867" s="31"/>
      <c r="D867" s="32"/>
      <c r="E867" s="32"/>
      <c r="F867" s="29"/>
      <c r="G867" s="29"/>
      <c r="H867" s="3"/>
      <c r="I867" s="29"/>
      <c r="J867" s="29"/>
      <c r="K867" s="29"/>
      <c r="L867" s="29"/>
      <c r="M867" s="29"/>
      <c r="N867" s="29"/>
      <c r="O867" s="3"/>
      <c r="P867" s="3"/>
      <c r="Q867" s="3"/>
      <c r="R867" s="3"/>
      <c r="S867" s="3"/>
    </row>
    <row r="868" ht="15.75" customHeight="1">
      <c r="A868" s="3"/>
      <c r="B868" s="31"/>
      <c r="C868" s="31"/>
      <c r="D868" s="32"/>
      <c r="E868" s="32"/>
      <c r="F868" s="29"/>
      <c r="G868" s="29"/>
      <c r="H868" s="3"/>
      <c r="I868" s="29"/>
      <c r="J868" s="29"/>
      <c r="K868" s="29"/>
      <c r="L868" s="29"/>
      <c r="M868" s="29"/>
      <c r="N868" s="29"/>
      <c r="O868" s="3"/>
      <c r="P868" s="3"/>
      <c r="Q868" s="3"/>
      <c r="R868" s="3"/>
      <c r="S868" s="3"/>
    </row>
    <row r="869" ht="15.75" customHeight="1">
      <c r="A869" s="3"/>
      <c r="B869" s="31"/>
      <c r="C869" s="31"/>
      <c r="D869" s="32"/>
      <c r="E869" s="32"/>
      <c r="F869" s="29"/>
      <c r="G869" s="29"/>
      <c r="H869" s="3"/>
      <c r="I869" s="29"/>
      <c r="J869" s="29"/>
      <c r="K869" s="29"/>
      <c r="L869" s="29"/>
      <c r="M869" s="29"/>
      <c r="N869" s="29"/>
      <c r="O869" s="3"/>
      <c r="P869" s="3"/>
      <c r="Q869" s="3"/>
      <c r="R869" s="3"/>
      <c r="S869" s="3"/>
    </row>
    <row r="870" ht="15.75" customHeight="1">
      <c r="A870" s="3"/>
      <c r="B870" s="31"/>
      <c r="C870" s="31"/>
      <c r="D870" s="32"/>
      <c r="E870" s="32"/>
      <c r="F870" s="29"/>
      <c r="G870" s="29"/>
      <c r="H870" s="3"/>
      <c r="I870" s="29"/>
      <c r="J870" s="29"/>
      <c r="K870" s="29"/>
      <c r="L870" s="29"/>
      <c r="M870" s="29"/>
      <c r="N870" s="29"/>
      <c r="O870" s="3"/>
      <c r="P870" s="3"/>
      <c r="Q870" s="3"/>
      <c r="R870" s="3"/>
      <c r="S870" s="3"/>
    </row>
    <row r="871" ht="15.75" customHeight="1">
      <c r="A871" s="3"/>
      <c r="B871" s="31"/>
      <c r="C871" s="31"/>
      <c r="D871" s="32"/>
      <c r="E871" s="32"/>
      <c r="F871" s="29"/>
      <c r="G871" s="29"/>
      <c r="H871" s="3"/>
      <c r="I871" s="29"/>
      <c r="J871" s="29"/>
      <c r="K871" s="29"/>
      <c r="L871" s="29"/>
      <c r="M871" s="29"/>
      <c r="N871" s="29"/>
      <c r="O871" s="3"/>
      <c r="P871" s="3"/>
      <c r="Q871" s="3"/>
      <c r="R871" s="3"/>
      <c r="S871" s="3"/>
    </row>
    <row r="872" ht="15.75" customHeight="1">
      <c r="A872" s="3"/>
      <c r="B872" s="31"/>
      <c r="C872" s="31"/>
      <c r="D872" s="32"/>
      <c r="E872" s="32"/>
      <c r="F872" s="29"/>
      <c r="G872" s="29"/>
      <c r="H872" s="3"/>
      <c r="I872" s="29"/>
      <c r="J872" s="29"/>
      <c r="K872" s="29"/>
      <c r="L872" s="29"/>
      <c r="M872" s="29"/>
      <c r="N872" s="29"/>
      <c r="O872" s="3"/>
      <c r="P872" s="3"/>
      <c r="Q872" s="3"/>
      <c r="R872" s="3"/>
      <c r="S872" s="3"/>
    </row>
    <row r="873" ht="15.75" customHeight="1">
      <c r="A873" s="3"/>
      <c r="B873" s="31"/>
      <c r="C873" s="31"/>
      <c r="D873" s="32"/>
      <c r="E873" s="32"/>
      <c r="F873" s="29"/>
      <c r="G873" s="29"/>
      <c r="H873" s="3"/>
      <c r="I873" s="29"/>
      <c r="J873" s="29"/>
      <c r="K873" s="29"/>
      <c r="L873" s="29"/>
      <c r="M873" s="29"/>
      <c r="N873" s="29"/>
      <c r="O873" s="3"/>
      <c r="P873" s="3"/>
      <c r="Q873" s="3"/>
      <c r="R873" s="3"/>
      <c r="S873" s="3"/>
    </row>
    <row r="874" ht="15.75" customHeight="1">
      <c r="A874" s="3"/>
      <c r="B874" s="31"/>
      <c r="C874" s="31"/>
      <c r="D874" s="32"/>
      <c r="E874" s="32"/>
      <c r="F874" s="29"/>
      <c r="G874" s="29"/>
      <c r="H874" s="3"/>
      <c r="I874" s="29"/>
      <c r="J874" s="29"/>
      <c r="K874" s="29"/>
      <c r="L874" s="29"/>
      <c r="M874" s="29"/>
      <c r="N874" s="29"/>
      <c r="O874" s="3"/>
      <c r="P874" s="3"/>
      <c r="Q874" s="3"/>
      <c r="R874" s="3"/>
      <c r="S874" s="3"/>
    </row>
    <row r="875" ht="15.75" customHeight="1">
      <c r="A875" s="3"/>
      <c r="B875" s="31"/>
      <c r="C875" s="31"/>
      <c r="D875" s="32"/>
      <c r="E875" s="32"/>
      <c r="F875" s="29"/>
      <c r="G875" s="29"/>
      <c r="H875" s="3"/>
      <c r="I875" s="29"/>
      <c r="J875" s="29"/>
      <c r="K875" s="29"/>
      <c r="L875" s="29"/>
      <c r="M875" s="29"/>
      <c r="N875" s="29"/>
      <c r="O875" s="3"/>
      <c r="P875" s="3"/>
      <c r="Q875" s="3"/>
      <c r="R875" s="3"/>
      <c r="S875" s="3"/>
    </row>
    <row r="876" ht="15.75" customHeight="1">
      <c r="A876" s="3"/>
      <c r="B876" s="31"/>
      <c r="C876" s="31"/>
      <c r="D876" s="32"/>
      <c r="E876" s="32"/>
      <c r="F876" s="29"/>
      <c r="G876" s="29"/>
      <c r="H876" s="3"/>
      <c r="I876" s="29"/>
      <c r="J876" s="29"/>
      <c r="K876" s="29"/>
      <c r="L876" s="29"/>
      <c r="M876" s="29"/>
      <c r="N876" s="29"/>
      <c r="O876" s="3"/>
      <c r="P876" s="3"/>
      <c r="Q876" s="3"/>
      <c r="R876" s="3"/>
      <c r="S876" s="3"/>
    </row>
    <row r="877" ht="15.75" customHeight="1">
      <c r="A877" s="3"/>
      <c r="B877" s="31"/>
      <c r="C877" s="31"/>
      <c r="D877" s="32"/>
      <c r="E877" s="32"/>
      <c r="F877" s="29"/>
      <c r="G877" s="29"/>
      <c r="H877" s="3"/>
      <c r="I877" s="29"/>
      <c r="J877" s="29"/>
      <c r="K877" s="29"/>
      <c r="L877" s="29"/>
      <c r="M877" s="29"/>
      <c r="N877" s="29"/>
      <c r="O877" s="3"/>
      <c r="P877" s="3"/>
      <c r="Q877" s="3"/>
      <c r="R877" s="3"/>
      <c r="S877" s="3"/>
    </row>
    <row r="878" ht="15.75" customHeight="1">
      <c r="A878" s="3"/>
      <c r="B878" s="31"/>
      <c r="C878" s="31"/>
      <c r="D878" s="32"/>
      <c r="E878" s="32"/>
      <c r="F878" s="29"/>
      <c r="G878" s="29"/>
      <c r="H878" s="3"/>
      <c r="I878" s="29"/>
      <c r="J878" s="29"/>
      <c r="K878" s="29"/>
      <c r="L878" s="29"/>
      <c r="M878" s="29"/>
      <c r="N878" s="29"/>
      <c r="O878" s="3"/>
      <c r="P878" s="3"/>
      <c r="Q878" s="3"/>
      <c r="R878" s="3"/>
      <c r="S878" s="3"/>
    </row>
    <row r="879" ht="15.75" customHeight="1">
      <c r="A879" s="3"/>
      <c r="B879" s="31"/>
      <c r="C879" s="31"/>
      <c r="D879" s="32"/>
      <c r="E879" s="32"/>
      <c r="F879" s="29"/>
      <c r="G879" s="29"/>
      <c r="H879" s="3"/>
      <c r="I879" s="29"/>
      <c r="J879" s="29"/>
      <c r="K879" s="29"/>
      <c r="L879" s="29"/>
      <c r="M879" s="29"/>
      <c r="N879" s="29"/>
      <c r="O879" s="3"/>
      <c r="P879" s="3"/>
      <c r="Q879" s="3"/>
      <c r="R879" s="3"/>
      <c r="S879" s="3"/>
    </row>
    <row r="880" ht="15.75" customHeight="1">
      <c r="A880" s="3"/>
      <c r="B880" s="31"/>
      <c r="C880" s="31"/>
      <c r="D880" s="32"/>
      <c r="E880" s="32"/>
      <c r="F880" s="29"/>
      <c r="G880" s="29"/>
      <c r="H880" s="3"/>
      <c r="I880" s="29"/>
      <c r="J880" s="29"/>
      <c r="K880" s="29"/>
      <c r="L880" s="29"/>
      <c r="M880" s="29"/>
      <c r="N880" s="29"/>
      <c r="O880" s="3"/>
      <c r="P880" s="3"/>
      <c r="Q880" s="3"/>
      <c r="R880" s="3"/>
      <c r="S880" s="3"/>
    </row>
    <row r="881" ht="15.75" customHeight="1">
      <c r="A881" s="3"/>
      <c r="B881" s="31"/>
      <c r="C881" s="31"/>
      <c r="D881" s="32"/>
      <c r="E881" s="32"/>
      <c r="F881" s="29"/>
      <c r="G881" s="29"/>
      <c r="H881" s="3"/>
      <c r="I881" s="29"/>
      <c r="J881" s="29"/>
      <c r="K881" s="29"/>
      <c r="L881" s="29"/>
      <c r="M881" s="29"/>
      <c r="N881" s="29"/>
      <c r="O881" s="3"/>
      <c r="P881" s="3"/>
      <c r="Q881" s="3"/>
      <c r="R881" s="3"/>
      <c r="S881" s="3"/>
    </row>
    <row r="882" ht="15.75" customHeight="1">
      <c r="A882" s="3"/>
      <c r="B882" s="31"/>
      <c r="C882" s="31"/>
      <c r="D882" s="32"/>
      <c r="E882" s="32"/>
      <c r="F882" s="29"/>
      <c r="G882" s="29"/>
      <c r="H882" s="3"/>
      <c r="I882" s="29"/>
      <c r="J882" s="29"/>
      <c r="K882" s="29"/>
      <c r="L882" s="29"/>
      <c r="M882" s="29"/>
      <c r="N882" s="29"/>
      <c r="O882" s="3"/>
      <c r="P882" s="3"/>
      <c r="Q882" s="3"/>
      <c r="R882" s="3"/>
      <c r="S882" s="3"/>
    </row>
    <row r="883" ht="15.75" customHeight="1">
      <c r="A883" s="3"/>
      <c r="B883" s="31"/>
      <c r="C883" s="31"/>
      <c r="D883" s="32"/>
      <c r="E883" s="32"/>
      <c r="F883" s="29"/>
      <c r="G883" s="29"/>
      <c r="H883" s="3"/>
      <c r="I883" s="29"/>
      <c r="J883" s="29"/>
      <c r="K883" s="29"/>
      <c r="L883" s="29"/>
      <c r="M883" s="29"/>
      <c r="N883" s="29"/>
      <c r="O883" s="3"/>
      <c r="P883" s="3"/>
      <c r="Q883" s="3"/>
      <c r="R883" s="3"/>
      <c r="S883" s="3"/>
    </row>
    <row r="884" ht="15.75" customHeight="1">
      <c r="A884" s="3"/>
      <c r="B884" s="31"/>
      <c r="C884" s="31"/>
      <c r="D884" s="32"/>
      <c r="E884" s="32"/>
      <c r="F884" s="29"/>
      <c r="G884" s="29"/>
      <c r="H884" s="3"/>
      <c r="I884" s="29"/>
      <c r="J884" s="29"/>
      <c r="K884" s="29"/>
      <c r="L884" s="29"/>
      <c r="M884" s="29"/>
      <c r="N884" s="29"/>
      <c r="O884" s="3"/>
      <c r="P884" s="3"/>
      <c r="Q884" s="3"/>
      <c r="R884" s="3"/>
      <c r="S884" s="3"/>
    </row>
    <row r="885" ht="15.75" customHeight="1">
      <c r="A885" s="3"/>
      <c r="B885" s="31"/>
      <c r="C885" s="31"/>
      <c r="D885" s="32"/>
      <c r="E885" s="32"/>
      <c r="F885" s="29"/>
      <c r="G885" s="29"/>
      <c r="H885" s="3"/>
      <c r="I885" s="29"/>
      <c r="J885" s="29"/>
      <c r="K885" s="29"/>
      <c r="L885" s="29"/>
      <c r="M885" s="29"/>
      <c r="N885" s="29"/>
      <c r="O885" s="3"/>
      <c r="P885" s="3"/>
      <c r="Q885" s="3"/>
      <c r="R885" s="3"/>
      <c r="S885" s="3"/>
    </row>
    <row r="886" ht="15.75" customHeight="1">
      <c r="A886" s="3"/>
      <c r="B886" s="31"/>
      <c r="C886" s="31"/>
      <c r="D886" s="32"/>
      <c r="E886" s="32"/>
      <c r="F886" s="29"/>
      <c r="G886" s="29"/>
      <c r="H886" s="3"/>
      <c r="I886" s="29"/>
      <c r="J886" s="29"/>
      <c r="K886" s="29"/>
      <c r="L886" s="29"/>
      <c r="M886" s="29"/>
      <c r="N886" s="29"/>
      <c r="O886" s="3"/>
      <c r="P886" s="3"/>
      <c r="Q886" s="3"/>
      <c r="R886" s="3"/>
      <c r="S886" s="3"/>
    </row>
    <row r="887" ht="15.75" customHeight="1">
      <c r="A887" s="3"/>
      <c r="B887" s="31"/>
      <c r="C887" s="31"/>
      <c r="D887" s="32"/>
      <c r="E887" s="32"/>
      <c r="F887" s="29"/>
      <c r="G887" s="29"/>
      <c r="H887" s="3"/>
      <c r="I887" s="29"/>
      <c r="J887" s="29"/>
      <c r="K887" s="29"/>
      <c r="L887" s="29"/>
      <c r="M887" s="29"/>
      <c r="N887" s="29"/>
      <c r="O887" s="3"/>
      <c r="P887" s="3"/>
      <c r="Q887" s="3"/>
      <c r="R887" s="3"/>
      <c r="S887" s="3"/>
    </row>
    <row r="888" ht="15.75" customHeight="1">
      <c r="A888" s="3"/>
      <c r="B888" s="31"/>
      <c r="C888" s="31"/>
      <c r="D888" s="32"/>
      <c r="E888" s="32"/>
      <c r="F888" s="29"/>
      <c r="G888" s="29"/>
      <c r="H888" s="3"/>
      <c r="I888" s="29"/>
      <c r="J888" s="29"/>
      <c r="K888" s="29"/>
      <c r="L888" s="29"/>
      <c r="M888" s="29"/>
      <c r="N888" s="29"/>
      <c r="O888" s="3"/>
      <c r="P888" s="3"/>
      <c r="Q888" s="3"/>
      <c r="R888" s="3"/>
      <c r="S888" s="3"/>
    </row>
    <row r="889" ht="15.75" customHeight="1">
      <c r="A889" s="3"/>
      <c r="B889" s="31"/>
      <c r="C889" s="31"/>
      <c r="D889" s="32"/>
      <c r="E889" s="32"/>
      <c r="F889" s="29"/>
      <c r="G889" s="29"/>
      <c r="H889" s="3"/>
      <c r="I889" s="29"/>
      <c r="J889" s="29"/>
      <c r="K889" s="29"/>
      <c r="L889" s="29"/>
      <c r="M889" s="29"/>
      <c r="N889" s="29"/>
      <c r="O889" s="3"/>
      <c r="P889" s="3"/>
      <c r="Q889" s="3"/>
      <c r="R889" s="3"/>
      <c r="S889" s="3"/>
    </row>
    <row r="890" ht="15.75" customHeight="1">
      <c r="A890" s="3"/>
      <c r="B890" s="31"/>
      <c r="C890" s="31"/>
      <c r="D890" s="32"/>
      <c r="E890" s="32"/>
      <c r="F890" s="29"/>
      <c r="G890" s="29"/>
      <c r="H890" s="3"/>
      <c r="I890" s="29"/>
      <c r="J890" s="29"/>
      <c r="K890" s="29"/>
      <c r="L890" s="29"/>
      <c r="M890" s="29"/>
      <c r="N890" s="29"/>
      <c r="O890" s="3"/>
      <c r="P890" s="3"/>
      <c r="Q890" s="3"/>
      <c r="R890" s="3"/>
      <c r="S890" s="3"/>
    </row>
    <row r="891" ht="15.75" customHeight="1">
      <c r="A891" s="3"/>
      <c r="B891" s="31"/>
      <c r="C891" s="31"/>
      <c r="D891" s="32"/>
      <c r="E891" s="32"/>
      <c r="F891" s="29"/>
      <c r="G891" s="29"/>
      <c r="H891" s="3"/>
      <c r="I891" s="29"/>
      <c r="J891" s="29"/>
      <c r="K891" s="29"/>
      <c r="L891" s="29"/>
      <c r="M891" s="29"/>
      <c r="N891" s="29"/>
      <c r="O891" s="3"/>
      <c r="P891" s="3"/>
      <c r="Q891" s="3"/>
      <c r="R891" s="3"/>
      <c r="S891" s="3"/>
    </row>
    <row r="892" ht="15.75" customHeight="1">
      <c r="A892" s="3"/>
      <c r="B892" s="31"/>
      <c r="C892" s="31"/>
      <c r="D892" s="32"/>
      <c r="E892" s="32"/>
      <c r="F892" s="29"/>
      <c r="G892" s="29"/>
      <c r="H892" s="3"/>
      <c r="I892" s="29"/>
      <c r="J892" s="29"/>
      <c r="K892" s="29"/>
      <c r="L892" s="29"/>
      <c r="M892" s="29"/>
      <c r="N892" s="29"/>
      <c r="O892" s="3"/>
      <c r="P892" s="3"/>
      <c r="Q892" s="3"/>
      <c r="R892" s="3"/>
      <c r="S892" s="3"/>
    </row>
    <row r="893" ht="15.75" customHeight="1">
      <c r="A893" s="3"/>
      <c r="B893" s="31"/>
      <c r="C893" s="31"/>
      <c r="D893" s="32"/>
      <c r="E893" s="32"/>
      <c r="F893" s="29"/>
      <c r="G893" s="29"/>
      <c r="H893" s="3"/>
      <c r="I893" s="29"/>
      <c r="J893" s="29"/>
      <c r="K893" s="29"/>
      <c r="L893" s="29"/>
      <c r="M893" s="29"/>
      <c r="N893" s="29"/>
      <c r="O893" s="3"/>
      <c r="P893" s="3"/>
      <c r="Q893" s="3"/>
      <c r="R893" s="3"/>
      <c r="S893" s="3"/>
    </row>
    <row r="894" ht="15.75" customHeight="1">
      <c r="A894" s="3"/>
      <c r="B894" s="31"/>
      <c r="C894" s="31"/>
      <c r="D894" s="32"/>
      <c r="E894" s="32"/>
      <c r="F894" s="29"/>
      <c r="G894" s="29"/>
      <c r="H894" s="3"/>
      <c r="I894" s="29"/>
      <c r="J894" s="29"/>
      <c r="K894" s="29"/>
      <c r="L894" s="29"/>
      <c r="M894" s="29"/>
      <c r="N894" s="29"/>
      <c r="O894" s="3"/>
      <c r="P894" s="3"/>
      <c r="Q894" s="3"/>
      <c r="R894" s="3"/>
      <c r="S894" s="3"/>
    </row>
    <row r="895" ht="15.75" customHeight="1">
      <c r="A895" s="3"/>
      <c r="B895" s="31"/>
      <c r="C895" s="31"/>
      <c r="D895" s="32"/>
      <c r="E895" s="32"/>
      <c r="F895" s="29"/>
      <c r="G895" s="29"/>
      <c r="H895" s="3"/>
      <c r="I895" s="29"/>
      <c r="J895" s="29"/>
      <c r="K895" s="29"/>
      <c r="L895" s="29"/>
      <c r="M895" s="29"/>
      <c r="N895" s="29"/>
      <c r="O895" s="3"/>
      <c r="P895" s="3"/>
      <c r="Q895" s="3"/>
      <c r="R895" s="3"/>
      <c r="S895" s="3"/>
    </row>
    <row r="896" ht="15.75" customHeight="1">
      <c r="A896" s="3"/>
      <c r="B896" s="31"/>
      <c r="C896" s="31"/>
      <c r="D896" s="32"/>
      <c r="E896" s="32"/>
      <c r="F896" s="29"/>
      <c r="G896" s="29"/>
      <c r="H896" s="3"/>
      <c r="I896" s="29"/>
      <c r="J896" s="29"/>
      <c r="K896" s="29"/>
      <c r="L896" s="29"/>
      <c r="M896" s="29"/>
      <c r="N896" s="29"/>
      <c r="O896" s="3"/>
      <c r="P896" s="3"/>
      <c r="Q896" s="3"/>
      <c r="R896" s="3"/>
      <c r="S896" s="3"/>
    </row>
    <row r="897" ht="15.75" customHeight="1">
      <c r="A897" s="3"/>
      <c r="B897" s="31"/>
      <c r="C897" s="31"/>
      <c r="D897" s="32"/>
      <c r="E897" s="32"/>
      <c r="F897" s="29"/>
      <c r="G897" s="29"/>
      <c r="H897" s="3"/>
      <c r="I897" s="29"/>
      <c r="J897" s="29"/>
      <c r="K897" s="29"/>
      <c r="L897" s="29"/>
      <c r="M897" s="29"/>
      <c r="N897" s="29"/>
      <c r="O897" s="3"/>
      <c r="P897" s="3"/>
      <c r="Q897" s="3"/>
      <c r="R897" s="3"/>
      <c r="S897" s="3"/>
    </row>
    <row r="898" ht="15.75" customHeight="1">
      <c r="A898" s="3"/>
      <c r="B898" s="31"/>
      <c r="C898" s="31"/>
      <c r="D898" s="32"/>
      <c r="E898" s="32"/>
      <c r="F898" s="29"/>
      <c r="G898" s="29"/>
      <c r="H898" s="3"/>
      <c r="I898" s="29"/>
      <c r="J898" s="29"/>
      <c r="K898" s="29"/>
      <c r="L898" s="29"/>
      <c r="M898" s="29"/>
      <c r="N898" s="29"/>
      <c r="O898" s="3"/>
      <c r="P898" s="3"/>
      <c r="Q898" s="3"/>
      <c r="R898" s="3"/>
      <c r="S898" s="3"/>
    </row>
    <row r="899" ht="15.75" customHeight="1">
      <c r="A899" s="3"/>
      <c r="B899" s="31"/>
      <c r="C899" s="31"/>
      <c r="D899" s="32"/>
      <c r="E899" s="32"/>
      <c r="F899" s="29"/>
      <c r="G899" s="29"/>
      <c r="H899" s="3"/>
      <c r="I899" s="29"/>
      <c r="J899" s="29"/>
      <c r="K899" s="29"/>
      <c r="L899" s="29"/>
      <c r="M899" s="29"/>
      <c r="N899" s="29"/>
      <c r="O899" s="3"/>
      <c r="P899" s="3"/>
      <c r="Q899" s="3"/>
      <c r="R899" s="3"/>
      <c r="S899" s="3"/>
    </row>
    <row r="900" ht="15.75" customHeight="1">
      <c r="A900" s="3"/>
      <c r="B900" s="31"/>
      <c r="C900" s="31"/>
      <c r="D900" s="32"/>
      <c r="E900" s="32"/>
      <c r="F900" s="29"/>
      <c r="G900" s="29"/>
      <c r="H900" s="3"/>
      <c r="I900" s="29"/>
      <c r="J900" s="29"/>
      <c r="K900" s="29"/>
      <c r="L900" s="29"/>
      <c r="M900" s="29"/>
      <c r="N900" s="29"/>
      <c r="O900" s="3"/>
      <c r="P900" s="3"/>
      <c r="Q900" s="3"/>
      <c r="R900" s="3"/>
      <c r="S900" s="3"/>
    </row>
    <row r="901" ht="15.75" customHeight="1">
      <c r="A901" s="3"/>
      <c r="B901" s="31"/>
      <c r="C901" s="31"/>
      <c r="D901" s="32"/>
      <c r="E901" s="32"/>
      <c r="F901" s="29"/>
      <c r="G901" s="29"/>
      <c r="H901" s="3"/>
      <c r="I901" s="29"/>
      <c r="J901" s="29"/>
      <c r="K901" s="29"/>
      <c r="L901" s="29"/>
      <c r="M901" s="29"/>
      <c r="N901" s="29"/>
      <c r="O901" s="3"/>
      <c r="P901" s="3"/>
      <c r="Q901" s="3"/>
      <c r="R901" s="3"/>
      <c r="S901" s="3"/>
    </row>
    <row r="902" ht="15.75" customHeight="1">
      <c r="A902" s="3"/>
      <c r="B902" s="31"/>
      <c r="C902" s="31"/>
      <c r="D902" s="32"/>
      <c r="E902" s="32"/>
      <c r="F902" s="29"/>
      <c r="G902" s="29"/>
      <c r="H902" s="3"/>
      <c r="I902" s="29"/>
      <c r="J902" s="29"/>
      <c r="K902" s="29"/>
      <c r="L902" s="29"/>
      <c r="M902" s="29"/>
      <c r="N902" s="29"/>
      <c r="O902" s="3"/>
      <c r="P902" s="3"/>
      <c r="Q902" s="3"/>
      <c r="R902" s="3"/>
      <c r="S902" s="3"/>
    </row>
    <row r="903" ht="15.75" customHeight="1">
      <c r="A903" s="3"/>
      <c r="B903" s="31"/>
      <c r="C903" s="31"/>
      <c r="D903" s="32"/>
      <c r="E903" s="32"/>
      <c r="F903" s="29"/>
      <c r="G903" s="29"/>
      <c r="H903" s="3"/>
      <c r="I903" s="29"/>
      <c r="J903" s="29"/>
      <c r="K903" s="29"/>
      <c r="L903" s="29"/>
      <c r="M903" s="29"/>
      <c r="N903" s="29"/>
      <c r="O903" s="3"/>
      <c r="P903" s="3"/>
      <c r="Q903" s="3"/>
      <c r="R903" s="3"/>
      <c r="S903" s="3"/>
    </row>
    <row r="904" ht="15.75" customHeight="1">
      <c r="A904" s="3"/>
      <c r="B904" s="31"/>
      <c r="C904" s="31"/>
      <c r="D904" s="32"/>
      <c r="E904" s="32"/>
      <c r="F904" s="29"/>
      <c r="G904" s="29"/>
      <c r="H904" s="3"/>
      <c r="I904" s="29"/>
      <c r="J904" s="29"/>
      <c r="K904" s="29"/>
      <c r="L904" s="29"/>
      <c r="M904" s="29"/>
      <c r="N904" s="29"/>
      <c r="O904" s="3"/>
      <c r="P904" s="3"/>
      <c r="Q904" s="3"/>
      <c r="R904" s="3"/>
      <c r="S904" s="3"/>
    </row>
    <row r="905" ht="15.75" customHeight="1">
      <c r="A905" s="3"/>
      <c r="B905" s="31"/>
      <c r="C905" s="31"/>
      <c r="D905" s="32"/>
      <c r="E905" s="32"/>
      <c r="F905" s="29"/>
      <c r="G905" s="29"/>
      <c r="H905" s="3"/>
      <c r="I905" s="29"/>
      <c r="J905" s="29"/>
      <c r="K905" s="29"/>
      <c r="L905" s="29"/>
      <c r="M905" s="29"/>
      <c r="N905" s="29"/>
      <c r="O905" s="3"/>
      <c r="P905" s="3"/>
      <c r="Q905" s="3"/>
      <c r="R905" s="3"/>
      <c r="S905" s="3"/>
    </row>
    <row r="906" ht="15.75" customHeight="1">
      <c r="A906" s="3"/>
      <c r="B906" s="31"/>
      <c r="C906" s="31"/>
      <c r="D906" s="32"/>
      <c r="E906" s="32"/>
      <c r="F906" s="29"/>
      <c r="G906" s="29"/>
      <c r="H906" s="3"/>
      <c r="I906" s="29"/>
      <c r="J906" s="29"/>
      <c r="K906" s="29"/>
      <c r="L906" s="29"/>
      <c r="M906" s="29"/>
      <c r="N906" s="29"/>
      <c r="O906" s="3"/>
      <c r="P906" s="3"/>
      <c r="Q906" s="3"/>
      <c r="R906" s="3"/>
      <c r="S906" s="3"/>
    </row>
    <row r="907" ht="15.75" customHeight="1">
      <c r="A907" s="3"/>
      <c r="B907" s="31"/>
      <c r="C907" s="31"/>
      <c r="D907" s="32"/>
      <c r="E907" s="32"/>
      <c r="F907" s="29"/>
      <c r="G907" s="29"/>
      <c r="H907" s="3"/>
      <c r="I907" s="29"/>
      <c r="J907" s="29"/>
      <c r="K907" s="29"/>
      <c r="L907" s="29"/>
      <c r="M907" s="29"/>
      <c r="N907" s="29"/>
      <c r="O907" s="3"/>
      <c r="P907" s="3"/>
      <c r="Q907" s="3"/>
      <c r="R907" s="3"/>
      <c r="S907" s="3"/>
    </row>
    <row r="908" ht="15.75" customHeight="1">
      <c r="A908" s="3"/>
      <c r="B908" s="31"/>
      <c r="C908" s="31"/>
      <c r="D908" s="32"/>
      <c r="E908" s="32"/>
      <c r="F908" s="29"/>
      <c r="G908" s="29"/>
      <c r="H908" s="3"/>
      <c r="I908" s="29"/>
      <c r="J908" s="29"/>
      <c r="K908" s="29"/>
      <c r="L908" s="29"/>
      <c r="M908" s="29"/>
      <c r="N908" s="29"/>
      <c r="O908" s="3"/>
      <c r="P908" s="3"/>
      <c r="Q908" s="3"/>
      <c r="R908" s="3"/>
      <c r="S908" s="3"/>
    </row>
    <row r="909" ht="15.75" customHeight="1">
      <c r="A909" s="3"/>
      <c r="B909" s="31"/>
      <c r="C909" s="31"/>
      <c r="D909" s="32"/>
      <c r="E909" s="32"/>
      <c r="F909" s="29"/>
      <c r="G909" s="29"/>
      <c r="H909" s="3"/>
      <c r="I909" s="29"/>
      <c r="J909" s="29"/>
      <c r="K909" s="29"/>
      <c r="L909" s="29"/>
      <c r="M909" s="29"/>
      <c r="N909" s="29"/>
      <c r="O909" s="3"/>
      <c r="P909" s="3"/>
      <c r="Q909" s="3"/>
      <c r="R909" s="3"/>
      <c r="S909" s="3"/>
    </row>
    <row r="910" ht="15.75" customHeight="1">
      <c r="A910" s="3"/>
      <c r="B910" s="31"/>
      <c r="C910" s="31"/>
      <c r="D910" s="32"/>
      <c r="E910" s="32"/>
      <c r="F910" s="29"/>
      <c r="G910" s="29"/>
      <c r="H910" s="3"/>
      <c r="I910" s="29"/>
      <c r="J910" s="29"/>
      <c r="K910" s="29"/>
      <c r="L910" s="29"/>
      <c r="M910" s="29"/>
      <c r="N910" s="29"/>
      <c r="O910" s="3"/>
      <c r="P910" s="3"/>
      <c r="Q910" s="3"/>
      <c r="R910" s="3"/>
      <c r="S910" s="3"/>
    </row>
    <row r="911" ht="15.75" customHeight="1">
      <c r="A911" s="3"/>
      <c r="B911" s="31"/>
      <c r="C911" s="31"/>
      <c r="D911" s="32"/>
      <c r="E911" s="32"/>
      <c r="F911" s="29"/>
      <c r="G911" s="29"/>
      <c r="H911" s="3"/>
      <c r="I911" s="29"/>
      <c r="J911" s="29"/>
      <c r="K911" s="29"/>
      <c r="L911" s="29"/>
      <c r="M911" s="29"/>
      <c r="N911" s="29"/>
      <c r="O911" s="3"/>
      <c r="P911" s="3"/>
      <c r="Q911" s="3"/>
      <c r="R911" s="3"/>
      <c r="S911" s="3"/>
    </row>
    <row r="912" ht="15.75" customHeight="1">
      <c r="A912" s="3"/>
      <c r="B912" s="31"/>
      <c r="C912" s="31"/>
      <c r="D912" s="32"/>
      <c r="E912" s="32"/>
      <c r="F912" s="29"/>
      <c r="G912" s="29"/>
      <c r="H912" s="3"/>
      <c r="I912" s="29"/>
      <c r="J912" s="29"/>
      <c r="K912" s="29"/>
      <c r="L912" s="29"/>
      <c r="M912" s="29"/>
      <c r="N912" s="29"/>
      <c r="O912" s="3"/>
      <c r="P912" s="3"/>
      <c r="Q912" s="3"/>
      <c r="R912" s="3"/>
      <c r="S912" s="3"/>
    </row>
    <row r="913" ht="15.75" customHeight="1">
      <c r="A913" s="3"/>
      <c r="B913" s="31"/>
      <c r="C913" s="31"/>
      <c r="D913" s="32"/>
      <c r="E913" s="32"/>
      <c r="F913" s="29"/>
      <c r="G913" s="29"/>
      <c r="H913" s="3"/>
      <c r="I913" s="29"/>
      <c r="J913" s="29"/>
      <c r="K913" s="29"/>
      <c r="L913" s="29"/>
      <c r="M913" s="29"/>
      <c r="N913" s="29"/>
      <c r="O913" s="3"/>
      <c r="P913" s="3"/>
      <c r="Q913" s="3"/>
      <c r="R913" s="3"/>
      <c r="S913" s="3"/>
    </row>
    <row r="914" ht="15.75" customHeight="1">
      <c r="A914" s="3"/>
      <c r="B914" s="31"/>
      <c r="C914" s="31"/>
      <c r="D914" s="32"/>
      <c r="E914" s="32"/>
      <c r="F914" s="29"/>
      <c r="G914" s="29"/>
      <c r="H914" s="3"/>
      <c r="I914" s="29"/>
      <c r="J914" s="29"/>
      <c r="K914" s="29"/>
      <c r="L914" s="29"/>
      <c r="M914" s="29"/>
      <c r="N914" s="29"/>
      <c r="O914" s="3"/>
      <c r="P914" s="3"/>
      <c r="Q914" s="3"/>
      <c r="R914" s="3"/>
      <c r="S914" s="3"/>
    </row>
    <row r="915" ht="15.75" customHeight="1">
      <c r="A915" s="3"/>
      <c r="B915" s="31"/>
      <c r="C915" s="31"/>
      <c r="D915" s="32"/>
      <c r="E915" s="32"/>
      <c r="F915" s="29"/>
      <c r="G915" s="29"/>
      <c r="H915" s="3"/>
      <c r="I915" s="29"/>
      <c r="J915" s="29"/>
      <c r="K915" s="29"/>
      <c r="L915" s="29"/>
      <c r="M915" s="29"/>
      <c r="N915" s="29"/>
      <c r="O915" s="3"/>
      <c r="P915" s="3"/>
      <c r="Q915" s="3"/>
      <c r="R915" s="3"/>
      <c r="S915" s="3"/>
    </row>
    <row r="916" ht="15.75" customHeight="1">
      <c r="A916" s="3"/>
      <c r="B916" s="31"/>
      <c r="C916" s="31"/>
      <c r="D916" s="32"/>
      <c r="E916" s="32"/>
      <c r="F916" s="29"/>
      <c r="G916" s="29"/>
      <c r="H916" s="3"/>
      <c r="I916" s="29"/>
      <c r="J916" s="29"/>
      <c r="K916" s="29"/>
      <c r="L916" s="29"/>
      <c r="M916" s="29"/>
      <c r="N916" s="29"/>
      <c r="O916" s="3"/>
      <c r="P916" s="3"/>
      <c r="Q916" s="3"/>
      <c r="R916" s="3"/>
      <c r="S916" s="3"/>
    </row>
    <row r="917" ht="15.75" customHeight="1">
      <c r="A917" s="3"/>
      <c r="B917" s="31"/>
      <c r="C917" s="31"/>
      <c r="D917" s="32"/>
      <c r="E917" s="32"/>
      <c r="F917" s="29"/>
      <c r="G917" s="29"/>
      <c r="H917" s="3"/>
      <c r="I917" s="29"/>
      <c r="J917" s="29"/>
      <c r="K917" s="29"/>
      <c r="L917" s="29"/>
      <c r="M917" s="29"/>
      <c r="N917" s="29"/>
      <c r="O917" s="3"/>
      <c r="P917" s="3"/>
      <c r="Q917" s="3"/>
      <c r="R917" s="3"/>
      <c r="S917" s="3"/>
    </row>
    <row r="918" ht="15.75" customHeight="1">
      <c r="A918" s="3"/>
      <c r="B918" s="31"/>
      <c r="C918" s="31"/>
      <c r="D918" s="32"/>
      <c r="E918" s="32"/>
      <c r="F918" s="29"/>
      <c r="G918" s="29"/>
      <c r="H918" s="3"/>
      <c r="I918" s="29"/>
      <c r="J918" s="29"/>
      <c r="K918" s="29"/>
      <c r="L918" s="29"/>
      <c r="M918" s="29"/>
      <c r="N918" s="29"/>
      <c r="O918" s="3"/>
      <c r="P918" s="3"/>
      <c r="Q918" s="3"/>
      <c r="R918" s="3"/>
      <c r="S918" s="3"/>
    </row>
    <row r="919" ht="15.75" customHeight="1">
      <c r="A919" s="3"/>
      <c r="B919" s="31"/>
      <c r="C919" s="31"/>
      <c r="D919" s="32"/>
      <c r="E919" s="32"/>
      <c r="F919" s="29"/>
      <c r="G919" s="29"/>
      <c r="H919" s="3"/>
      <c r="I919" s="29"/>
      <c r="J919" s="29"/>
      <c r="K919" s="29"/>
      <c r="L919" s="29"/>
      <c r="M919" s="29"/>
      <c r="N919" s="29"/>
      <c r="O919" s="3"/>
      <c r="P919" s="3"/>
      <c r="Q919" s="3"/>
      <c r="R919" s="3"/>
      <c r="S919" s="3"/>
    </row>
    <row r="920" ht="15.75" customHeight="1">
      <c r="A920" s="3"/>
      <c r="B920" s="31"/>
      <c r="C920" s="31"/>
      <c r="D920" s="32"/>
      <c r="E920" s="32"/>
      <c r="F920" s="29"/>
      <c r="G920" s="29"/>
      <c r="H920" s="3"/>
      <c r="I920" s="29"/>
      <c r="J920" s="29"/>
      <c r="K920" s="29"/>
      <c r="L920" s="29"/>
      <c r="M920" s="29"/>
      <c r="N920" s="29"/>
      <c r="O920" s="3"/>
      <c r="P920" s="3"/>
      <c r="Q920" s="3"/>
      <c r="R920" s="3"/>
      <c r="S920" s="3"/>
    </row>
    <row r="921" ht="15.75" customHeight="1">
      <c r="A921" s="3"/>
      <c r="B921" s="31"/>
      <c r="C921" s="31"/>
      <c r="D921" s="32"/>
      <c r="E921" s="32"/>
      <c r="F921" s="29"/>
      <c r="G921" s="29"/>
      <c r="H921" s="3"/>
      <c r="I921" s="29"/>
      <c r="J921" s="29"/>
      <c r="K921" s="29"/>
      <c r="L921" s="29"/>
      <c r="M921" s="29"/>
      <c r="N921" s="29"/>
      <c r="O921" s="3"/>
      <c r="P921" s="3"/>
      <c r="Q921" s="3"/>
      <c r="R921" s="3"/>
      <c r="S921" s="3"/>
    </row>
    <row r="922" ht="15.75" customHeight="1">
      <c r="A922" s="3"/>
      <c r="B922" s="31"/>
      <c r="C922" s="31"/>
      <c r="D922" s="32"/>
      <c r="E922" s="32"/>
      <c r="F922" s="29"/>
      <c r="G922" s="29"/>
      <c r="H922" s="3"/>
      <c r="I922" s="29"/>
      <c r="J922" s="29"/>
      <c r="K922" s="29"/>
      <c r="L922" s="29"/>
      <c r="M922" s="29"/>
      <c r="N922" s="29"/>
      <c r="O922" s="3"/>
      <c r="P922" s="3"/>
      <c r="Q922" s="3"/>
      <c r="R922" s="3"/>
      <c r="S922" s="3"/>
    </row>
    <row r="923" ht="15.75" customHeight="1">
      <c r="A923" s="3"/>
      <c r="B923" s="31"/>
      <c r="C923" s="31"/>
      <c r="D923" s="32"/>
      <c r="E923" s="32"/>
      <c r="F923" s="29"/>
      <c r="G923" s="29"/>
      <c r="H923" s="3"/>
      <c r="I923" s="29"/>
      <c r="J923" s="29"/>
      <c r="K923" s="29"/>
      <c r="L923" s="29"/>
      <c r="M923" s="29"/>
      <c r="N923" s="29"/>
      <c r="O923" s="3"/>
      <c r="P923" s="3"/>
      <c r="Q923" s="3"/>
      <c r="R923" s="3"/>
      <c r="S923" s="3"/>
    </row>
    <row r="924" ht="15.75" customHeight="1">
      <c r="A924" s="3"/>
      <c r="B924" s="31"/>
      <c r="C924" s="31"/>
      <c r="D924" s="32"/>
      <c r="E924" s="32"/>
      <c r="F924" s="29"/>
      <c r="G924" s="29"/>
      <c r="H924" s="3"/>
      <c r="I924" s="29"/>
      <c r="J924" s="29"/>
      <c r="K924" s="29"/>
      <c r="L924" s="29"/>
      <c r="M924" s="29"/>
      <c r="N924" s="29"/>
      <c r="O924" s="3"/>
      <c r="P924" s="3"/>
      <c r="Q924" s="3"/>
      <c r="R924" s="3"/>
      <c r="S924" s="3"/>
    </row>
    <row r="925" ht="15.75" customHeight="1">
      <c r="A925" s="3"/>
      <c r="B925" s="31"/>
      <c r="C925" s="31"/>
      <c r="D925" s="32"/>
      <c r="E925" s="32"/>
      <c r="F925" s="29"/>
      <c r="G925" s="29"/>
      <c r="H925" s="3"/>
      <c r="I925" s="29"/>
      <c r="J925" s="29"/>
      <c r="K925" s="29"/>
      <c r="L925" s="29"/>
      <c r="M925" s="29"/>
      <c r="N925" s="29"/>
      <c r="O925" s="3"/>
      <c r="P925" s="3"/>
      <c r="Q925" s="3"/>
      <c r="R925" s="3"/>
      <c r="S925" s="3"/>
    </row>
    <row r="926" ht="15.75" customHeight="1">
      <c r="A926" s="3"/>
      <c r="B926" s="31"/>
      <c r="C926" s="31"/>
      <c r="D926" s="32"/>
      <c r="E926" s="32"/>
      <c r="F926" s="29"/>
      <c r="G926" s="29"/>
      <c r="H926" s="3"/>
      <c r="I926" s="29"/>
      <c r="J926" s="29"/>
      <c r="K926" s="29"/>
      <c r="L926" s="29"/>
      <c r="M926" s="29"/>
      <c r="N926" s="29"/>
      <c r="O926" s="3"/>
      <c r="P926" s="3"/>
      <c r="Q926" s="3"/>
      <c r="R926" s="3"/>
      <c r="S926" s="3"/>
    </row>
    <row r="927" ht="15.75" customHeight="1">
      <c r="A927" s="3"/>
      <c r="B927" s="31"/>
      <c r="C927" s="31"/>
      <c r="D927" s="32"/>
      <c r="E927" s="32"/>
      <c r="F927" s="29"/>
      <c r="G927" s="29"/>
      <c r="H927" s="3"/>
      <c r="I927" s="29"/>
      <c r="J927" s="29"/>
      <c r="K927" s="29"/>
      <c r="L927" s="29"/>
      <c r="M927" s="29"/>
      <c r="N927" s="29"/>
      <c r="O927" s="3"/>
      <c r="P927" s="3"/>
      <c r="Q927" s="3"/>
      <c r="R927" s="3"/>
      <c r="S927" s="3"/>
    </row>
    <row r="928" ht="15.75" customHeight="1">
      <c r="A928" s="3"/>
      <c r="B928" s="31"/>
      <c r="C928" s="31"/>
      <c r="D928" s="32"/>
      <c r="E928" s="32"/>
      <c r="F928" s="29"/>
      <c r="G928" s="29"/>
      <c r="H928" s="3"/>
      <c r="I928" s="29"/>
      <c r="J928" s="29"/>
      <c r="K928" s="29"/>
      <c r="L928" s="29"/>
      <c r="M928" s="29"/>
      <c r="N928" s="29"/>
      <c r="O928" s="3"/>
      <c r="P928" s="3"/>
      <c r="Q928" s="3"/>
      <c r="R928" s="3"/>
      <c r="S928" s="3"/>
    </row>
    <row r="929" ht="15.75" customHeight="1">
      <c r="A929" s="3"/>
      <c r="B929" s="31"/>
      <c r="C929" s="31"/>
      <c r="D929" s="32"/>
      <c r="E929" s="32"/>
      <c r="F929" s="29"/>
      <c r="G929" s="29"/>
      <c r="H929" s="3"/>
      <c r="I929" s="29"/>
      <c r="J929" s="29"/>
      <c r="K929" s="29"/>
      <c r="L929" s="29"/>
      <c r="M929" s="29"/>
      <c r="N929" s="29"/>
      <c r="O929" s="3"/>
      <c r="P929" s="3"/>
      <c r="Q929" s="3"/>
      <c r="R929" s="3"/>
      <c r="S929" s="3"/>
    </row>
    <row r="930" ht="15.75" customHeight="1">
      <c r="A930" s="3"/>
      <c r="B930" s="31"/>
      <c r="C930" s="31"/>
      <c r="D930" s="32"/>
      <c r="E930" s="32"/>
      <c r="F930" s="29"/>
      <c r="G930" s="29"/>
      <c r="H930" s="3"/>
      <c r="I930" s="29"/>
      <c r="J930" s="29"/>
      <c r="K930" s="29"/>
      <c r="L930" s="29"/>
      <c r="M930" s="29"/>
      <c r="N930" s="29"/>
      <c r="O930" s="3"/>
      <c r="P930" s="3"/>
      <c r="Q930" s="3"/>
      <c r="R930" s="3"/>
      <c r="S930" s="3"/>
    </row>
    <row r="931" ht="15.75" customHeight="1">
      <c r="A931" s="3"/>
      <c r="B931" s="31"/>
      <c r="C931" s="31"/>
      <c r="D931" s="32"/>
      <c r="E931" s="32"/>
      <c r="F931" s="29"/>
      <c r="G931" s="29"/>
      <c r="H931" s="3"/>
      <c r="I931" s="29"/>
      <c r="J931" s="29"/>
      <c r="K931" s="29"/>
      <c r="L931" s="29"/>
      <c r="M931" s="29"/>
      <c r="N931" s="29"/>
      <c r="O931" s="3"/>
      <c r="P931" s="3"/>
      <c r="Q931" s="3"/>
      <c r="R931" s="3"/>
      <c r="S931" s="3"/>
    </row>
    <row r="932" ht="15.75" customHeight="1">
      <c r="A932" s="3"/>
      <c r="B932" s="31"/>
      <c r="C932" s="31"/>
      <c r="D932" s="32"/>
      <c r="E932" s="32"/>
      <c r="F932" s="29"/>
      <c r="G932" s="29"/>
      <c r="H932" s="3"/>
      <c r="I932" s="29"/>
      <c r="J932" s="29"/>
      <c r="K932" s="29"/>
      <c r="L932" s="29"/>
      <c r="M932" s="29"/>
      <c r="N932" s="29"/>
      <c r="O932" s="3"/>
      <c r="P932" s="3"/>
      <c r="Q932" s="3"/>
      <c r="R932" s="3"/>
      <c r="S932" s="3"/>
    </row>
    <row r="933" ht="15.75" customHeight="1">
      <c r="A933" s="3"/>
      <c r="B933" s="31"/>
      <c r="C933" s="31"/>
      <c r="D933" s="32"/>
      <c r="E933" s="32"/>
      <c r="F933" s="29"/>
      <c r="G933" s="29"/>
      <c r="H933" s="3"/>
      <c r="I933" s="29"/>
      <c r="J933" s="29"/>
      <c r="K933" s="29"/>
      <c r="L933" s="29"/>
      <c r="M933" s="29"/>
      <c r="N933" s="29"/>
      <c r="O933" s="3"/>
      <c r="P933" s="3"/>
      <c r="Q933" s="3"/>
      <c r="R933" s="3"/>
      <c r="S933" s="3"/>
    </row>
    <row r="934" ht="15.75" customHeight="1">
      <c r="A934" s="3"/>
      <c r="B934" s="31"/>
      <c r="C934" s="31"/>
      <c r="D934" s="32"/>
      <c r="E934" s="32"/>
      <c r="F934" s="29"/>
      <c r="G934" s="29"/>
      <c r="H934" s="3"/>
      <c r="I934" s="29"/>
      <c r="J934" s="29"/>
      <c r="K934" s="29"/>
      <c r="L934" s="29"/>
      <c r="M934" s="29"/>
      <c r="N934" s="29"/>
      <c r="O934" s="3"/>
      <c r="P934" s="3"/>
      <c r="Q934" s="3"/>
      <c r="R934" s="3"/>
      <c r="S934" s="3"/>
    </row>
    <row r="935" ht="15.75" customHeight="1">
      <c r="A935" s="3"/>
      <c r="B935" s="31"/>
      <c r="C935" s="31"/>
      <c r="D935" s="32"/>
      <c r="E935" s="32"/>
      <c r="F935" s="29"/>
      <c r="G935" s="29"/>
      <c r="H935" s="3"/>
      <c r="I935" s="29"/>
      <c r="J935" s="29"/>
      <c r="K935" s="29"/>
      <c r="L935" s="29"/>
      <c r="M935" s="29"/>
      <c r="N935" s="29"/>
      <c r="O935" s="3"/>
      <c r="P935" s="3"/>
      <c r="Q935" s="3"/>
      <c r="R935" s="3"/>
      <c r="S935" s="3"/>
    </row>
    <row r="936" ht="15.75" customHeight="1">
      <c r="A936" s="3"/>
      <c r="B936" s="31"/>
      <c r="C936" s="31"/>
      <c r="D936" s="32"/>
      <c r="E936" s="32"/>
      <c r="F936" s="29"/>
      <c r="G936" s="29"/>
      <c r="H936" s="3"/>
      <c r="I936" s="29"/>
      <c r="J936" s="29"/>
      <c r="K936" s="29"/>
      <c r="L936" s="29"/>
      <c r="M936" s="29"/>
      <c r="N936" s="29"/>
      <c r="O936" s="3"/>
      <c r="P936" s="3"/>
      <c r="Q936" s="3"/>
      <c r="R936" s="3"/>
      <c r="S936" s="3"/>
    </row>
    <row r="937" ht="15.75" customHeight="1">
      <c r="A937" s="3"/>
      <c r="B937" s="31"/>
      <c r="C937" s="31"/>
      <c r="D937" s="32"/>
      <c r="E937" s="32"/>
      <c r="F937" s="29"/>
      <c r="G937" s="29"/>
      <c r="H937" s="3"/>
      <c r="I937" s="29"/>
      <c r="J937" s="29"/>
      <c r="K937" s="29"/>
      <c r="L937" s="29"/>
      <c r="M937" s="29"/>
      <c r="N937" s="29"/>
      <c r="O937" s="3"/>
      <c r="P937" s="3"/>
      <c r="Q937" s="3"/>
      <c r="R937" s="3"/>
      <c r="S937" s="3"/>
    </row>
    <row r="938" ht="15.75" customHeight="1">
      <c r="A938" s="3"/>
      <c r="B938" s="31"/>
      <c r="C938" s="31"/>
      <c r="D938" s="32"/>
      <c r="E938" s="32"/>
      <c r="F938" s="29"/>
      <c r="G938" s="29"/>
      <c r="H938" s="3"/>
      <c r="I938" s="29"/>
      <c r="J938" s="29"/>
      <c r="K938" s="29"/>
      <c r="L938" s="29"/>
      <c r="M938" s="29"/>
      <c r="N938" s="29"/>
      <c r="O938" s="3"/>
      <c r="P938" s="3"/>
      <c r="Q938" s="3"/>
      <c r="R938" s="3"/>
      <c r="S938" s="3"/>
    </row>
    <row r="939" ht="15.75" customHeight="1">
      <c r="A939" s="3"/>
      <c r="B939" s="31"/>
      <c r="C939" s="31"/>
      <c r="D939" s="32"/>
      <c r="E939" s="32"/>
      <c r="F939" s="29"/>
      <c r="G939" s="29"/>
      <c r="H939" s="3"/>
      <c r="I939" s="29"/>
      <c r="J939" s="29"/>
      <c r="K939" s="29"/>
      <c r="L939" s="29"/>
      <c r="M939" s="29"/>
      <c r="N939" s="29"/>
      <c r="O939" s="3"/>
      <c r="P939" s="3"/>
      <c r="Q939" s="3"/>
      <c r="R939" s="3"/>
      <c r="S939" s="3"/>
    </row>
    <row r="940" ht="15.75" customHeight="1">
      <c r="A940" s="3"/>
      <c r="B940" s="31"/>
      <c r="C940" s="31"/>
      <c r="D940" s="32"/>
      <c r="E940" s="32"/>
      <c r="F940" s="29"/>
      <c r="G940" s="29"/>
      <c r="H940" s="3"/>
      <c r="I940" s="29"/>
      <c r="J940" s="29"/>
      <c r="K940" s="29"/>
      <c r="L940" s="29"/>
      <c r="M940" s="29"/>
      <c r="N940" s="29"/>
      <c r="O940" s="3"/>
      <c r="P940" s="3"/>
      <c r="Q940" s="3"/>
      <c r="R940" s="3"/>
      <c r="S940" s="3"/>
    </row>
    <row r="941" ht="15.75" customHeight="1">
      <c r="A941" s="3"/>
      <c r="B941" s="31"/>
      <c r="C941" s="31"/>
      <c r="D941" s="32"/>
      <c r="E941" s="32"/>
      <c r="F941" s="29"/>
      <c r="G941" s="29"/>
      <c r="H941" s="3"/>
      <c r="I941" s="29"/>
      <c r="J941" s="29"/>
      <c r="K941" s="29"/>
      <c r="L941" s="29"/>
      <c r="M941" s="29"/>
      <c r="N941" s="29"/>
      <c r="O941" s="3"/>
      <c r="P941" s="3"/>
      <c r="Q941" s="3"/>
      <c r="R941" s="3"/>
      <c r="S941" s="3"/>
    </row>
    <row r="942" ht="15.75" customHeight="1">
      <c r="A942" s="3"/>
      <c r="B942" s="31"/>
      <c r="C942" s="31"/>
      <c r="D942" s="32"/>
      <c r="E942" s="32"/>
      <c r="F942" s="29"/>
      <c r="G942" s="29"/>
      <c r="H942" s="3"/>
      <c r="I942" s="29"/>
      <c r="J942" s="29"/>
      <c r="K942" s="29"/>
      <c r="L942" s="29"/>
      <c r="M942" s="29"/>
      <c r="N942" s="29"/>
      <c r="O942" s="3"/>
      <c r="P942" s="3"/>
      <c r="Q942" s="3"/>
      <c r="R942" s="3"/>
      <c r="S942" s="3"/>
    </row>
    <row r="943" ht="15.75" customHeight="1">
      <c r="A943" s="3"/>
      <c r="B943" s="31"/>
      <c r="C943" s="31"/>
      <c r="D943" s="32"/>
      <c r="E943" s="32"/>
      <c r="F943" s="29"/>
      <c r="G943" s="29"/>
      <c r="H943" s="3"/>
      <c r="I943" s="29"/>
      <c r="J943" s="29"/>
      <c r="K943" s="29"/>
      <c r="L943" s="29"/>
      <c r="M943" s="29"/>
      <c r="N943" s="29"/>
      <c r="O943" s="3"/>
      <c r="P943" s="3"/>
      <c r="Q943" s="3"/>
      <c r="R943" s="3"/>
      <c r="S943" s="3"/>
    </row>
    <row r="944" ht="15.75" customHeight="1">
      <c r="A944" s="3"/>
      <c r="B944" s="31"/>
      <c r="C944" s="31"/>
      <c r="D944" s="32"/>
      <c r="E944" s="32"/>
      <c r="F944" s="29"/>
      <c r="G944" s="29"/>
      <c r="H944" s="3"/>
      <c r="I944" s="29"/>
      <c r="J944" s="29"/>
      <c r="K944" s="29"/>
      <c r="L944" s="29"/>
      <c r="M944" s="29"/>
      <c r="N944" s="29"/>
      <c r="O944" s="3"/>
      <c r="P944" s="3"/>
      <c r="Q944" s="3"/>
      <c r="R944" s="3"/>
      <c r="S944" s="3"/>
    </row>
    <row r="945" ht="15.75" customHeight="1">
      <c r="A945" s="3"/>
      <c r="B945" s="31"/>
      <c r="C945" s="31"/>
      <c r="D945" s="32"/>
      <c r="E945" s="32"/>
      <c r="F945" s="29"/>
      <c r="G945" s="29"/>
      <c r="H945" s="3"/>
      <c r="I945" s="29"/>
      <c r="J945" s="29"/>
      <c r="K945" s="29"/>
      <c r="L945" s="29"/>
      <c r="M945" s="29"/>
      <c r="N945" s="29"/>
      <c r="O945" s="3"/>
      <c r="P945" s="3"/>
      <c r="Q945" s="3"/>
      <c r="R945" s="3"/>
      <c r="S945" s="3"/>
    </row>
    <row r="946" ht="15.75" customHeight="1">
      <c r="A946" s="3"/>
      <c r="B946" s="31"/>
      <c r="C946" s="31"/>
      <c r="D946" s="32"/>
      <c r="E946" s="32"/>
      <c r="F946" s="29"/>
      <c r="G946" s="29"/>
      <c r="H946" s="3"/>
      <c r="I946" s="29"/>
      <c r="J946" s="29"/>
      <c r="K946" s="29"/>
      <c r="L946" s="29"/>
      <c r="M946" s="29"/>
      <c r="N946" s="29"/>
      <c r="O946" s="3"/>
      <c r="P946" s="3"/>
      <c r="Q946" s="3"/>
      <c r="R946" s="3"/>
      <c r="S946" s="3"/>
    </row>
    <row r="947" ht="15.75" customHeight="1">
      <c r="A947" s="3"/>
      <c r="B947" s="31"/>
      <c r="C947" s="31"/>
      <c r="D947" s="32"/>
      <c r="E947" s="32"/>
      <c r="F947" s="29"/>
      <c r="G947" s="29"/>
      <c r="H947" s="3"/>
      <c r="I947" s="29"/>
      <c r="J947" s="29"/>
      <c r="K947" s="29"/>
      <c r="L947" s="29"/>
      <c r="M947" s="29"/>
      <c r="N947" s="29"/>
      <c r="O947" s="3"/>
      <c r="P947" s="3"/>
      <c r="Q947" s="3"/>
      <c r="R947" s="3"/>
      <c r="S947" s="3"/>
    </row>
    <row r="948" ht="15.75" customHeight="1">
      <c r="A948" s="3"/>
      <c r="B948" s="31"/>
      <c r="C948" s="31"/>
      <c r="D948" s="32"/>
      <c r="E948" s="32"/>
      <c r="F948" s="29"/>
      <c r="G948" s="29"/>
      <c r="H948" s="3"/>
      <c r="I948" s="29"/>
      <c r="J948" s="29"/>
      <c r="K948" s="29"/>
      <c r="L948" s="29"/>
      <c r="M948" s="29"/>
      <c r="N948" s="29"/>
      <c r="O948" s="3"/>
      <c r="P948" s="3"/>
      <c r="Q948" s="3"/>
      <c r="R948" s="3"/>
      <c r="S948" s="3"/>
    </row>
    <row r="949" ht="15.75" customHeight="1">
      <c r="A949" s="3"/>
      <c r="B949" s="31"/>
      <c r="C949" s="31"/>
      <c r="D949" s="32"/>
      <c r="E949" s="32"/>
      <c r="F949" s="29"/>
      <c r="G949" s="29"/>
      <c r="H949" s="3"/>
      <c r="I949" s="29"/>
      <c r="J949" s="29"/>
      <c r="K949" s="29"/>
      <c r="L949" s="29"/>
      <c r="M949" s="29"/>
      <c r="N949" s="29"/>
      <c r="O949" s="3"/>
      <c r="P949" s="3"/>
      <c r="Q949" s="3"/>
      <c r="R949" s="3"/>
      <c r="S949" s="3"/>
    </row>
    <row r="950" ht="15.75" customHeight="1">
      <c r="A950" s="3"/>
      <c r="B950" s="31"/>
      <c r="C950" s="31"/>
      <c r="D950" s="32"/>
      <c r="E950" s="32"/>
      <c r="F950" s="29"/>
      <c r="G950" s="29"/>
      <c r="H950" s="3"/>
      <c r="I950" s="29"/>
      <c r="J950" s="29"/>
      <c r="K950" s="29"/>
      <c r="L950" s="29"/>
      <c r="M950" s="29"/>
      <c r="N950" s="29"/>
      <c r="O950" s="3"/>
      <c r="P950" s="3"/>
      <c r="Q950" s="3"/>
      <c r="R950" s="3"/>
      <c r="S950" s="3"/>
    </row>
    <row r="951" ht="15.75" customHeight="1">
      <c r="A951" s="3"/>
      <c r="B951" s="31"/>
      <c r="C951" s="31"/>
      <c r="D951" s="32"/>
      <c r="E951" s="32"/>
      <c r="F951" s="29"/>
      <c r="G951" s="29"/>
      <c r="H951" s="3"/>
      <c r="I951" s="29"/>
      <c r="J951" s="29"/>
      <c r="K951" s="29"/>
      <c r="L951" s="29"/>
      <c r="M951" s="29"/>
      <c r="N951" s="29"/>
      <c r="O951" s="3"/>
      <c r="P951" s="3"/>
      <c r="Q951" s="3"/>
      <c r="R951" s="3"/>
      <c r="S951" s="3"/>
    </row>
    <row r="952" ht="15.75" customHeight="1">
      <c r="A952" s="3"/>
      <c r="B952" s="31"/>
      <c r="C952" s="31"/>
      <c r="D952" s="32"/>
      <c r="E952" s="32"/>
      <c r="F952" s="29"/>
      <c r="G952" s="29"/>
      <c r="H952" s="3"/>
      <c r="I952" s="29"/>
      <c r="J952" s="29"/>
      <c r="K952" s="29"/>
      <c r="L952" s="29"/>
      <c r="M952" s="29"/>
      <c r="N952" s="29"/>
      <c r="O952" s="3"/>
      <c r="P952" s="3"/>
      <c r="Q952" s="3"/>
      <c r="R952" s="3"/>
      <c r="S952" s="3"/>
    </row>
    <row r="953" ht="15.75" customHeight="1">
      <c r="A953" s="3"/>
      <c r="B953" s="31"/>
      <c r="C953" s="31"/>
      <c r="D953" s="32"/>
      <c r="E953" s="32"/>
      <c r="F953" s="29"/>
      <c r="G953" s="29"/>
      <c r="H953" s="3"/>
      <c r="I953" s="29"/>
      <c r="J953" s="29"/>
      <c r="K953" s="29"/>
      <c r="L953" s="29"/>
      <c r="M953" s="29"/>
      <c r="N953" s="29"/>
      <c r="O953" s="3"/>
      <c r="P953" s="3"/>
      <c r="Q953" s="3"/>
      <c r="R953" s="3"/>
      <c r="S953" s="3"/>
    </row>
    <row r="954" ht="15.75" customHeight="1">
      <c r="A954" s="3"/>
      <c r="B954" s="31"/>
      <c r="C954" s="31"/>
      <c r="D954" s="32"/>
      <c r="E954" s="32"/>
      <c r="F954" s="29"/>
      <c r="G954" s="29"/>
      <c r="H954" s="3"/>
      <c r="I954" s="29"/>
      <c r="J954" s="29"/>
      <c r="K954" s="29"/>
      <c r="L954" s="29"/>
      <c r="M954" s="29"/>
      <c r="N954" s="29"/>
      <c r="O954" s="3"/>
      <c r="P954" s="3"/>
      <c r="Q954" s="3"/>
      <c r="R954" s="3"/>
      <c r="S954" s="3"/>
    </row>
    <row r="955" ht="15.75" customHeight="1">
      <c r="A955" s="3"/>
      <c r="B955" s="31"/>
      <c r="C955" s="31"/>
      <c r="D955" s="32"/>
      <c r="E955" s="32"/>
      <c r="F955" s="29"/>
      <c r="G955" s="29"/>
      <c r="H955" s="3"/>
      <c r="I955" s="29"/>
      <c r="J955" s="29"/>
      <c r="K955" s="29"/>
      <c r="L955" s="29"/>
      <c r="M955" s="29"/>
      <c r="N955" s="29"/>
      <c r="O955" s="3"/>
      <c r="P955" s="3"/>
      <c r="Q955" s="3"/>
      <c r="R955" s="3"/>
      <c r="S955" s="3"/>
    </row>
    <row r="956" ht="15.75" customHeight="1">
      <c r="A956" s="3"/>
      <c r="B956" s="31"/>
      <c r="C956" s="31"/>
      <c r="D956" s="32"/>
      <c r="E956" s="32"/>
      <c r="F956" s="29"/>
      <c r="G956" s="29"/>
      <c r="H956" s="3"/>
      <c r="I956" s="29"/>
      <c r="J956" s="29"/>
      <c r="K956" s="29"/>
      <c r="L956" s="29"/>
      <c r="M956" s="29"/>
      <c r="N956" s="29"/>
      <c r="O956" s="3"/>
      <c r="P956" s="3"/>
      <c r="Q956" s="3"/>
      <c r="R956" s="3"/>
      <c r="S956" s="3"/>
    </row>
    <row r="957" ht="15.75" customHeight="1">
      <c r="A957" s="3"/>
      <c r="B957" s="31"/>
      <c r="C957" s="31"/>
      <c r="D957" s="32"/>
      <c r="E957" s="32"/>
      <c r="F957" s="29"/>
      <c r="G957" s="29"/>
      <c r="H957" s="3"/>
      <c r="I957" s="29"/>
      <c r="J957" s="29"/>
      <c r="K957" s="29"/>
      <c r="L957" s="29"/>
      <c r="M957" s="29"/>
      <c r="N957" s="29"/>
      <c r="O957" s="3"/>
      <c r="P957" s="3"/>
      <c r="Q957" s="3"/>
      <c r="R957" s="3"/>
      <c r="S957" s="3"/>
    </row>
    <row r="958" ht="15.75" customHeight="1">
      <c r="A958" s="3"/>
      <c r="B958" s="31"/>
      <c r="C958" s="31"/>
      <c r="D958" s="32"/>
      <c r="E958" s="32"/>
      <c r="F958" s="29"/>
      <c r="G958" s="29"/>
      <c r="H958" s="3"/>
      <c r="I958" s="29"/>
      <c r="J958" s="29"/>
      <c r="K958" s="29"/>
      <c r="L958" s="29"/>
      <c r="M958" s="29"/>
      <c r="N958" s="29"/>
      <c r="O958" s="3"/>
      <c r="P958" s="3"/>
      <c r="Q958" s="3"/>
      <c r="R958" s="3"/>
      <c r="S958" s="3"/>
    </row>
    <row r="959" ht="15.75" customHeight="1">
      <c r="A959" s="3"/>
      <c r="B959" s="31"/>
      <c r="C959" s="31"/>
      <c r="D959" s="32"/>
      <c r="E959" s="32"/>
      <c r="F959" s="29"/>
      <c r="G959" s="29"/>
      <c r="H959" s="3"/>
      <c r="I959" s="29"/>
      <c r="J959" s="29"/>
      <c r="K959" s="29"/>
      <c r="L959" s="29"/>
      <c r="M959" s="29"/>
      <c r="N959" s="29"/>
      <c r="O959" s="3"/>
      <c r="P959" s="3"/>
      <c r="Q959" s="3"/>
      <c r="R959" s="3"/>
      <c r="S959" s="3"/>
    </row>
    <row r="960" ht="15.75" customHeight="1">
      <c r="A960" s="3"/>
      <c r="B960" s="31"/>
      <c r="C960" s="31"/>
      <c r="D960" s="32"/>
      <c r="E960" s="32"/>
      <c r="F960" s="29"/>
      <c r="G960" s="29"/>
      <c r="H960" s="3"/>
      <c r="I960" s="29"/>
      <c r="J960" s="29"/>
      <c r="K960" s="29"/>
      <c r="L960" s="29"/>
      <c r="M960" s="29"/>
      <c r="N960" s="29"/>
      <c r="O960" s="3"/>
      <c r="P960" s="3"/>
      <c r="Q960" s="3"/>
      <c r="R960" s="3"/>
      <c r="S960" s="3"/>
    </row>
    <row r="961" ht="15.75" customHeight="1">
      <c r="A961" s="3"/>
      <c r="B961" s="31"/>
      <c r="C961" s="31"/>
      <c r="D961" s="32"/>
      <c r="E961" s="32"/>
      <c r="F961" s="29"/>
      <c r="G961" s="29"/>
      <c r="H961" s="3"/>
      <c r="I961" s="29"/>
      <c r="J961" s="29"/>
      <c r="K961" s="29"/>
      <c r="L961" s="29"/>
      <c r="M961" s="29"/>
      <c r="N961" s="29"/>
      <c r="O961" s="3"/>
      <c r="P961" s="3"/>
      <c r="Q961" s="3"/>
      <c r="R961" s="3"/>
      <c r="S961" s="3"/>
    </row>
    <row r="962" ht="15.75" customHeight="1">
      <c r="A962" s="3"/>
      <c r="B962" s="31"/>
      <c r="C962" s="31"/>
      <c r="D962" s="32"/>
      <c r="E962" s="32"/>
      <c r="F962" s="29"/>
      <c r="G962" s="29"/>
      <c r="H962" s="3"/>
      <c r="I962" s="29"/>
      <c r="J962" s="29"/>
      <c r="K962" s="29"/>
      <c r="L962" s="29"/>
      <c r="M962" s="29"/>
      <c r="N962" s="29"/>
      <c r="O962" s="3"/>
      <c r="P962" s="3"/>
      <c r="Q962" s="3"/>
      <c r="R962" s="3"/>
      <c r="S962" s="3"/>
    </row>
    <row r="963" ht="15.75" customHeight="1">
      <c r="A963" s="3"/>
      <c r="B963" s="31"/>
      <c r="C963" s="31"/>
      <c r="D963" s="32"/>
      <c r="E963" s="32"/>
      <c r="F963" s="29"/>
      <c r="G963" s="29"/>
      <c r="H963" s="3"/>
      <c r="I963" s="29"/>
      <c r="J963" s="29"/>
      <c r="K963" s="29"/>
      <c r="L963" s="29"/>
      <c r="M963" s="29"/>
      <c r="N963" s="29"/>
      <c r="O963" s="3"/>
      <c r="P963" s="3"/>
      <c r="Q963" s="3"/>
      <c r="R963" s="3"/>
      <c r="S963" s="3"/>
    </row>
    <row r="964" ht="15.75" customHeight="1">
      <c r="A964" s="3"/>
      <c r="B964" s="31"/>
      <c r="C964" s="31"/>
      <c r="D964" s="32"/>
      <c r="E964" s="32"/>
      <c r="F964" s="29"/>
      <c r="G964" s="29"/>
      <c r="H964" s="3"/>
      <c r="I964" s="29"/>
      <c r="J964" s="29"/>
      <c r="K964" s="29"/>
      <c r="L964" s="29"/>
      <c r="M964" s="29"/>
      <c r="N964" s="29"/>
      <c r="O964" s="3"/>
      <c r="P964" s="3"/>
      <c r="Q964" s="3"/>
      <c r="R964" s="3"/>
      <c r="S964" s="3"/>
    </row>
    <row r="965" ht="15.75" customHeight="1">
      <c r="A965" s="3"/>
      <c r="B965" s="31"/>
      <c r="C965" s="31"/>
      <c r="D965" s="32"/>
      <c r="E965" s="32"/>
      <c r="F965" s="29"/>
      <c r="G965" s="29"/>
      <c r="H965" s="3"/>
      <c r="I965" s="29"/>
      <c r="J965" s="29"/>
      <c r="K965" s="29"/>
      <c r="L965" s="29"/>
      <c r="M965" s="29"/>
      <c r="N965" s="29"/>
      <c r="O965" s="3"/>
      <c r="P965" s="3"/>
      <c r="Q965" s="3"/>
      <c r="R965" s="3"/>
      <c r="S965" s="3"/>
    </row>
    <row r="966" ht="15.75" customHeight="1">
      <c r="A966" s="3"/>
      <c r="B966" s="31"/>
      <c r="C966" s="31"/>
      <c r="D966" s="32"/>
      <c r="E966" s="32"/>
      <c r="F966" s="29"/>
      <c r="G966" s="29"/>
      <c r="H966" s="3"/>
      <c r="I966" s="29"/>
      <c r="J966" s="29"/>
      <c r="K966" s="29"/>
      <c r="L966" s="29"/>
      <c r="M966" s="29"/>
      <c r="N966" s="29"/>
      <c r="O966" s="3"/>
      <c r="P966" s="3"/>
      <c r="Q966" s="3"/>
      <c r="R966" s="3"/>
      <c r="S966" s="3"/>
    </row>
    <row r="967" ht="15.75" customHeight="1">
      <c r="A967" s="3"/>
      <c r="B967" s="31"/>
      <c r="C967" s="31"/>
      <c r="D967" s="32"/>
      <c r="E967" s="32"/>
      <c r="F967" s="29"/>
      <c r="G967" s="29"/>
      <c r="H967" s="3"/>
      <c r="I967" s="29"/>
      <c r="J967" s="29"/>
      <c r="K967" s="29"/>
      <c r="L967" s="29"/>
      <c r="M967" s="29"/>
      <c r="N967" s="29"/>
      <c r="O967" s="3"/>
      <c r="P967" s="3"/>
      <c r="Q967" s="3"/>
      <c r="R967" s="3"/>
      <c r="S967" s="3"/>
    </row>
    <row r="968" ht="15.75" customHeight="1">
      <c r="A968" s="3"/>
      <c r="B968" s="31"/>
      <c r="C968" s="31"/>
      <c r="D968" s="32"/>
      <c r="E968" s="32"/>
      <c r="F968" s="29"/>
      <c r="G968" s="29"/>
      <c r="H968" s="3"/>
      <c r="I968" s="29"/>
      <c r="J968" s="29"/>
      <c r="K968" s="29"/>
      <c r="L968" s="29"/>
      <c r="M968" s="29"/>
      <c r="N968" s="29"/>
      <c r="O968" s="3"/>
      <c r="P968" s="3"/>
      <c r="Q968" s="3"/>
      <c r="R968" s="3"/>
      <c r="S968" s="3"/>
    </row>
    <row r="969" ht="15.75" customHeight="1">
      <c r="A969" s="3"/>
      <c r="B969" s="31"/>
      <c r="C969" s="31"/>
      <c r="D969" s="32"/>
      <c r="E969" s="32"/>
      <c r="F969" s="29"/>
      <c r="G969" s="29"/>
      <c r="H969" s="3"/>
      <c r="I969" s="29"/>
      <c r="J969" s="29"/>
      <c r="K969" s="29"/>
      <c r="L969" s="29"/>
      <c r="M969" s="29"/>
      <c r="N969" s="29"/>
      <c r="O969" s="3"/>
      <c r="P969" s="3"/>
      <c r="Q969" s="3"/>
      <c r="R969" s="3"/>
      <c r="S969" s="3"/>
    </row>
    <row r="970" ht="15.75" customHeight="1">
      <c r="A970" s="3"/>
      <c r="B970" s="31"/>
      <c r="C970" s="31"/>
      <c r="D970" s="32"/>
      <c r="E970" s="32"/>
      <c r="F970" s="29"/>
      <c r="G970" s="29"/>
      <c r="H970" s="3"/>
      <c r="I970" s="29"/>
      <c r="J970" s="29"/>
      <c r="K970" s="29"/>
      <c r="L970" s="29"/>
      <c r="M970" s="29"/>
      <c r="N970" s="29"/>
      <c r="O970" s="3"/>
      <c r="P970" s="3"/>
      <c r="Q970" s="3"/>
      <c r="R970" s="3"/>
      <c r="S970" s="3"/>
    </row>
    <row r="971" ht="15.75" customHeight="1">
      <c r="A971" s="3"/>
      <c r="B971" s="31"/>
      <c r="C971" s="31"/>
      <c r="D971" s="32"/>
      <c r="E971" s="32"/>
      <c r="F971" s="29"/>
      <c r="G971" s="29"/>
      <c r="H971" s="3"/>
      <c r="I971" s="29"/>
      <c r="J971" s="29"/>
      <c r="K971" s="29"/>
      <c r="L971" s="29"/>
      <c r="M971" s="29"/>
      <c r="N971" s="29"/>
      <c r="O971" s="3"/>
      <c r="P971" s="3"/>
      <c r="Q971" s="3"/>
      <c r="R971" s="3"/>
      <c r="S971" s="3"/>
    </row>
    <row r="972" ht="15.75" customHeight="1">
      <c r="A972" s="3"/>
      <c r="B972" s="31"/>
      <c r="C972" s="31"/>
      <c r="D972" s="32"/>
      <c r="E972" s="32"/>
      <c r="F972" s="29"/>
      <c r="G972" s="29"/>
      <c r="H972" s="3"/>
      <c r="I972" s="29"/>
      <c r="J972" s="29"/>
      <c r="K972" s="29"/>
      <c r="L972" s="29"/>
      <c r="M972" s="29"/>
      <c r="N972" s="29"/>
      <c r="O972" s="3"/>
      <c r="P972" s="3"/>
      <c r="Q972" s="3"/>
      <c r="R972" s="3"/>
      <c r="S972" s="3"/>
    </row>
    <row r="973" ht="15.75" customHeight="1">
      <c r="A973" s="3"/>
      <c r="B973" s="31"/>
      <c r="C973" s="31"/>
      <c r="D973" s="32"/>
      <c r="E973" s="32"/>
      <c r="F973" s="29"/>
      <c r="G973" s="29"/>
      <c r="H973" s="3"/>
      <c r="I973" s="29"/>
      <c r="J973" s="29"/>
      <c r="K973" s="29"/>
      <c r="L973" s="29"/>
      <c r="M973" s="29"/>
      <c r="N973" s="29"/>
      <c r="O973" s="3"/>
      <c r="P973" s="3"/>
      <c r="Q973" s="3"/>
      <c r="R973" s="3"/>
      <c r="S973" s="3"/>
    </row>
    <row r="974" ht="15.75" customHeight="1">
      <c r="A974" s="3"/>
      <c r="B974" s="31"/>
      <c r="C974" s="31"/>
      <c r="D974" s="32"/>
      <c r="E974" s="32"/>
      <c r="F974" s="29"/>
      <c r="G974" s="29"/>
      <c r="H974" s="3"/>
      <c r="I974" s="29"/>
      <c r="J974" s="29"/>
      <c r="K974" s="29"/>
      <c r="L974" s="29"/>
      <c r="M974" s="29"/>
      <c r="N974" s="29"/>
      <c r="O974" s="3"/>
      <c r="P974" s="3"/>
      <c r="Q974" s="3"/>
      <c r="R974" s="3"/>
      <c r="S974" s="3"/>
    </row>
    <row r="975" ht="15.75" customHeight="1">
      <c r="A975" s="3"/>
      <c r="B975" s="31"/>
      <c r="C975" s="31"/>
      <c r="D975" s="32"/>
      <c r="E975" s="32"/>
      <c r="F975" s="29"/>
      <c r="G975" s="29"/>
      <c r="H975" s="3"/>
      <c r="I975" s="29"/>
      <c r="J975" s="29"/>
      <c r="K975" s="29"/>
      <c r="L975" s="29"/>
      <c r="M975" s="29"/>
      <c r="N975" s="29"/>
      <c r="O975" s="3"/>
      <c r="P975" s="3"/>
      <c r="Q975" s="3"/>
      <c r="R975" s="3"/>
      <c r="S975" s="3"/>
    </row>
    <row r="976" ht="15.75" customHeight="1">
      <c r="A976" s="3"/>
      <c r="B976" s="31"/>
      <c r="C976" s="31"/>
      <c r="D976" s="32"/>
      <c r="E976" s="32"/>
      <c r="F976" s="29"/>
      <c r="G976" s="29"/>
      <c r="H976" s="3"/>
      <c r="I976" s="29"/>
      <c r="J976" s="29"/>
      <c r="K976" s="29"/>
      <c r="L976" s="29"/>
      <c r="M976" s="29"/>
      <c r="N976" s="29"/>
      <c r="O976" s="3"/>
      <c r="P976" s="3"/>
      <c r="Q976" s="3"/>
      <c r="R976" s="3"/>
      <c r="S976" s="3"/>
    </row>
    <row r="977" ht="15.75" customHeight="1">
      <c r="A977" s="3"/>
      <c r="B977" s="31"/>
      <c r="C977" s="31"/>
      <c r="D977" s="32"/>
      <c r="E977" s="32"/>
      <c r="F977" s="29"/>
      <c r="G977" s="29"/>
      <c r="H977" s="3"/>
      <c r="I977" s="29"/>
      <c r="J977" s="29"/>
      <c r="K977" s="29"/>
      <c r="L977" s="29"/>
      <c r="M977" s="29"/>
      <c r="N977" s="29"/>
      <c r="O977" s="3"/>
      <c r="P977" s="3"/>
      <c r="Q977" s="3"/>
      <c r="R977" s="3"/>
      <c r="S977" s="3"/>
    </row>
    <row r="978" ht="15.75" customHeight="1">
      <c r="A978" s="3"/>
      <c r="B978" s="31"/>
      <c r="C978" s="31"/>
      <c r="D978" s="32"/>
      <c r="E978" s="32"/>
      <c r="F978" s="29"/>
      <c r="G978" s="29"/>
      <c r="H978" s="3"/>
      <c r="I978" s="29"/>
      <c r="J978" s="29"/>
      <c r="K978" s="29"/>
      <c r="L978" s="29"/>
      <c r="M978" s="29"/>
      <c r="N978" s="29"/>
      <c r="O978" s="3"/>
      <c r="P978" s="3"/>
      <c r="Q978" s="3"/>
      <c r="R978" s="3"/>
      <c r="S978" s="3"/>
    </row>
    <row r="979" ht="15.75" customHeight="1">
      <c r="A979" s="3"/>
      <c r="B979" s="31"/>
      <c r="C979" s="31"/>
      <c r="D979" s="32"/>
      <c r="E979" s="32"/>
      <c r="F979" s="29"/>
      <c r="G979" s="29"/>
      <c r="H979" s="3"/>
      <c r="I979" s="29"/>
      <c r="J979" s="29"/>
      <c r="K979" s="29"/>
      <c r="L979" s="29"/>
      <c r="M979" s="29"/>
      <c r="N979" s="29"/>
      <c r="O979" s="3"/>
      <c r="P979" s="3"/>
      <c r="Q979" s="3"/>
      <c r="R979" s="3"/>
      <c r="S979" s="3"/>
    </row>
    <row r="980" ht="15.75" customHeight="1">
      <c r="A980" s="3"/>
      <c r="B980" s="31"/>
      <c r="C980" s="31"/>
      <c r="D980" s="32"/>
      <c r="E980" s="32"/>
      <c r="F980" s="29"/>
      <c r="G980" s="29"/>
      <c r="H980" s="3"/>
      <c r="I980" s="29"/>
      <c r="J980" s="29"/>
      <c r="K980" s="29"/>
      <c r="L980" s="29"/>
      <c r="M980" s="29"/>
      <c r="N980" s="29"/>
      <c r="O980" s="3"/>
      <c r="P980" s="3"/>
      <c r="Q980" s="3"/>
      <c r="R980" s="3"/>
      <c r="S980" s="3"/>
    </row>
    <row r="981" ht="15.75" customHeight="1">
      <c r="A981" s="3"/>
      <c r="B981" s="31"/>
      <c r="C981" s="31"/>
      <c r="D981" s="32"/>
      <c r="E981" s="32"/>
      <c r="F981" s="29"/>
      <c r="G981" s="29"/>
      <c r="H981" s="3"/>
      <c r="I981" s="29"/>
      <c r="J981" s="29"/>
      <c r="K981" s="29"/>
      <c r="L981" s="29"/>
      <c r="M981" s="29"/>
      <c r="N981" s="29"/>
      <c r="O981" s="3"/>
      <c r="P981" s="3"/>
      <c r="Q981" s="3"/>
      <c r="R981" s="3"/>
      <c r="S981" s="3"/>
    </row>
    <row r="982" ht="15.75" customHeight="1">
      <c r="A982" s="3"/>
      <c r="B982" s="31"/>
      <c r="C982" s="31"/>
      <c r="D982" s="32"/>
      <c r="E982" s="32"/>
      <c r="F982" s="29"/>
      <c r="G982" s="29"/>
      <c r="H982" s="3"/>
      <c r="I982" s="29"/>
      <c r="J982" s="29"/>
      <c r="K982" s="29"/>
      <c r="L982" s="29"/>
      <c r="M982" s="29"/>
      <c r="N982" s="29"/>
      <c r="O982" s="3"/>
      <c r="P982" s="3"/>
      <c r="Q982" s="3"/>
      <c r="R982" s="3"/>
      <c r="S982" s="3"/>
    </row>
    <row r="983" ht="15.75" customHeight="1">
      <c r="A983" s="3"/>
      <c r="B983" s="31"/>
      <c r="C983" s="31"/>
      <c r="D983" s="32"/>
      <c r="E983" s="32"/>
      <c r="F983" s="29"/>
      <c r="G983" s="29"/>
      <c r="H983" s="3"/>
      <c r="I983" s="29"/>
      <c r="J983" s="29"/>
      <c r="K983" s="29"/>
      <c r="L983" s="29"/>
      <c r="M983" s="29"/>
      <c r="N983" s="29"/>
      <c r="O983" s="3"/>
      <c r="P983" s="3"/>
      <c r="Q983" s="3"/>
      <c r="R983" s="3"/>
      <c r="S983" s="3"/>
    </row>
    <row r="984" ht="15.75" customHeight="1">
      <c r="A984" s="3"/>
      <c r="B984" s="31"/>
      <c r="C984" s="31"/>
      <c r="D984" s="32"/>
      <c r="E984" s="32"/>
      <c r="F984" s="29"/>
      <c r="G984" s="29"/>
      <c r="H984" s="3"/>
      <c r="I984" s="29"/>
      <c r="J984" s="29"/>
      <c r="K984" s="29"/>
      <c r="L984" s="29"/>
      <c r="M984" s="29"/>
      <c r="N984" s="29"/>
      <c r="O984" s="3"/>
      <c r="P984" s="3"/>
      <c r="Q984" s="3"/>
      <c r="R984" s="3"/>
      <c r="S984" s="3"/>
    </row>
    <row r="985" ht="15.75" customHeight="1">
      <c r="A985" s="3"/>
      <c r="B985" s="31"/>
      <c r="C985" s="31"/>
      <c r="D985" s="32"/>
      <c r="E985" s="32"/>
      <c r="F985" s="29"/>
      <c r="G985" s="29"/>
      <c r="H985" s="3"/>
      <c r="I985" s="29"/>
      <c r="J985" s="29"/>
      <c r="K985" s="29"/>
      <c r="L985" s="29"/>
      <c r="M985" s="29"/>
      <c r="N985" s="29"/>
      <c r="O985" s="3"/>
      <c r="P985" s="3"/>
      <c r="Q985" s="3"/>
      <c r="R985" s="3"/>
      <c r="S985" s="3"/>
    </row>
    <row r="986" ht="15.75" customHeight="1">
      <c r="A986" s="3"/>
      <c r="B986" s="31"/>
      <c r="C986" s="31"/>
      <c r="D986" s="32"/>
      <c r="E986" s="32"/>
      <c r="F986" s="29"/>
      <c r="G986" s="29"/>
      <c r="H986" s="3"/>
      <c r="I986" s="29"/>
      <c r="J986" s="29"/>
      <c r="K986" s="29"/>
      <c r="L986" s="29"/>
      <c r="M986" s="29"/>
      <c r="N986" s="29"/>
      <c r="O986" s="3"/>
      <c r="P986" s="3"/>
      <c r="Q986" s="3"/>
      <c r="R986" s="3"/>
      <c r="S986" s="3"/>
    </row>
    <row r="987" ht="15.75" customHeight="1">
      <c r="A987" s="3"/>
      <c r="B987" s="31"/>
      <c r="C987" s="31"/>
      <c r="D987" s="32"/>
      <c r="E987" s="32"/>
      <c r="F987" s="29"/>
      <c r="G987" s="29"/>
      <c r="H987" s="3"/>
      <c r="I987" s="29"/>
      <c r="J987" s="29"/>
      <c r="K987" s="29"/>
      <c r="L987" s="29"/>
      <c r="M987" s="29"/>
      <c r="N987" s="29"/>
      <c r="O987" s="3"/>
      <c r="P987" s="3"/>
      <c r="Q987" s="3"/>
      <c r="R987" s="3"/>
      <c r="S987" s="3"/>
    </row>
    <row r="988" ht="15.75" customHeight="1">
      <c r="A988" s="3"/>
      <c r="B988" s="31"/>
      <c r="C988" s="31"/>
      <c r="D988" s="32"/>
      <c r="E988" s="32"/>
      <c r="F988" s="29"/>
      <c r="G988" s="29"/>
      <c r="H988" s="3"/>
      <c r="I988" s="29"/>
      <c r="J988" s="29"/>
      <c r="K988" s="29"/>
      <c r="L988" s="29"/>
      <c r="M988" s="29"/>
      <c r="N988" s="29"/>
      <c r="O988" s="3"/>
      <c r="P988" s="3"/>
      <c r="Q988" s="3"/>
      <c r="R988" s="3"/>
      <c r="S988" s="3"/>
    </row>
    <row r="989" ht="15.75" customHeight="1">
      <c r="A989" s="3"/>
      <c r="B989" s="31"/>
      <c r="C989" s="31"/>
      <c r="D989" s="32"/>
      <c r="E989" s="32"/>
      <c r="F989" s="29"/>
      <c r="G989" s="29"/>
      <c r="H989" s="3"/>
      <c r="I989" s="29"/>
      <c r="J989" s="29"/>
      <c r="K989" s="29"/>
      <c r="L989" s="29"/>
      <c r="M989" s="29"/>
      <c r="N989" s="29"/>
      <c r="O989" s="3"/>
      <c r="P989" s="3"/>
      <c r="Q989" s="3"/>
      <c r="R989" s="3"/>
      <c r="S989" s="3"/>
    </row>
    <row r="990" ht="15.75" customHeight="1">
      <c r="A990" s="3"/>
      <c r="B990" s="31"/>
      <c r="C990" s="31"/>
      <c r="D990" s="32"/>
      <c r="E990" s="32"/>
      <c r="F990" s="29"/>
      <c r="G990" s="29"/>
      <c r="H990" s="3"/>
      <c r="I990" s="29"/>
      <c r="J990" s="29"/>
      <c r="K990" s="29"/>
      <c r="L990" s="29"/>
      <c r="M990" s="29"/>
      <c r="N990" s="29"/>
      <c r="O990" s="3"/>
      <c r="P990" s="3"/>
      <c r="Q990" s="3"/>
      <c r="R990" s="3"/>
      <c r="S990" s="3"/>
    </row>
    <row r="991" ht="15.75" customHeight="1">
      <c r="A991" s="3"/>
      <c r="B991" s="31"/>
      <c r="C991" s="31"/>
      <c r="D991" s="32"/>
      <c r="E991" s="32"/>
      <c r="F991" s="29"/>
      <c r="G991" s="29"/>
      <c r="H991" s="3"/>
      <c r="I991" s="29"/>
      <c r="J991" s="29"/>
      <c r="K991" s="29"/>
      <c r="L991" s="29"/>
      <c r="M991" s="29"/>
      <c r="N991" s="29"/>
      <c r="O991" s="3"/>
      <c r="P991" s="3"/>
      <c r="Q991" s="3"/>
      <c r="R991" s="3"/>
      <c r="S991" s="3"/>
    </row>
    <row r="992" ht="15.75" customHeight="1">
      <c r="A992" s="3"/>
      <c r="B992" s="31"/>
      <c r="C992" s="31"/>
      <c r="D992" s="32"/>
      <c r="E992" s="32"/>
      <c r="F992" s="29"/>
      <c r="G992" s="29"/>
      <c r="H992" s="3"/>
      <c r="I992" s="29"/>
      <c r="J992" s="29"/>
      <c r="K992" s="29"/>
      <c r="L992" s="29"/>
      <c r="M992" s="29"/>
      <c r="N992" s="29"/>
      <c r="O992" s="3"/>
      <c r="P992" s="3"/>
      <c r="Q992" s="3"/>
      <c r="R992" s="3"/>
      <c r="S992" s="3"/>
    </row>
    <row r="993" ht="15.75" customHeight="1">
      <c r="A993" s="3"/>
      <c r="B993" s="31"/>
      <c r="C993" s="31"/>
      <c r="D993" s="32"/>
      <c r="E993" s="32"/>
      <c r="F993" s="29"/>
      <c r="G993" s="29"/>
      <c r="H993" s="3"/>
      <c r="I993" s="29"/>
      <c r="J993" s="29"/>
      <c r="K993" s="29"/>
      <c r="L993" s="29"/>
      <c r="M993" s="29"/>
      <c r="N993" s="29"/>
      <c r="O993" s="3"/>
      <c r="P993" s="3"/>
      <c r="Q993" s="3"/>
      <c r="R993" s="3"/>
      <c r="S993" s="3"/>
    </row>
    <row r="994" ht="15.75" customHeight="1">
      <c r="A994" s="3"/>
      <c r="B994" s="31"/>
      <c r="C994" s="31"/>
      <c r="D994" s="32"/>
      <c r="E994" s="32"/>
      <c r="F994" s="29"/>
      <c r="G994" s="29"/>
      <c r="H994" s="3"/>
      <c r="I994" s="29"/>
      <c r="J994" s="29"/>
      <c r="K994" s="29"/>
      <c r="L994" s="29"/>
      <c r="M994" s="29"/>
      <c r="N994" s="29"/>
      <c r="O994" s="3"/>
      <c r="P994" s="3"/>
      <c r="Q994" s="3"/>
      <c r="R994" s="3"/>
      <c r="S994" s="3"/>
    </row>
    <row r="995" ht="15.75" customHeight="1">
      <c r="A995" s="3"/>
      <c r="B995" s="31"/>
      <c r="C995" s="31"/>
      <c r="D995" s="32"/>
      <c r="E995" s="32"/>
      <c r="F995" s="29"/>
      <c r="G995" s="29"/>
      <c r="H995" s="3"/>
      <c r="I995" s="29"/>
      <c r="J995" s="29"/>
      <c r="K995" s="29"/>
      <c r="L995" s="29"/>
      <c r="M995" s="29"/>
      <c r="N995" s="29"/>
      <c r="O995" s="3"/>
      <c r="P995" s="3"/>
      <c r="Q995" s="3"/>
      <c r="R995" s="3"/>
      <c r="S995" s="3"/>
    </row>
    <row r="996" ht="15.75" customHeight="1">
      <c r="A996" s="3"/>
      <c r="B996" s="31"/>
      <c r="C996" s="31"/>
      <c r="D996" s="32"/>
      <c r="E996" s="32"/>
      <c r="F996" s="29"/>
      <c r="G996" s="29"/>
      <c r="H996" s="3"/>
      <c r="I996" s="29"/>
      <c r="J996" s="29"/>
      <c r="K996" s="29"/>
      <c r="L996" s="29"/>
      <c r="M996" s="29"/>
      <c r="N996" s="29"/>
      <c r="O996" s="3"/>
      <c r="P996" s="3"/>
      <c r="Q996" s="3"/>
      <c r="R996" s="3"/>
      <c r="S996" s="3"/>
    </row>
    <row r="997" ht="15.75" customHeight="1">
      <c r="A997" s="3"/>
      <c r="B997" s="31"/>
      <c r="C997" s="31"/>
      <c r="D997" s="32"/>
      <c r="E997" s="32"/>
      <c r="F997" s="29"/>
      <c r="G997" s="29"/>
      <c r="H997" s="3"/>
      <c r="I997" s="29"/>
      <c r="J997" s="29"/>
      <c r="K997" s="29"/>
      <c r="L997" s="29"/>
      <c r="M997" s="29"/>
      <c r="N997" s="29"/>
      <c r="O997" s="3"/>
      <c r="P997" s="3"/>
      <c r="Q997" s="3"/>
      <c r="R997" s="3"/>
      <c r="S997" s="3"/>
    </row>
    <row r="998" ht="15.75" customHeight="1">
      <c r="A998" s="3"/>
      <c r="B998" s="31"/>
      <c r="C998" s="31"/>
      <c r="D998" s="32"/>
      <c r="E998" s="32"/>
      <c r="F998" s="29"/>
      <c r="G998" s="29"/>
      <c r="H998" s="3"/>
      <c r="I998" s="29"/>
      <c r="J998" s="29"/>
      <c r="K998" s="29"/>
      <c r="L998" s="29"/>
      <c r="M998" s="29"/>
      <c r="N998" s="29"/>
      <c r="O998" s="3"/>
      <c r="P998" s="3"/>
      <c r="Q998" s="3"/>
      <c r="R998" s="3"/>
      <c r="S998" s="3"/>
    </row>
    <row r="999" ht="15.75" customHeight="1">
      <c r="A999" s="3"/>
      <c r="B999" s="31"/>
      <c r="C999" s="31"/>
      <c r="D999" s="32"/>
      <c r="E999" s="32"/>
      <c r="F999" s="29"/>
      <c r="G999" s="29"/>
      <c r="H999" s="3"/>
      <c r="I999" s="29"/>
      <c r="J999" s="29"/>
      <c r="K999" s="29"/>
      <c r="L999" s="29"/>
      <c r="M999" s="29"/>
      <c r="N999" s="29"/>
      <c r="O999" s="3"/>
      <c r="P999" s="3"/>
      <c r="Q999" s="3"/>
      <c r="R999" s="3"/>
      <c r="S999" s="3"/>
    </row>
    <row r="1000" ht="15.75" customHeight="1">
      <c r="A1000" s="3"/>
      <c r="B1000" s="31"/>
      <c r="C1000" s="31"/>
      <c r="D1000" s="32"/>
      <c r="E1000" s="32"/>
      <c r="F1000" s="29"/>
      <c r="G1000" s="29"/>
      <c r="H1000" s="3"/>
      <c r="I1000" s="29"/>
      <c r="J1000" s="29"/>
      <c r="K1000" s="29"/>
      <c r="L1000" s="29"/>
      <c r="M1000" s="29"/>
      <c r="N1000" s="29"/>
      <c r="O1000" s="3"/>
      <c r="P1000" s="3"/>
      <c r="Q1000" s="3"/>
      <c r="R1000" s="3"/>
      <c r="S1000" s="3"/>
    </row>
    <row r="1001" ht="15.75" customHeight="1">
      <c r="A1001" s="3"/>
      <c r="B1001" s="31"/>
      <c r="C1001" s="31"/>
      <c r="D1001" s="32"/>
      <c r="E1001" s="32"/>
      <c r="F1001" s="29"/>
      <c r="G1001" s="29"/>
      <c r="H1001" s="3"/>
      <c r="I1001" s="29"/>
      <c r="J1001" s="29"/>
      <c r="K1001" s="29"/>
      <c r="L1001" s="29"/>
      <c r="M1001" s="29"/>
      <c r="N1001" s="29"/>
      <c r="O1001" s="3"/>
      <c r="P1001" s="3"/>
      <c r="Q1001" s="3"/>
      <c r="R1001" s="3"/>
      <c r="S1001" s="3"/>
    </row>
    <row r="1002" ht="15.75" customHeight="1">
      <c r="A1002" s="3"/>
      <c r="B1002" s="31"/>
      <c r="C1002" s="31"/>
      <c r="D1002" s="32"/>
      <c r="E1002" s="32"/>
      <c r="F1002" s="29"/>
      <c r="G1002" s="29"/>
      <c r="H1002" s="3"/>
      <c r="I1002" s="29"/>
      <c r="J1002" s="29"/>
      <c r="K1002" s="29"/>
      <c r="L1002" s="29"/>
      <c r="M1002" s="29"/>
      <c r="N1002" s="29"/>
      <c r="O1002" s="3"/>
      <c r="P1002" s="3"/>
      <c r="Q1002" s="3"/>
      <c r="R1002" s="3"/>
      <c r="S1002" s="3"/>
    </row>
    <row r="1003" ht="15.75" customHeight="1">
      <c r="A1003" s="3"/>
      <c r="B1003" s="31"/>
      <c r="C1003" s="31"/>
      <c r="D1003" s="32"/>
      <c r="E1003" s="32"/>
      <c r="F1003" s="29"/>
      <c r="G1003" s="29"/>
      <c r="H1003" s="3"/>
      <c r="I1003" s="29"/>
      <c r="J1003" s="29"/>
      <c r="K1003" s="29"/>
      <c r="L1003" s="29"/>
      <c r="M1003" s="29"/>
      <c r="N1003" s="29"/>
      <c r="O1003" s="3"/>
      <c r="P1003" s="3"/>
      <c r="Q1003" s="3"/>
      <c r="R1003" s="3"/>
      <c r="S1003" s="3"/>
    </row>
    <row r="1004" ht="15.75" customHeight="1">
      <c r="A1004" s="3"/>
      <c r="B1004" s="31"/>
      <c r="C1004" s="31"/>
      <c r="D1004" s="32"/>
      <c r="E1004" s="32"/>
      <c r="F1004" s="29"/>
      <c r="G1004" s="29"/>
      <c r="H1004" s="3"/>
      <c r="I1004" s="29"/>
      <c r="J1004" s="29"/>
      <c r="K1004" s="29"/>
      <c r="L1004" s="29"/>
      <c r="M1004" s="29"/>
      <c r="N1004" s="29"/>
      <c r="O1004" s="3"/>
      <c r="P1004" s="3"/>
      <c r="Q1004" s="3"/>
      <c r="R1004" s="3"/>
      <c r="S1004" s="3"/>
    </row>
    <row r="1005" ht="15.75" customHeight="1">
      <c r="A1005" s="3"/>
      <c r="B1005" s="31"/>
      <c r="C1005" s="31"/>
      <c r="D1005" s="32"/>
      <c r="E1005" s="32"/>
      <c r="F1005" s="29"/>
      <c r="G1005" s="29"/>
      <c r="H1005" s="3"/>
      <c r="I1005" s="29"/>
      <c r="J1005" s="29"/>
      <c r="K1005" s="29"/>
      <c r="L1005" s="29"/>
      <c r="M1005" s="29"/>
      <c r="N1005" s="29"/>
      <c r="O1005" s="3"/>
      <c r="P1005" s="3"/>
      <c r="Q1005" s="3"/>
      <c r="R1005" s="3"/>
      <c r="S1005" s="3"/>
    </row>
    <row r="1006" ht="15.75" customHeight="1">
      <c r="A1006" s="3"/>
      <c r="B1006" s="31"/>
      <c r="C1006" s="31"/>
      <c r="D1006" s="32"/>
      <c r="E1006" s="32"/>
      <c r="F1006" s="29"/>
      <c r="G1006" s="29"/>
      <c r="H1006" s="3"/>
      <c r="I1006" s="29"/>
      <c r="J1006" s="29"/>
      <c r="K1006" s="29"/>
      <c r="L1006" s="29"/>
      <c r="M1006" s="29"/>
      <c r="N1006" s="29"/>
      <c r="O1006" s="3"/>
      <c r="P1006" s="3"/>
      <c r="Q1006" s="3"/>
      <c r="R1006" s="3"/>
      <c r="S1006" s="3"/>
    </row>
    <row r="1007" ht="15.75" customHeight="1">
      <c r="A1007" s="3"/>
      <c r="B1007" s="31"/>
      <c r="C1007" s="31"/>
      <c r="D1007" s="32"/>
      <c r="E1007" s="32"/>
      <c r="F1007" s="29"/>
      <c r="G1007" s="29"/>
      <c r="H1007" s="3"/>
      <c r="I1007" s="29"/>
      <c r="J1007" s="29"/>
      <c r="K1007" s="29"/>
      <c r="L1007" s="29"/>
      <c r="M1007" s="29"/>
      <c r="N1007" s="29"/>
      <c r="O1007" s="3"/>
      <c r="P1007" s="3"/>
      <c r="Q1007" s="3"/>
      <c r="R1007" s="3"/>
      <c r="S1007" s="3"/>
    </row>
    <row r="1008" ht="15.75" customHeight="1">
      <c r="A1008" s="3"/>
      <c r="B1008" s="31"/>
      <c r="C1008" s="31"/>
      <c r="D1008" s="32"/>
      <c r="E1008" s="32"/>
      <c r="F1008" s="29"/>
      <c r="G1008" s="29"/>
      <c r="H1008" s="3"/>
      <c r="I1008" s="29"/>
      <c r="J1008" s="29"/>
      <c r="K1008" s="29"/>
      <c r="L1008" s="29"/>
      <c r="M1008" s="29"/>
      <c r="N1008" s="29"/>
      <c r="O1008" s="3"/>
      <c r="P1008" s="3"/>
      <c r="Q1008" s="3"/>
      <c r="R1008" s="3"/>
      <c r="S1008" s="3"/>
    </row>
    <row r="1009" ht="15.75" customHeight="1">
      <c r="A1009" s="3"/>
      <c r="B1009" s="31"/>
      <c r="C1009" s="31"/>
      <c r="D1009" s="32"/>
      <c r="E1009" s="32"/>
      <c r="F1009" s="29"/>
      <c r="G1009" s="29"/>
      <c r="H1009" s="3"/>
      <c r="I1009" s="29"/>
      <c r="J1009" s="29"/>
      <c r="K1009" s="29"/>
      <c r="L1009" s="29"/>
      <c r="M1009" s="29"/>
      <c r="N1009" s="29"/>
      <c r="O1009" s="3"/>
      <c r="P1009" s="3"/>
      <c r="Q1009" s="3"/>
      <c r="R1009" s="3"/>
      <c r="S1009" s="3"/>
    </row>
    <row r="1010" ht="15.75" customHeight="1">
      <c r="A1010" s="3"/>
      <c r="B1010" s="31"/>
      <c r="C1010" s="31"/>
      <c r="D1010" s="32"/>
      <c r="E1010" s="32"/>
      <c r="F1010" s="29"/>
      <c r="G1010" s="29"/>
      <c r="H1010" s="3"/>
      <c r="I1010" s="29"/>
      <c r="J1010" s="29"/>
      <c r="K1010" s="29"/>
      <c r="L1010" s="29"/>
      <c r="M1010" s="29"/>
      <c r="N1010" s="29"/>
      <c r="O1010" s="3"/>
      <c r="P1010" s="3"/>
      <c r="Q1010" s="3"/>
      <c r="R1010" s="3"/>
      <c r="S1010" s="3"/>
    </row>
    <row r="1011" ht="15.75" customHeight="1">
      <c r="A1011" s="3"/>
      <c r="B1011" s="31"/>
      <c r="C1011" s="31"/>
      <c r="D1011" s="32"/>
      <c r="E1011" s="32"/>
      <c r="F1011" s="29"/>
      <c r="G1011" s="29"/>
      <c r="H1011" s="3"/>
      <c r="I1011" s="29"/>
      <c r="J1011" s="29"/>
      <c r="K1011" s="29"/>
      <c r="L1011" s="29"/>
      <c r="M1011" s="29"/>
      <c r="N1011" s="29"/>
      <c r="O1011" s="3"/>
      <c r="P1011" s="3"/>
      <c r="Q1011" s="3"/>
      <c r="R1011" s="3"/>
      <c r="S1011" s="3"/>
    </row>
    <row r="1012" ht="15.75" customHeight="1">
      <c r="A1012" s="3"/>
      <c r="B1012" s="31"/>
      <c r="C1012" s="31"/>
      <c r="D1012" s="32"/>
      <c r="E1012" s="32"/>
      <c r="F1012" s="29"/>
      <c r="G1012" s="29"/>
      <c r="H1012" s="3"/>
      <c r="I1012" s="29"/>
      <c r="J1012" s="29"/>
      <c r="K1012" s="29"/>
      <c r="L1012" s="29"/>
      <c r="M1012" s="29"/>
      <c r="N1012" s="29"/>
      <c r="O1012" s="3"/>
      <c r="P1012" s="3"/>
      <c r="Q1012" s="3"/>
      <c r="R1012" s="3"/>
      <c r="S1012" s="3"/>
    </row>
    <row r="1013" ht="15.75" customHeight="1">
      <c r="A1013" s="3"/>
      <c r="B1013" s="31"/>
      <c r="C1013" s="31"/>
      <c r="D1013" s="32"/>
      <c r="E1013" s="32"/>
      <c r="F1013" s="29"/>
      <c r="G1013" s="29"/>
      <c r="H1013" s="3"/>
      <c r="I1013" s="29"/>
      <c r="J1013" s="29"/>
      <c r="K1013" s="29"/>
      <c r="L1013" s="29"/>
      <c r="M1013" s="29"/>
      <c r="N1013" s="29"/>
      <c r="O1013" s="3"/>
      <c r="P1013" s="3"/>
      <c r="Q1013" s="3"/>
      <c r="R1013" s="3"/>
      <c r="S1013" s="3"/>
    </row>
    <row r="1014" ht="15.75" customHeight="1">
      <c r="A1014" s="3"/>
      <c r="B1014" s="31"/>
      <c r="C1014" s="31"/>
      <c r="D1014" s="32"/>
      <c r="E1014" s="32"/>
      <c r="F1014" s="29"/>
      <c r="G1014" s="29"/>
      <c r="H1014" s="3"/>
      <c r="I1014" s="29"/>
      <c r="J1014" s="29"/>
      <c r="K1014" s="29"/>
      <c r="L1014" s="29"/>
      <c r="M1014" s="29"/>
      <c r="N1014" s="29"/>
      <c r="O1014" s="3"/>
      <c r="P1014" s="3"/>
      <c r="Q1014" s="3"/>
      <c r="R1014" s="3"/>
      <c r="S1014" s="3"/>
    </row>
    <row r="1015" ht="15.75" customHeight="1">
      <c r="A1015" s="3"/>
      <c r="B1015" s="31"/>
      <c r="C1015" s="31"/>
      <c r="D1015" s="32"/>
      <c r="E1015" s="32"/>
      <c r="F1015" s="29"/>
      <c r="G1015" s="29"/>
      <c r="H1015" s="3"/>
      <c r="I1015" s="29"/>
      <c r="J1015" s="29"/>
      <c r="K1015" s="29"/>
      <c r="L1015" s="29"/>
      <c r="M1015" s="29"/>
      <c r="N1015" s="29"/>
      <c r="O1015" s="3"/>
      <c r="P1015" s="3"/>
      <c r="Q1015" s="3"/>
      <c r="R1015" s="3"/>
      <c r="S1015" s="3"/>
    </row>
    <row r="1016" ht="15.75" customHeight="1">
      <c r="A1016" s="3"/>
      <c r="B1016" s="31"/>
      <c r="C1016" s="31"/>
      <c r="D1016" s="32"/>
      <c r="E1016" s="32"/>
      <c r="F1016" s="29"/>
      <c r="G1016" s="29"/>
      <c r="H1016" s="3"/>
      <c r="I1016" s="29"/>
      <c r="J1016" s="29"/>
      <c r="K1016" s="29"/>
      <c r="L1016" s="29"/>
      <c r="M1016" s="29"/>
      <c r="N1016" s="29"/>
      <c r="O1016" s="3"/>
      <c r="P1016" s="3"/>
      <c r="Q1016" s="3"/>
      <c r="R1016" s="3"/>
      <c r="S1016" s="3"/>
    </row>
    <row r="1017" ht="15.75" customHeight="1">
      <c r="A1017" s="3"/>
      <c r="B1017" s="31"/>
      <c r="C1017" s="31"/>
      <c r="D1017" s="32"/>
      <c r="E1017" s="32"/>
      <c r="F1017" s="29"/>
      <c r="G1017" s="29"/>
      <c r="H1017" s="3"/>
      <c r="I1017" s="29"/>
      <c r="J1017" s="29"/>
      <c r="K1017" s="29"/>
      <c r="L1017" s="29"/>
      <c r="M1017" s="29"/>
      <c r="N1017" s="29"/>
      <c r="O1017" s="3"/>
      <c r="P1017" s="3"/>
      <c r="Q1017" s="3"/>
      <c r="R1017" s="3"/>
      <c r="S1017" s="3"/>
    </row>
    <row r="1018" ht="15.75" customHeight="1">
      <c r="A1018" s="3"/>
      <c r="B1018" s="31"/>
      <c r="C1018" s="31"/>
      <c r="D1018" s="32"/>
      <c r="E1018" s="32"/>
      <c r="F1018" s="29"/>
      <c r="G1018" s="29"/>
      <c r="H1018" s="3"/>
      <c r="I1018" s="29"/>
      <c r="J1018" s="29"/>
      <c r="K1018" s="29"/>
      <c r="L1018" s="29"/>
      <c r="M1018" s="29"/>
      <c r="N1018" s="29"/>
      <c r="O1018" s="3"/>
      <c r="P1018" s="3"/>
      <c r="Q1018" s="3"/>
      <c r="R1018" s="3"/>
      <c r="S1018" s="3"/>
    </row>
    <row r="1019" ht="15.75" customHeight="1">
      <c r="A1019" s="3"/>
      <c r="B1019" s="31"/>
      <c r="C1019" s="31"/>
      <c r="D1019" s="32"/>
      <c r="E1019" s="32"/>
      <c r="F1019" s="29"/>
      <c r="G1019" s="29"/>
      <c r="H1019" s="3"/>
      <c r="I1019" s="29"/>
      <c r="J1019" s="29"/>
      <c r="K1019" s="29"/>
      <c r="L1019" s="29"/>
      <c r="M1019" s="29"/>
      <c r="N1019" s="29"/>
      <c r="O1019" s="3"/>
      <c r="P1019" s="3"/>
      <c r="Q1019" s="3"/>
      <c r="R1019" s="3"/>
      <c r="S1019" s="3"/>
    </row>
    <row r="1020" ht="15.75" customHeight="1">
      <c r="A1020" s="3"/>
      <c r="B1020" s="31"/>
      <c r="C1020" s="31"/>
      <c r="D1020" s="32"/>
      <c r="E1020" s="32"/>
      <c r="F1020" s="29"/>
      <c r="G1020" s="29"/>
      <c r="H1020" s="3"/>
      <c r="I1020" s="29"/>
      <c r="J1020" s="29"/>
      <c r="K1020" s="29"/>
      <c r="L1020" s="29"/>
      <c r="M1020" s="29"/>
      <c r="N1020" s="29"/>
      <c r="O1020" s="3"/>
      <c r="P1020" s="3"/>
      <c r="Q1020" s="3"/>
      <c r="R1020" s="3"/>
      <c r="S1020" s="3"/>
    </row>
    <row r="1021" ht="15.75" customHeight="1">
      <c r="A1021" s="3"/>
      <c r="B1021" s="31"/>
      <c r="C1021" s="31"/>
      <c r="D1021" s="32"/>
      <c r="E1021" s="32"/>
      <c r="F1021" s="29"/>
      <c r="G1021" s="29"/>
      <c r="H1021" s="3"/>
      <c r="I1021" s="29"/>
      <c r="J1021" s="29"/>
      <c r="K1021" s="29"/>
      <c r="L1021" s="29"/>
      <c r="M1021" s="29"/>
      <c r="N1021" s="29"/>
      <c r="O1021" s="3"/>
      <c r="P1021" s="3"/>
      <c r="Q1021" s="3"/>
      <c r="R1021" s="3"/>
      <c r="S1021" s="3"/>
    </row>
    <row r="1022" ht="15.75" customHeight="1">
      <c r="A1022" s="3"/>
      <c r="B1022" s="31"/>
      <c r="C1022" s="31"/>
      <c r="D1022" s="32"/>
      <c r="E1022" s="32"/>
      <c r="F1022" s="29"/>
      <c r="G1022" s="29"/>
      <c r="H1022" s="3"/>
      <c r="I1022" s="29"/>
      <c r="J1022" s="29"/>
      <c r="K1022" s="29"/>
      <c r="L1022" s="29"/>
      <c r="M1022" s="29"/>
      <c r="N1022" s="29"/>
      <c r="O1022" s="3"/>
      <c r="P1022" s="3"/>
      <c r="Q1022" s="3"/>
      <c r="R1022" s="3"/>
      <c r="S1022" s="3"/>
    </row>
    <row r="1023" ht="15.75" customHeight="1">
      <c r="A1023" s="3"/>
      <c r="B1023" s="31"/>
      <c r="C1023" s="31"/>
      <c r="D1023" s="32"/>
      <c r="E1023" s="32"/>
      <c r="F1023" s="29"/>
      <c r="G1023" s="29"/>
      <c r="H1023" s="3"/>
      <c r="I1023" s="29"/>
      <c r="J1023" s="29"/>
      <c r="K1023" s="29"/>
      <c r="L1023" s="29"/>
      <c r="M1023" s="29"/>
      <c r="N1023" s="29"/>
      <c r="O1023" s="3"/>
      <c r="P1023" s="3"/>
      <c r="Q1023" s="3"/>
      <c r="R1023" s="3"/>
      <c r="S1023" s="3"/>
    </row>
    <row r="1024" ht="15.75" customHeight="1">
      <c r="A1024" s="3"/>
      <c r="B1024" s="31"/>
      <c r="C1024" s="31"/>
      <c r="D1024" s="32"/>
      <c r="E1024" s="32"/>
      <c r="F1024" s="29"/>
      <c r="G1024" s="29"/>
      <c r="H1024" s="3"/>
      <c r="I1024" s="29"/>
      <c r="J1024" s="29"/>
      <c r="K1024" s="29"/>
      <c r="L1024" s="29"/>
      <c r="M1024" s="29"/>
      <c r="N1024" s="29"/>
      <c r="O1024" s="3"/>
      <c r="P1024" s="3"/>
      <c r="Q1024" s="3"/>
      <c r="R1024" s="3"/>
      <c r="S1024" s="3"/>
    </row>
    <row r="1025" ht="15.75" customHeight="1">
      <c r="A1025" s="3"/>
      <c r="B1025" s="31"/>
      <c r="C1025" s="31"/>
      <c r="D1025" s="32"/>
      <c r="E1025" s="32"/>
      <c r="F1025" s="29"/>
      <c r="G1025" s="29"/>
      <c r="H1025" s="3"/>
      <c r="I1025" s="29"/>
      <c r="J1025" s="29"/>
      <c r="K1025" s="29"/>
      <c r="L1025" s="29"/>
      <c r="M1025" s="29"/>
      <c r="N1025" s="29"/>
      <c r="O1025" s="3"/>
      <c r="P1025" s="3"/>
      <c r="Q1025" s="3"/>
      <c r="R1025" s="3"/>
      <c r="S1025" s="3"/>
    </row>
    <row r="1026" ht="15.75" customHeight="1">
      <c r="A1026" s="3"/>
      <c r="B1026" s="31"/>
      <c r="C1026" s="31"/>
      <c r="D1026" s="32"/>
      <c r="E1026" s="32"/>
      <c r="F1026" s="29"/>
      <c r="G1026" s="29"/>
      <c r="H1026" s="3"/>
      <c r="I1026" s="29"/>
      <c r="J1026" s="29"/>
      <c r="K1026" s="29"/>
      <c r="L1026" s="29"/>
      <c r="M1026" s="29"/>
      <c r="N1026" s="29"/>
      <c r="O1026" s="3"/>
      <c r="P1026" s="3"/>
      <c r="Q1026" s="3"/>
      <c r="R1026" s="3"/>
      <c r="S1026" s="3"/>
    </row>
    <row r="1027" ht="15.75" customHeight="1">
      <c r="A1027" s="3"/>
      <c r="B1027" s="31"/>
      <c r="C1027" s="31"/>
      <c r="D1027" s="32"/>
      <c r="E1027" s="32"/>
      <c r="F1027" s="29"/>
      <c r="G1027" s="29"/>
      <c r="H1027" s="3"/>
      <c r="I1027" s="29"/>
      <c r="J1027" s="29"/>
      <c r="K1027" s="29"/>
      <c r="L1027" s="29"/>
      <c r="M1027" s="29"/>
      <c r="N1027" s="29"/>
      <c r="O1027" s="3"/>
      <c r="P1027" s="3"/>
      <c r="Q1027" s="3"/>
      <c r="R1027" s="3"/>
      <c r="S1027" s="3"/>
    </row>
    <row r="1028" ht="15.75" customHeight="1">
      <c r="A1028" s="3"/>
      <c r="B1028" s="31"/>
      <c r="C1028" s="31"/>
      <c r="D1028" s="32"/>
      <c r="E1028" s="32"/>
      <c r="F1028" s="29"/>
      <c r="G1028" s="29"/>
      <c r="H1028" s="3"/>
      <c r="I1028" s="29"/>
      <c r="J1028" s="29"/>
      <c r="K1028" s="29"/>
      <c r="L1028" s="29"/>
      <c r="M1028" s="29"/>
      <c r="N1028" s="29"/>
      <c r="O1028" s="3"/>
      <c r="P1028" s="3"/>
      <c r="Q1028" s="3"/>
      <c r="R1028" s="3"/>
      <c r="S1028" s="3"/>
    </row>
    <row r="1029" ht="15.75" customHeight="1">
      <c r="A1029" s="3"/>
      <c r="B1029" s="31"/>
      <c r="C1029" s="31"/>
      <c r="D1029" s="32"/>
      <c r="E1029" s="32"/>
      <c r="F1029" s="29"/>
      <c r="G1029" s="29"/>
      <c r="H1029" s="3"/>
      <c r="I1029" s="29"/>
      <c r="J1029" s="29"/>
      <c r="K1029" s="29"/>
      <c r="L1029" s="29"/>
      <c r="M1029" s="29"/>
      <c r="N1029" s="29"/>
      <c r="O1029" s="3"/>
      <c r="P1029" s="3"/>
      <c r="Q1029" s="3"/>
      <c r="R1029" s="3"/>
      <c r="S1029" s="3"/>
    </row>
    <row r="1030" ht="15.75" customHeight="1">
      <c r="A1030" s="3"/>
      <c r="B1030" s="31"/>
      <c r="C1030" s="31"/>
      <c r="D1030" s="32"/>
      <c r="E1030" s="32"/>
      <c r="F1030" s="29"/>
      <c r="G1030" s="29"/>
      <c r="H1030" s="3"/>
      <c r="I1030" s="29"/>
      <c r="J1030" s="29"/>
      <c r="K1030" s="29"/>
      <c r="L1030" s="29"/>
      <c r="M1030" s="29"/>
      <c r="N1030" s="29"/>
      <c r="O1030" s="3"/>
      <c r="P1030" s="3"/>
      <c r="Q1030" s="3"/>
      <c r="R1030" s="3"/>
      <c r="S1030" s="3"/>
    </row>
    <row r="1031" ht="15.75" customHeight="1">
      <c r="A1031" s="3"/>
      <c r="B1031" s="31"/>
      <c r="C1031" s="31"/>
      <c r="D1031" s="32"/>
      <c r="E1031" s="32"/>
      <c r="F1031" s="29"/>
      <c r="G1031" s="29"/>
      <c r="H1031" s="3"/>
      <c r="I1031" s="29"/>
      <c r="J1031" s="29"/>
      <c r="K1031" s="29"/>
      <c r="L1031" s="29"/>
      <c r="M1031" s="29"/>
      <c r="N1031" s="29"/>
      <c r="O1031" s="3"/>
      <c r="P1031" s="3"/>
      <c r="Q1031" s="3"/>
      <c r="R1031" s="3"/>
      <c r="S1031" s="3"/>
    </row>
    <row r="1032" ht="15.75" customHeight="1">
      <c r="A1032" s="3"/>
      <c r="B1032" s="31"/>
      <c r="C1032" s="31"/>
      <c r="D1032" s="32"/>
      <c r="E1032" s="32"/>
      <c r="F1032" s="29"/>
      <c r="G1032" s="29"/>
      <c r="H1032" s="3"/>
      <c r="I1032" s="29"/>
      <c r="J1032" s="29"/>
      <c r="K1032" s="29"/>
      <c r="L1032" s="29"/>
      <c r="M1032" s="29"/>
      <c r="N1032" s="29"/>
      <c r="O1032" s="3"/>
      <c r="P1032" s="3"/>
      <c r="Q1032" s="3"/>
      <c r="R1032" s="3"/>
      <c r="S1032" s="3"/>
    </row>
    <row r="1033" ht="15.75" customHeight="1">
      <c r="A1033" s="3"/>
      <c r="B1033" s="31"/>
      <c r="C1033" s="31"/>
      <c r="D1033" s="32"/>
      <c r="E1033" s="32"/>
      <c r="F1033" s="29"/>
      <c r="G1033" s="29"/>
      <c r="H1033" s="3"/>
      <c r="I1033" s="29"/>
      <c r="J1033" s="29"/>
      <c r="K1033" s="29"/>
      <c r="L1033" s="29"/>
      <c r="M1033" s="29"/>
      <c r="N1033" s="29"/>
      <c r="O1033" s="3"/>
      <c r="P1033" s="3"/>
      <c r="Q1033" s="3"/>
      <c r="R1033" s="3"/>
      <c r="S1033" s="3"/>
    </row>
  </sheetData>
  <autoFilter ref="$B$3:$G$4">
    <sortState ref="B3:G4">
      <sortCondition ref="B3:B4"/>
    </sortState>
  </autoFilter>
  <mergeCells count="3">
    <mergeCell ref="B1:G1"/>
    <mergeCell ref="O2:R2"/>
    <mergeCell ref="O11:R11"/>
  </mergeCells>
  <conditionalFormatting sqref="A4:B1033">
    <cfRule type="cellIs" dxfId="0" priority="1" operator="equal">
      <formula>1</formula>
    </cfRule>
  </conditionalFormatting>
  <conditionalFormatting sqref="A4:B1033">
    <cfRule type="cellIs" dxfId="1" priority="2" operator="equal">
      <formula>2</formula>
    </cfRule>
  </conditionalFormatting>
  <conditionalFormatting sqref="A4:B1033">
    <cfRule type="cellIs" dxfId="2" priority="3" operator="equal">
      <formula>3</formula>
    </cfRule>
  </conditionalFormatting>
  <hyperlinks>
    <hyperlink display="View Player Rosters and Scores" location="'Team Scores'!A1" ref="A12"/>
    <hyperlink display="View Live Medal Table" location="'Live Medal Table'!A1" ref="A14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5.71"/>
    <col customWidth="1" min="3" max="3" width="7.86"/>
    <col customWidth="1" min="4" max="4" width="29.86"/>
    <col customWidth="1" min="5" max="5" width="15.14"/>
    <col customWidth="1" min="6" max="6" width="22.71"/>
    <col customWidth="1" hidden="1" min="7" max="11" width="8.71"/>
    <col customWidth="1" hidden="1" min="12" max="12" width="28.43"/>
    <col customWidth="1" min="13" max="13" width="8.86"/>
    <col customWidth="1" hidden="1" min="14" max="14" width="28.43"/>
    <col customWidth="1" hidden="1" min="15" max="15" width="15.0"/>
    <col customWidth="1" hidden="1" min="16" max="16" width="11.0"/>
    <col customWidth="1" hidden="1" min="17" max="17" width="6.71"/>
    <col customWidth="1" hidden="1" min="18" max="18" width="15.71"/>
    <col customWidth="1" hidden="1" min="19" max="19" width="8.86"/>
    <col customWidth="1" hidden="1" min="20" max="20" width="12.29"/>
    <col customWidth="1" hidden="1" min="21" max="21" width="7.57"/>
    <col customWidth="1" hidden="1" min="22" max="22" width="8.29"/>
    <col customWidth="1" hidden="1" min="23" max="23" width="9.43"/>
    <col customWidth="1" hidden="1" min="24" max="24" width="10.29"/>
    <col customWidth="1" hidden="1" min="25" max="25" width="11.0"/>
    <col customWidth="1" hidden="1" min="26" max="26" width="12.14"/>
    <col customWidth="1" hidden="1" min="27" max="27" width="10.43"/>
    <col customWidth="1" hidden="1" min="28" max="28" width="9.29"/>
    <col hidden="1" min="29" max="39" width="14.43"/>
  </cols>
  <sheetData>
    <row r="1">
      <c r="A1" s="3"/>
      <c r="B1" s="3"/>
      <c r="C1" s="33"/>
      <c r="D1" s="33"/>
      <c r="E1" s="33"/>
      <c r="F1" s="3"/>
      <c r="G1" s="3"/>
      <c r="H1" s="3"/>
      <c r="I1" s="3"/>
      <c r="J1" s="3"/>
      <c r="K1" s="3"/>
      <c r="L1" s="34"/>
      <c r="M1" s="34"/>
      <c r="N1" s="35" t="s">
        <v>20</v>
      </c>
      <c r="O1" s="35" t="s">
        <v>21</v>
      </c>
      <c r="P1" s="35" t="s">
        <v>22</v>
      </c>
      <c r="Q1" s="35" t="s">
        <v>23</v>
      </c>
      <c r="R1" s="35" t="s">
        <v>24</v>
      </c>
      <c r="S1" s="35" t="s">
        <v>25</v>
      </c>
      <c r="T1" s="35" t="s">
        <v>26</v>
      </c>
      <c r="U1" s="35" t="s">
        <v>15</v>
      </c>
      <c r="V1" s="35" t="s">
        <v>16</v>
      </c>
      <c r="W1" s="35" t="s">
        <v>17</v>
      </c>
      <c r="X1" s="35" t="s">
        <v>27</v>
      </c>
      <c r="Y1" s="35" t="s">
        <v>28</v>
      </c>
      <c r="Z1" s="35" t="s">
        <v>29</v>
      </c>
      <c r="AA1" s="35" t="s">
        <v>30</v>
      </c>
      <c r="AB1" s="35" t="s">
        <v>31</v>
      </c>
    </row>
    <row r="2">
      <c r="A2" s="3"/>
      <c r="B2" s="3"/>
      <c r="C2" s="33"/>
      <c r="D2" s="36" t="s">
        <v>32</v>
      </c>
      <c r="F2" s="3"/>
      <c r="G2" s="3" t="str">
        <f>IFERROR(__xludf.DUMMYFUNCTION("SORT(FILTER(Entries!$E$2:$E$100,Entries!$E$2:$E$100&lt;&gt;""""))"),"A taco93")</f>
        <v>A taco93</v>
      </c>
      <c r="H2" s="37" t="s">
        <v>1</v>
      </c>
      <c r="I2" s="38"/>
      <c r="J2" s="38"/>
      <c r="K2" s="39"/>
      <c r="L2" s="29"/>
      <c r="M2" s="29"/>
      <c r="N2" s="29" t="str">
        <f t="array" ref="N2">IFERROR(IF(INDEX(Entries!$C$2:$C$47,1)="","",INDEX(Entries!$Q$2:$Q$47,1)),"")</f>
        <v>Brad_Hagstrom_King Towsk</v>
      </c>
      <c r="O2" s="29" t="str">
        <f t="array" ref="O2">IF(N2="","",IFERROR(INDEX(Entries!$E$2:$E$47,1),""))</f>
        <v>King Towsk</v>
      </c>
      <c r="P2" s="29" t="str">
        <f>IF(N2="","","Tier1_Pick1")</f>
        <v>Tier1_Pick1</v>
      </c>
      <c r="Q2" s="29">
        <f>IF(N2="","",1)</f>
        <v>1</v>
      </c>
      <c r="R2" s="29" t="str">
        <f t="array" ref="R2">IF(N2="","",IFERROR(INDEX(Entries!$F$2:$F$47,1),""))</f>
        <v>Norway</v>
      </c>
      <c r="S2" s="29" t="str">
        <f t="array" ref="S2">IF(R2="","",IFERROR(XLOOKUP(R2,'Live Medal Table'!$B$2:$B$94,'Live Medal Table'!$C$2:$C$94,"???"),"???"))</f>
        <v>NOR</v>
      </c>
      <c r="T2" s="29">
        <f t="array" ref="T2">IF(R2="",0,IFERROR(XLOOKUP(R2,'Live Medal Table'!$B$2:$B$94,'Live Medal Table'!$F$2:$F$94,0),0))</f>
        <v>1</v>
      </c>
      <c r="U2" s="29">
        <f t="array" ref="U2">IF(R2="",0,IFERROR(XLOOKUP(R2,'Live Medal Table'!$B$2:$B$94,'Live Medal Table'!$G$2:$G$94,0),0))</f>
        <v>18</v>
      </c>
      <c r="V2" s="29">
        <f t="array" ref="V2">IF(R2="",0,IFERROR(XLOOKUP(R2,'Live Medal Table'!$B$2:$B$94,'Live Medal Table'!$H$2:$H$94,0),0))</f>
        <v>12</v>
      </c>
      <c r="W2" s="29">
        <f t="array" ref="W2">IF(R2="",0,IFERROR(XLOOKUP(R2,'Live Medal Table'!$B$2:$B$94,'Live Medal Table'!$I$2:$I$94,0),0))</f>
        <v>11</v>
      </c>
      <c r="X2" s="29">
        <f t="shared" ref="X2:X401" si="1">U2*3*T2</f>
        <v>54</v>
      </c>
      <c r="Y2" s="29">
        <f t="shared" ref="Y2:Y401" si="2">V2*2*T2</f>
        <v>24</v>
      </c>
      <c r="Z2" s="29">
        <f t="shared" ref="Z2:Z401" si="3">W2*1*T2</f>
        <v>11</v>
      </c>
      <c r="AA2" s="29">
        <f t="shared" ref="AA2:AA401" si="4">X2+Y2+Z2</f>
        <v>89</v>
      </c>
      <c r="AB2" s="29" t="b">
        <f t="array" ref="AB2">IF(R2="",FALSE,IFERROR(AND(ISNUMBER(MATCH(R2,'Live Medal Table'!$B$2:$B$94,0)),XLOOKUP(R2,'Live Medal Table'!$B$2:$B$94,Countries!$I$2:$I$72,FALSE)),FALSE))</f>
        <v>0</v>
      </c>
    </row>
    <row r="3" ht="22.5" customHeight="1">
      <c r="A3" s="3"/>
      <c r="B3" s="40" t="s">
        <v>33</v>
      </c>
      <c r="C3" s="41" t="s">
        <v>34</v>
      </c>
      <c r="F3" s="42" t="str">
        <f t="array" ref="F3">XLOOKUP(C3,Entries!E:E,Entries!C:C)&amp;" "&amp;XLOOKUP(C3,Entries!E:E,Entries!D:D)</f>
        <v>Ellis Johnson</v>
      </c>
      <c r="G3" s="3" t="str">
        <f>IFERROR(__xludf.DUMMYFUNCTION("""COMPUTED_VALUE"""),"bgreen")</f>
        <v>bgreen</v>
      </c>
      <c r="H3" s="43" t="s">
        <v>14</v>
      </c>
      <c r="I3" s="44" t="s">
        <v>15</v>
      </c>
      <c r="J3" s="45" t="s">
        <v>16</v>
      </c>
      <c r="K3" s="46" t="s">
        <v>17</v>
      </c>
      <c r="L3" s="29"/>
      <c r="M3" s="29"/>
      <c r="N3" s="29" t="str">
        <f t="array" ref="N3">IFERROR(IF(INDEX(Entries!$C$2:$C$47,1)="","",INDEX(Entries!$Q$2:$Q$47,1)),"")</f>
        <v>Brad_Hagstrom_King Towsk</v>
      </c>
      <c r="O3" s="29" t="str">
        <f t="array" ref="O3">IF(N3="","",IFERROR(INDEX(Entries!$E$2:$E$47,1),""))</f>
        <v>King Towsk</v>
      </c>
      <c r="P3" s="29" t="str">
        <f>IF(N3="","","Tier2_Pick1")</f>
        <v>Tier2_Pick1</v>
      </c>
      <c r="Q3" s="29">
        <f t="shared" ref="Q3:Q4" si="5">IF(N3="","",2)</f>
        <v>2</v>
      </c>
      <c r="R3" s="29" t="str">
        <f t="array" ref="R3">IF(N3="","",IFERROR(INDEX(Entries!$M$2:$M$47,1),""))</f>
        <v>Austria</v>
      </c>
      <c r="S3" s="29" t="str">
        <f t="array" ref="S3">IF(R3="","",IFERROR(XLOOKUP(R3,'Live Medal Table'!$B$2:$B$94,'Live Medal Table'!$C$2:$C$94,"???"),"???"))</f>
        <v>AUT</v>
      </c>
      <c r="T3" s="29">
        <f t="array" ref="T3">IF(R3="",0,IFERROR(XLOOKUP(R3,'Live Medal Table'!$B$2:$B$94,'Live Medal Table'!$F$2:$F$94,0),0))</f>
        <v>2</v>
      </c>
      <c r="U3" s="29">
        <f t="array" ref="U3">IF(R3="",0,IFERROR(XLOOKUP(R3,'Live Medal Table'!$B$2:$B$94,'Live Medal Table'!$G$2:$G$94,0),0))</f>
        <v>5</v>
      </c>
      <c r="V3" s="29">
        <f t="array" ref="V3">IF(R3="",0,IFERROR(XLOOKUP(R3,'Live Medal Table'!$B$2:$B$94,'Live Medal Table'!$H$2:$H$94,0),0))</f>
        <v>8</v>
      </c>
      <c r="W3" s="29">
        <f t="array" ref="W3">IF(R3="",0,IFERROR(XLOOKUP(R3,'Live Medal Table'!$B$2:$B$94,'Live Medal Table'!$I$2:$I$94,0),0))</f>
        <v>5</v>
      </c>
      <c r="X3" s="29">
        <f t="shared" si="1"/>
        <v>30</v>
      </c>
      <c r="Y3" s="29">
        <f t="shared" si="2"/>
        <v>32</v>
      </c>
      <c r="Z3" s="29">
        <f t="shared" si="3"/>
        <v>10</v>
      </c>
      <c r="AA3" s="29">
        <f t="shared" si="4"/>
        <v>72</v>
      </c>
      <c r="AB3" s="29" t="b">
        <f t="array" ref="AB3">IF(R3="",FALSE,IFERROR(AND(ISNUMBER(MATCH(R3,'Live Medal Table'!$B$2:$B$94,0)),XLOOKUP(R3,'Live Medal Table'!$B$2:$B$94,Countries!$I$2:$I$72,FALSE)),FALSE))</f>
        <v>0</v>
      </c>
    </row>
    <row r="4" ht="22.5" customHeight="1">
      <c r="A4" s="3"/>
      <c r="B4" s="47" t="s">
        <v>35</v>
      </c>
      <c r="C4" s="47" t="s">
        <v>23</v>
      </c>
      <c r="D4" s="47" t="s">
        <v>36</v>
      </c>
      <c r="E4" s="47" t="s">
        <v>37</v>
      </c>
      <c r="F4" s="3"/>
      <c r="G4" s="3" t="str">
        <f>IFERROR(__xludf.DUMMYFUNCTION("""COMPUTED_VALUE"""),"Brad’s Cousin’s Cousin")</f>
        <v>Brad’s Cousin’s Cousin</v>
      </c>
      <c r="H4" s="43">
        <v>1.0</v>
      </c>
      <c r="I4" s="48">
        <v>3.0</v>
      </c>
      <c r="J4" s="49">
        <v>2.0</v>
      </c>
      <c r="K4" s="50">
        <v>1.0</v>
      </c>
      <c r="L4" s="29"/>
      <c r="M4" s="29"/>
      <c r="N4" s="29" t="str">
        <f t="array" ref="N4">IFERROR(IF(INDEX(Entries!$C$2:$C$47,1)="","",INDEX(Entries!$Q$2:$Q$47,1)),"")</f>
        <v>Brad_Hagstrom_King Towsk</v>
      </c>
      <c r="O4" s="29" t="str">
        <f t="array" ref="O4">IF(N4="","",IFERROR(INDEX(Entries!$E$2:$E$47,1),""))</f>
        <v>King Towsk</v>
      </c>
      <c r="P4" s="29" t="str">
        <f>IF(N4="","","Tier2_Pick2")</f>
        <v>Tier2_Pick2</v>
      </c>
      <c r="Q4" s="29">
        <f t="shared" si="5"/>
        <v>2</v>
      </c>
      <c r="R4" s="29" t="str">
        <f t="array" ref="R4">IF(N4="","",IFERROR(INDEX(Entries!$N$2:$N$47,1),""))</f>
        <v>Netherlands</v>
      </c>
      <c r="S4" s="29" t="str">
        <f t="array" ref="S4">IF(R4="","",IFERROR(XLOOKUP(R4,'Live Medal Table'!$B$2:$B$94,'Live Medal Table'!$C$2:$C$94,"???"),"???"))</f>
        <v>NED</v>
      </c>
      <c r="T4" s="29">
        <f t="array" ref="T4">IF(R4="",0,IFERROR(XLOOKUP(R4,'Live Medal Table'!$B$2:$B$94,'Live Medal Table'!$F$2:$F$94,0),0))</f>
        <v>2</v>
      </c>
      <c r="U4" s="29">
        <f t="array" ref="U4">IF(R4="",0,IFERROR(XLOOKUP(R4,'Live Medal Table'!$B$2:$B$94,'Live Medal Table'!$G$2:$G$94,0),0))</f>
        <v>10</v>
      </c>
      <c r="V4" s="29">
        <f t="array" ref="V4">IF(R4="",0,IFERROR(XLOOKUP(R4,'Live Medal Table'!$B$2:$B$94,'Live Medal Table'!$H$2:$H$94,0),0))</f>
        <v>7</v>
      </c>
      <c r="W4" s="29">
        <f t="array" ref="W4">IF(R4="",0,IFERROR(XLOOKUP(R4,'Live Medal Table'!$B$2:$B$94,'Live Medal Table'!$I$2:$I$94,0),0))</f>
        <v>3</v>
      </c>
      <c r="X4" s="29">
        <f t="shared" si="1"/>
        <v>60</v>
      </c>
      <c r="Y4" s="29">
        <f t="shared" si="2"/>
        <v>28</v>
      </c>
      <c r="Z4" s="29">
        <f t="shared" si="3"/>
        <v>6</v>
      </c>
      <c r="AA4" s="29">
        <f t="shared" si="4"/>
        <v>94</v>
      </c>
      <c r="AB4" s="29" t="b">
        <f t="array" ref="AB4">IF(R4="",FALSE,IFERROR(AND(ISNUMBER(MATCH(R4,'Live Medal Table'!$B$2:$B$94,0)),XLOOKUP(R4,'Live Medal Table'!$B$2:$B$94,Countries!$I$2:$I$72,FALSE)),FALSE))</f>
        <v>0</v>
      </c>
    </row>
    <row r="5" ht="22.5" customHeight="1">
      <c r="A5" s="3"/>
      <c r="B5" s="51" t="str">
        <f>IFERROR(__xludf.DUMMYFUNCTION("IFERROR(FILTER('Team Scores'!R:R, 'Team Scores'!O:O=$C$3), """")"),"Norway")</f>
        <v>Norway</v>
      </c>
      <c r="C5" s="51">
        <f>IFERROR(__xludf.DUMMYFUNCTION("IFERROR(FILTER('Team Scores'!Q:Q, 'Team Scores'!O:O=$C$3), """")"),1.0)</f>
        <v>1</v>
      </c>
      <c r="D5" s="51">
        <f>IFERROR(__xludf.DUMMYFUNCTION("IFERROR(FILTER('Team Scores'!AA:AA, 'Team Scores'!O:O=$C$3), """")"),89.0)</f>
        <v>89</v>
      </c>
      <c r="E5" s="51" t="str">
        <f t="array" ref="E5">XLOOKUP(B5,'Live Medal Table'!N:N,'Live Medal Table'!X:X,"")</f>
        <v/>
      </c>
      <c r="F5" s="3"/>
      <c r="G5" s="3" t="str">
        <f>IFERROR(__xludf.DUMMYFUNCTION("""COMPUTED_VALUE"""),"Bryan Jakobsze🇵🇱")</f>
        <v>Bryan Jakobsze🇵🇱</v>
      </c>
      <c r="H5" s="43">
        <v>2.0</v>
      </c>
      <c r="I5" s="48">
        <v>6.0</v>
      </c>
      <c r="J5" s="49">
        <v>4.0</v>
      </c>
      <c r="K5" s="50">
        <v>2.0</v>
      </c>
      <c r="L5" s="29"/>
      <c r="M5" s="29"/>
      <c r="N5" s="29" t="str">
        <f t="array" ref="N5">IFERROR(IF(INDEX(Entries!$C$2:$C$47,1)="","",INDEX(Entries!$Q$2:$Q$47,1)),"")</f>
        <v>Brad_Hagstrom_King Towsk</v>
      </c>
      <c r="O5" s="29" t="str">
        <f t="array" ref="O5">IF(N5="","",IFERROR(INDEX(Entries!$E$2:$E$47,1),""))</f>
        <v>King Towsk</v>
      </c>
      <c r="P5" s="29" t="str">
        <f>IF(N5="","","Tier3_Pick1")</f>
        <v>Tier3_Pick1</v>
      </c>
      <c r="Q5" s="29">
        <f>IF(N5="","",3)</f>
        <v>3</v>
      </c>
      <c r="R5" s="29" t="str">
        <f t="array" ref="R5">IF(N5="","",IFERROR(INDEX(Entries!$H$2:$H$47,1),""))</f>
        <v>Italy</v>
      </c>
      <c r="S5" s="29" t="str">
        <f t="array" ref="S5">IF(R5="","",IFERROR(XLOOKUP(R5,'Live Medal Table'!$B$2:$B$94,'Live Medal Table'!$C$2:$C$94,"???"),"???"))</f>
        <v>ITA</v>
      </c>
      <c r="T5" s="29">
        <f t="array" ref="T5">IF(R5="",0,IFERROR(XLOOKUP(R5,'Live Medal Table'!$B$2:$B$94,'Live Medal Table'!$F$2:$F$94,0),0))</f>
        <v>3</v>
      </c>
      <c r="U5" s="29">
        <f t="array" ref="U5">IF(R5="",0,IFERROR(XLOOKUP(R5,'Live Medal Table'!$B$2:$B$94,'Live Medal Table'!$G$2:$G$94,0),0))</f>
        <v>10</v>
      </c>
      <c r="V5" s="29">
        <f t="array" ref="V5">IF(R5="",0,IFERROR(XLOOKUP(R5,'Live Medal Table'!$B$2:$B$94,'Live Medal Table'!$H$2:$H$94,0),0))</f>
        <v>6</v>
      </c>
      <c r="W5" s="29">
        <f t="array" ref="W5">IF(R5="",0,IFERROR(XLOOKUP(R5,'Live Medal Table'!$B$2:$B$94,'Live Medal Table'!$I$2:$I$94,0),0))</f>
        <v>14</v>
      </c>
      <c r="X5" s="29">
        <f t="shared" si="1"/>
        <v>90</v>
      </c>
      <c r="Y5" s="29">
        <f t="shared" si="2"/>
        <v>36</v>
      </c>
      <c r="Z5" s="29">
        <f t="shared" si="3"/>
        <v>42</v>
      </c>
      <c r="AA5" s="29">
        <f t="shared" si="4"/>
        <v>168</v>
      </c>
      <c r="AB5" s="29" t="b">
        <f t="array" ref="AB5">IF(R5="",FALSE,IFERROR(AND(ISNUMBER(MATCH(R5,'Live Medal Table'!$B$2:$B$94,0)),XLOOKUP(R5,'Live Medal Table'!$B$2:$B$94,Countries!$I$2:$I$72,FALSE)),FALSE))</f>
        <v>0</v>
      </c>
    </row>
    <row r="6" ht="22.5" customHeight="1">
      <c r="A6" s="3"/>
      <c r="B6" s="51" t="str">
        <f>IFERROR(__xludf.DUMMYFUNCTION("""COMPUTED_VALUE"""),"Netherlands")</f>
        <v>Netherlands</v>
      </c>
      <c r="C6" s="51">
        <f>IFERROR(__xludf.DUMMYFUNCTION("""COMPUTED_VALUE"""),2.0)</f>
        <v>2</v>
      </c>
      <c r="D6" s="51">
        <f>IFERROR(__xludf.DUMMYFUNCTION("""COMPUTED_VALUE"""),94.0)</f>
        <v>94</v>
      </c>
      <c r="E6" s="51" t="str">
        <f t="array" ref="E6">XLOOKUP(B6,'Live Medal Table'!N:N,'Live Medal Table'!X:X,"")</f>
        <v/>
      </c>
      <c r="F6" s="3"/>
      <c r="G6" s="3" t="str">
        <f>IFERROR(__xludf.DUMMYFUNCTION("""COMPUTED_VALUE"""),"Charlie ")</f>
        <v>Charlie </v>
      </c>
      <c r="H6" s="43">
        <v>3.0</v>
      </c>
      <c r="I6" s="48">
        <v>9.0</v>
      </c>
      <c r="J6" s="49">
        <v>6.0</v>
      </c>
      <c r="K6" s="50">
        <v>3.0</v>
      </c>
      <c r="L6" s="29"/>
      <c r="M6" s="29"/>
      <c r="N6" s="29" t="str">
        <f t="array" ref="N6">IFERROR(IF(INDEX(Entries!$C$2:$C$47,1)="","",INDEX(Entries!$Q$2:$Q$47,1)),"")</f>
        <v>Brad_Hagstrom_King Towsk</v>
      </c>
      <c r="O6" s="29" t="str">
        <f t="array" ref="O6">IF(N6="","",IFERROR(INDEX(Entries!$E$2:$E$47,1),""))</f>
        <v>King Towsk</v>
      </c>
      <c r="P6" s="29" t="str">
        <f>IF(N6="","","Tier4_Pick1")</f>
        <v>Tier4_Pick1</v>
      </c>
      <c r="Q6" s="29">
        <f>IF(N6="","",4)</f>
        <v>4</v>
      </c>
      <c r="R6" s="29" t="str">
        <f t="array" ref="R6">IF(N6="","",IFERROR(INDEX(Entries!$I$2:$I$47,1),""))</f>
        <v>Finland</v>
      </c>
      <c r="S6" s="29" t="str">
        <f t="array" ref="S6">IF(R6="","",IFERROR(XLOOKUP(R6,'Live Medal Table'!$B$2:$B$94,'Live Medal Table'!$C$2:$C$94,"???"),"???"))</f>
        <v>FIN</v>
      </c>
      <c r="T6" s="29">
        <f t="array" ref="T6">IF(R6="",0,IFERROR(XLOOKUP(R6,'Live Medal Table'!$B$2:$B$94,'Live Medal Table'!$F$2:$F$94,0),0))</f>
        <v>6</v>
      </c>
      <c r="U6" s="29">
        <f t="array" ref="U6">IF(R6="",0,IFERROR(XLOOKUP(R6,'Live Medal Table'!$B$2:$B$94,'Live Medal Table'!$G$2:$G$94,0),0))</f>
        <v>0</v>
      </c>
      <c r="V6" s="29">
        <f t="array" ref="V6">IF(R6="",0,IFERROR(XLOOKUP(R6,'Live Medal Table'!$B$2:$B$94,'Live Medal Table'!$H$2:$H$94,0),0))</f>
        <v>1</v>
      </c>
      <c r="W6" s="29">
        <f t="array" ref="W6">IF(R6="",0,IFERROR(XLOOKUP(R6,'Live Medal Table'!$B$2:$B$94,'Live Medal Table'!$I$2:$I$94,0),0))</f>
        <v>5</v>
      </c>
      <c r="X6" s="29">
        <f t="shared" si="1"/>
        <v>0</v>
      </c>
      <c r="Y6" s="29">
        <f t="shared" si="2"/>
        <v>12</v>
      </c>
      <c r="Z6" s="29">
        <f t="shared" si="3"/>
        <v>30</v>
      </c>
      <c r="AA6" s="29">
        <f t="shared" si="4"/>
        <v>42</v>
      </c>
      <c r="AB6" s="29" t="b">
        <f t="array" ref="AB6">IF(R6="",FALSE,IFERROR(AND(ISNUMBER(MATCH(R6,'Live Medal Table'!$B$2:$B$94,0)),XLOOKUP(R6,'Live Medal Table'!$B$2:$B$94,Countries!$I$2:$I$72,FALSE)),FALSE))</f>
        <v>0</v>
      </c>
    </row>
    <row r="7" ht="22.5" customHeight="1">
      <c r="A7" s="3"/>
      <c r="B7" s="51" t="str">
        <f>IFERROR(__xludf.DUMMYFUNCTION("""COMPUTED_VALUE"""),"Sweden")</f>
        <v>Sweden</v>
      </c>
      <c r="C7" s="51">
        <f>IFERROR(__xludf.DUMMYFUNCTION("""COMPUTED_VALUE"""),2.0)</f>
        <v>2</v>
      </c>
      <c r="D7" s="51">
        <f>IFERROR(__xludf.DUMMYFUNCTION("""COMPUTED_VALUE"""),80.0)</f>
        <v>80</v>
      </c>
      <c r="E7" s="51" t="str">
        <f t="array" ref="E7">XLOOKUP(B7,'Live Medal Table'!N:N,'Live Medal Table'!X:X,"")</f>
        <v/>
      </c>
      <c r="F7" s="3"/>
      <c r="G7" s="3" t="str">
        <f>IFERROR(__xludf.DUMMYFUNCTION("""COMPUTED_VALUE"""),"Jack Jansen")</f>
        <v>Jack Jansen</v>
      </c>
      <c r="H7" s="43">
        <v>4.0</v>
      </c>
      <c r="I7" s="48">
        <v>18.0</v>
      </c>
      <c r="J7" s="49">
        <v>12.0</v>
      </c>
      <c r="K7" s="50">
        <v>6.0</v>
      </c>
      <c r="L7" s="29"/>
      <c r="M7" s="29"/>
      <c r="N7" s="29" t="str">
        <f t="array" ref="N7">IFERROR(IF(INDEX(Entries!$C$2:$C$47,1)="","",INDEX(Entries!$Q$2:$Q$47,1)),"")</f>
        <v>Brad_Hagstrom_King Towsk</v>
      </c>
      <c r="O7" s="29" t="str">
        <f t="array" ref="O7">IF(N7="","",IFERROR(INDEX(Entries!$E$2:$E$47,1),""))</f>
        <v>King Towsk</v>
      </c>
      <c r="P7" s="29" t="str">
        <f>IF(N7="","","Tier5_Pick1")</f>
        <v>Tier5_Pick1</v>
      </c>
      <c r="Q7" s="29">
        <f>IF(N7="","",5)</f>
        <v>5</v>
      </c>
      <c r="R7" s="29" t="str">
        <f t="array" ref="R7">IF(N7="","",IFERROR(INDEX(Entries!$J$2:$J$47,1),""))</f>
        <v>Australia</v>
      </c>
      <c r="S7" s="29" t="str">
        <f t="array" ref="S7">IF(R7="","",IFERROR(XLOOKUP(R7,'Live Medal Table'!$B$2:$B$94,'Live Medal Table'!$C$2:$C$94,"???"),"???"))</f>
        <v>AUS</v>
      </c>
      <c r="T7" s="29">
        <f t="array" ref="T7">IF(R7="",0,IFERROR(XLOOKUP(R7,'Live Medal Table'!$B$2:$B$94,'Live Medal Table'!$F$2:$F$94,0),0))</f>
        <v>10</v>
      </c>
      <c r="U7" s="29">
        <f t="array" ref="U7">IF(R7="",0,IFERROR(XLOOKUP(R7,'Live Medal Table'!$B$2:$B$94,'Live Medal Table'!$G$2:$G$94,0),0))</f>
        <v>3</v>
      </c>
      <c r="V7" s="29">
        <f t="array" ref="V7">IF(R7="",0,IFERROR(XLOOKUP(R7,'Live Medal Table'!$B$2:$B$94,'Live Medal Table'!$H$2:$H$94,0),0))</f>
        <v>2</v>
      </c>
      <c r="W7" s="29">
        <f t="array" ref="W7">IF(R7="",0,IFERROR(XLOOKUP(R7,'Live Medal Table'!$B$2:$B$94,'Live Medal Table'!$I$2:$I$94,0),0))</f>
        <v>1</v>
      </c>
      <c r="X7" s="29">
        <f t="shared" si="1"/>
        <v>90</v>
      </c>
      <c r="Y7" s="29">
        <f t="shared" si="2"/>
        <v>40</v>
      </c>
      <c r="Z7" s="29">
        <f t="shared" si="3"/>
        <v>10</v>
      </c>
      <c r="AA7" s="29">
        <f t="shared" si="4"/>
        <v>140</v>
      </c>
      <c r="AB7" s="29" t="b">
        <f t="array" ref="AB7">IF(R7="",FALSE,IFERROR(AND(ISNUMBER(MATCH(R7,'Live Medal Table'!$B$2:$B$94,0)),XLOOKUP(R7,'Live Medal Table'!$B$2:$B$94,Countries!$I$2:$I$72,FALSE)),FALSE))</f>
        <v>0</v>
      </c>
    </row>
    <row r="8" ht="22.5" customHeight="1">
      <c r="A8" s="3"/>
      <c r="B8" s="51" t="str">
        <f>IFERROR(__xludf.DUMMYFUNCTION("""COMPUTED_VALUE"""),"Italy")</f>
        <v>Italy</v>
      </c>
      <c r="C8" s="51">
        <f>IFERROR(__xludf.DUMMYFUNCTION("""COMPUTED_VALUE"""),3.0)</f>
        <v>3</v>
      </c>
      <c r="D8" s="51">
        <f>IFERROR(__xludf.DUMMYFUNCTION("""COMPUTED_VALUE"""),168.0)</f>
        <v>168</v>
      </c>
      <c r="E8" s="51" t="str">
        <f t="array" ref="E8">XLOOKUP(B8,'Live Medal Table'!N:N,'Live Medal Table'!X:X,"")</f>
        <v/>
      </c>
      <c r="F8" s="3"/>
      <c r="G8" s="3" t="str">
        <f>IFERROR(__xludf.DUMMYFUNCTION("""COMPUTED_VALUE"""),"Jdrobny")</f>
        <v>Jdrobny</v>
      </c>
      <c r="H8" s="43">
        <v>5.0</v>
      </c>
      <c r="I8" s="48">
        <v>30.0</v>
      </c>
      <c r="J8" s="49">
        <v>20.0</v>
      </c>
      <c r="K8" s="50">
        <v>10.0</v>
      </c>
      <c r="L8" s="29"/>
      <c r="M8" s="29"/>
      <c r="N8" s="29" t="str">
        <f t="array" ref="N8">IFERROR(IF(INDEX(Entries!$C$2:$C$47,1)="","",INDEX(Entries!$Q$2:$Q$47,1)),"")</f>
        <v>Brad_Hagstrom_King Towsk</v>
      </c>
      <c r="O8" s="29" t="str">
        <f t="array" ref="O8">IF(N8="","",IFERROR(INDEX(Entries!$E$2:$E$47,1),""))</f>
        <v>King Towsk</v>
      </c>
      <c r="P8" s="29" t="str">
        <f>IF(N8="","","Tier6_Pick1")</f>
        <v>Tier6_Pick1</v>
      </c>
      <c r="Q8" s="29">
        <f t="shared" ref="Q8:Q9" si="6">IF(N8="","",6)</f>
        <v>6</v>
      </c>
      <c r="R8" s="29" t="str">
        <f t="array" ref="R8">IF(N8="","",IFERROR(INDEX(Entries!$O$2:$O$47,1),""))</f>
        <v>New Zealand</v>
      </c>
      <c r="S8" s="29" t="str">
        <f t="array" ref="S8">IF(R8="","",IFERROR(XLOOKUP(R8,'Live Medal Table'!$B$2:$B$94,'Live Medal Table'!$C$2:$C$94,"???"),"???"))</f>
        <v>NZL</v>
      </c>
      <c r="T8" s="29">
        <f t="array" ref="T8">IF(R8="",0,IFERROR(XLOOKUP(R8,'Live Medal Table'!$B$2:$B$94,'Live Medal Table'!$F$2:$F$94,0),0))</f>
        <v>20</v>
      </c>
      <c r="U8" s="29">
        <f t="array" ref="U8">IF(R8="",0,IFERROR(XLOOKUP(R8,'Live Medal Table'!$B$2:$B$94,'Live Medal Table'!$G$2:$G$94,0),0))</f>
        <v>0</v>
      </c>
      <c r="V8" s="29">
        <f t="array" ref="V8">IF(R8="",0,IFERROR(XLOOKUP(R8,'Live Medal Table'!$B$2:$B$94,'Live Medal Table'!$H$2:$H$94,0),0))</f>
        <v>2</v>
      </c>
      <c r="W8" s="29">
        <f t="array" ref="W8">IF(R8="",0,IFERROR(XLOOKUP(R8,'Live Medal Table'!$B$2:$B$94,'Live Medal Table'!$I$2:$I$94,0),0))</f>
        <v>1</v>
      </c>
      <c r="X8" s="29">
        <f t="shared" si="1"/>
        <v>0</v>
      </c>
      <c r="Y8" s="29">
        <f t="shared" si="2"/>
        <v>80</v>
      </c>
      <c r="Z8" s="29">
        <f t="shared" si="3"/>
        <v>20</v>
      </c>
      <c r="AA8" s="29">
        <f t="shared" si="4"/>
        <v>100</v>
      </c>
      <c r="AB8" s="29" t="b">
        <f t="array" ref="AB8">IF(R8="",FALSE,IFERROR(AND(ISNUMBER(MATCH(R8,'Live Medal Table'!$B$2:$B$94,0)),XLOOKUP(R8,'Live Medal Table'!$B$2:$B$94,Countries!$I$2:$I$72,FALSE)),FALSE))</f>
        <v>0</v>
      </c>
    </row>
    <row r="9" ht="22.5" customHeight="1">
      <c r="A9" s="3"/>
      <c r="B9" s="51" t="str">
        <f>IFERROR(__xludf.DUMMYFUNCTION("""COMPUTED_VALUE"""),"Finland")</f>
        <v>Finland</v>
      </c>
      <c r="C9" s="51">
        <f>IFERROR(__xludf.DUMMYFUNCTION("""COMPUTED_VALUE"""),4.0)</f>
        <v>4</v>
      </c>
      <c r="D9" s="51">
        <f>IFERROR(__xludf.DUMMYFUNCTION("""COMPUTED_VALUE"""),42.0)</f>
        <v>42</v>
      </c>
      <c r="E9" s="51" t="str">
        <f t="array" ref="E9">XLOOKUP(B9,'Live Medal Table'!N:N,'Live Medal Table'!X:X,"")</f>
        <v/>
      </c>
      <c r="F9" s="3"/>
      <c r="G9" s="3" t="str">
        <f>IFERROR(__xludf.DUMMYFUNCTION("""COMPUTED_VALUE"""),"Jennie")</f>
        <v>Jennie</v>
      </c>
      <c r="H9" s="43">
        <v>6.0</v>
      </c>
      <c r="I9" s="48">
        <v>60.0</v>
      </c>
      <c r="J9" s="49">
        <v>40.0</v>
      </c>
      <c r="K9" s="50">
        <v>20.0</v>
      </c>
      <c r="L9" s="29"/>
      <c r="M9" s="29"/>
      <c r="N9" s="29" t="str">
        <f t="array" ref="N9">IFERROR(IF(INDEX(Entries!$C$2:$C$47,1)="","",INDEX(Entries!$Q$2:$Q$47,1)),"")</f>
        <v>Brad_Hagstrom_King Towsk</v>
      </c>
      <c r="O9" s="29" t="str">
        <f t="array" ref="O9">IF(N9="","",IFERROR(INDEX(Entries!$E$2:$E$47,1),""))</f>
        <v>King Towsk</v>
      </c>
      <c r="P9" s="29" t="str">
        <f>IF(N9="","","Tier6_Pick2")</f>
        <v>Tier6_Pick2</v>
      </c>
      <c r="Q9" s="29">
        <f t="shared" si="6"/>
        <v>6</v>
      </c>
      <c r="R9" s="29" t="str">
        <f t="array" ref="R9">IF(N9="","",IFERROR(INDEX(Entries!$P$2:$P$47,1),""))</f>
        <v>Ukraine</v>
      </c>
      <c r="S9" s="29" t="str">
        <f t="array" ref="S9">IF(R9="","",IFERROR(XLOOKUP(R9,'Live Medal Table'!$B$2:$B$94,'Live Medal Table'!$C$2:$C$94,"???"),"???"))</f>
        <v>UKR</v>
      </c>
      <c r="T9" s="29">
        <f t="array" ref="T9">IF(R9="",0,IFERROR(XLOOKUP(R9,'Live Medal Table'!$B$2:$B$94,'Live Medal Table'!$F$2:$F$94,0),0))</f>
        <v>20</v>
      </c>
      <c r="U9" s="29">
        <f t="array" ref="U9">IF(R9="",0,IFERROR(XLOOKUP(R9,'Live Medal Table'!$B$2:$B$94,'Live Medal Table'!$G$2:$G$94,0),0))</f>
        <v>0</v>
      </c>
      <c r="V9" s="29">
        <f t="array" ref="V9">IF(R9="",0,IFERROR(XLOOKUP(R9,'Live Medal Table'!$B$2:$B$94,'Live Medal Table'!$H$2:$H$94,0),0))</f>
        <v>0</v>
      </c>
      <c r="W9" s="29">
        <f t="array" ref="W9">IF(R9="",0,IFERROR(XLOOKUP(R9,'Live Medal Table'!$B$2:$B$94,'Live Medal Table'!$I$2:$I$94,0),0))</f>
        <v>0</v>
      </c>
      <c r="X9" s="29">
        <f t="shared" si="1"/>
        <v>0</v>
      </c>
      <c r="Y9" s="29">
        <f t="shared" si="2"/>
        <v>0</v>
      </c>
      <c r="Z9" s="29">
        <f t="shared" si="3"/>
        <v>0</v>
      </c>
      <c r="AA9" s="29">
        <f t="shared" si="4"/>
        <v>0</v>
      </c>
      <c r="AB9" s="29" t="b">
        <f t="array" ref="AB9">IF(R9="",FALSE,IFERROR(AND(ISNUMBER(MATCH(R9,'Live Medal Table'!$B$2:$B$94,0)),XLOOKUP(R9,'Live Medal Table'!$B$2:$B$94,Countries!$I$2:$I$72,FALSE)),FALSE))</f>
        <v>0</v>
      </c>
    </row>
    <row r="10" ht="22.5" customHeight="1">
      <c r="A10" s="3"/>
      <c r="B10" s="51" t="str">
        <f>IFERROR(__xludf.DUMMYFUNCTION("""COMPUTED_VALUE"""),"Poland")</f>
        <v>Poland</v>
      </c>
      <c r="C10" s="51">
        <f>IFERROR(__xludf.DUMMYFUNCTION("""COMPUTED_VALUE"""),5.0)</f>
        <v>5</v>
      </c>
      <c r="D10" s="51">
        <f>IFERROR(__xludf.DUMMYFUNCTION("""COMPUTED_VALUE"""),70.0)</f>
        <v>70</v>
      </c>
      <c r="E10" s="51" t="str">
        <f t="array" ref="E10">XLOOKUP(B10,'Live Medal Table'!N:N,'Live Medal Table'!X:X,"")</f>
        <v/>
      </c>
      <c r="F10" s="3"/>
      <c r="G10" s="3" t="str">
        <f>IFERROR(__xludf.DUMMYFUNCTION("""COMPUTED_VALUE"""),"Josh’s Dawgs")</f>
        <v>Josh’s Dawgs</v>
      </c>
      <c r="H10" s="3"/>
      <c r="I10" s="3"/>
      <c r="J10" s="3"/>
      <c r="K10" s="3"/>
      <c r="L10" s="29"/>
      <c r="M10" s="29"/>
      <c r="N10" s="29" t="str">
        <f t="array" ref="N10">IFERROR(IF(INDEX(Entries!$C$2:$C$47,2)="","",INDEX(Entries!$Q$2:$Q$47,2)),"")</f>
        <v>Wyatt_Eisen_Wyatt</v>
      </c>
      <c r="O10" s="29" t="str">
        <f t="array" ref="O10">IF(N10="","",IFERROR(INDEX(Entries!$E$2:$E$47,2),""))</f>
        <v>Wyatt</v>
      </c>
      <c r="P10" s="29" t="str">
        <f>IF(N10="","","Tier1_Pick1")</f>
        <v>Tier1_Pick1</v>
      </c>
      <c r="Q10" s="29">
        <f>IF(N10="","",1)</f>
        <v>1</v>
      </c>
      <c r="R10" s="29" t="str">
        <f t="array" ref="R10">IF(N10="","",IFERROR(INDEX(Entries!$F$2:$F$47,2),""))</f>
        <v>Canada</v>
      </c>
      <c r="S10" s="29" t="str">
        <f t="array" ref="S10">IF(R10="","",IFERROR(XLOOKUP(R10,'Live Medal Table'!$B$2:$B$94,'Live Medal Table'!$C$2:$C$94,"???"),"???"))</f>
        <v>CAN</v>
      </c>
      <c r="T10" s="29">
        <f t="array" ref="T10">IF(R10="",0,IFERROR(XLOOKUP(R10,'Live Medal Table'!$B$2:$B$94,'Live Medal Table'!$F$2:$F$94,0),0))</f>
        <v>1</v>
      </c>
      <c r="U10" s="29">
        <f t="array" ref="U10">IF(R10="",0,IFERROR(XLOOKUP(R10,'Live Medal Table'!$B$2:$B$94,'Live Medal Table'!$G$2:$G$94,0),0))</f>
        <v>5</v>
      </c>
      <c r="V10" s="29">
        <f t="array" ref="V10">IF(R10="",0,IFERROR(XLOOKUP(R10,'Live Medal Table'!$B$2:$B$94,'Live Medal Table'!$H$2:$H$94,0),0))</f>
        <v>7</v>
      </c>
      <c r="W10" s="29">
        <f t="array" ref="W10">IF(R10="",0,IFERROR(XLOOKUP(R10,'Live Medal Table'!$B$2:$B$94,'Live Medal Table'!$I$2:$I$94,0),0))</f>
        <v>9</v>
      </c>
      <c r="X10" s="29">
        <f t="shared" si="1"/>
        <v>15</v>
      </c>
      <c r="Y10" s="29">
        <f t="shared" si="2"/>
        <v>14</v>
      </c>
      <c r="Z10" s="29">
        <f t="shared" si="3"/>
        <v>9</v>
      </c>
      <c r="AA10" s="29">
        <f t="shared" si="4"/>
        <v>38</v>
      </c>
      <c r="AB10" s="29" t="b">
        <f t="array" ref="AB10">IF(R10="",FALSE,IFERROR(AND(ISNUMBER(MATCH(R10,'Live Medal Table'!$B$2:$B$94,0)),XLOOKUP(R10,'Live Medal Table'!$B$2:$B$94,Countries!$I$2:$I$72,FALSE)),FALSE))</f>
        <v>0</v>
      </c>
    </row>
    <row r="11" ht="22.5" customHeight="1">
      <c r="A11" s="3"/>
      <c r="B11" s="51" t="str">
        <f>IFERROR(__xludf.DUMMYFUNCTION("""COMPUTED_VALUE"""),"Bulgaria")</f>
        <v>Bulgaria</v>
      </c>
      <c r="C11" s="51">
        <f>IFERROR(__xludf.DUMMYFUNCTION("""COMPUTED_VALUE"""),6.0)</f>
        <v>6</v>
      </c>
      <c r="D11" s="51">
        <f>IFERROR(__xludf.DUMMYFUNCTION("""COMPUTED_VALUE"""),40.0)</f>
        <v>40</v>
      </c>
      <c r="E11" s="51" t="str">
        <f t="array" ref="E11">XLOOKUP(B11,'Live Medal Table'!N:N,'Live Medal Table'!X:X,"")</f>
        <v/>
      </c>
      <c r="F11" s="3"/>
      <c r="G11" s="3" t="str">
        <f>IFERROR(__xludf.DUMMYFUNCTION("""COMPUTED_VALUE"""),"kborst13")</f>
        <v>kborst13</v>
      </c>
      <c r="H11" s="3"/>
      <c r="I11" s="3"/>
      <c r="J11" s="3"/>
      <c r="K11" s="3"/>
      <c r="L11" s="29"/>
      <c r="M11" s="29"/>
      <c r="N11" s="29" t="str">
        <f t="array" ref="N11">IFERROR(IF(INDEX(Entries!$C$2:$C$47,2)="","",INDEX(Entries!$Q$2:$Q$47,2)),"")</f>
        <v>Wyatt_Eisen_Wyatt</v>
      </c>
      <c r="O11" s="29" t="str">
        <f t="array" ref="O11">IF(N11="","",IFERROR(INDEX(Entries!$E$2:$E$47,2),""))</f>
        <v>Wyatt</v>
      </c>
      <c r="P11" s="29" t="str">
        <f>IF(N11="","","Tier2_Pick1")</f>
        <v>Tier2_Pick1</v>
      </c>
      <c r="Q11" s="29">
        <f t="shared" ref="Q11:Q12" si="7">IF(N11="","",2)</f>
        <v>2</v>
      </c>
      <c r="R11" s="29" t="str">
        <f t="array" ref="R11">IF(N11="","",IFERROR(INDEX(Entries!$M$2:$M$47,2),""))</f>
        <v>Austria</v>
      </c>
      <c r="S11" s="29" t="str">
        <f t="array" ref="S11">IF(R11="","",IFERROR(XLOOKUP(R11,'Live Medal Table'!$B$2:$B$94,'Live Medal Table'!$C$2:$C$94,"???"),"???"))</f>
        <v>AUT</v>
      </c>
      <c r="T11" s="29">
        <f t="array" ref="T11">IF(R11="",0,IFERROR(XLOOKUP(R11,'Live Medal Table'!$B$2:$B$94,'Live Medal Table'!$F$2:$F$94,0),0))</f>
        <v>2</v>
      </c>
      <c r="U11" s="29">
        <f t="array" ref="U11">IF(R11="",0,IFERROR(XLOOKUP(R11,'Live Medal Table'!$B$2:$B$94,'Live Medal Table'!$G$2:$G$94,0),0))</f>
        <v>5</v>
      </c>
      <c r="V11" s="29">
        <f t="array" ref="V11">IF(R11="",0,IFERROR(XLOOKUP(R11,'Live Medal Table'!$B$2:$B$94,'Live Medal Table'!$H$2:$H$94,0),0))</f>
        <v>8</v>
      </c>
      <c r="W11" s="29">
        <f t="array" ref="W11">IF(R11="",0,IFERROR(XLOOKUP(R11,'Live Medal Table'!$B$2:$B$94,'Live Medal Table'!$I$2:$I$94,0),0))</f>
        <v>5</v>
      </c>
      <c r="X11" s="29">
        <f t="shared" si="1"/>
        <v>30</v>
      </c>
      <c r="Y11" s="29">
        <f t="shared" si="2"/>
        <v>32</v>
      </c>
      <c r="Z11" s="29">
        <f t="shared" si="3"/>
        <v>10</v>
      </c>
      <c r="AA11" s="29">
        <f t="shared" si="4"/>
        <v>72</v>
      </c>
      <c r="AB11" s="29" t="b">
        <f t="array" ref="AB11">IF(R11="",FALSE,IFERROR(AND(ISNUMBER(MATCH(R11,'Live Medal Table'!$B$2:$B$94,0)),XLOOKUP(R11,'Live Medal Table'!$B$2:$B$94,Countries!$I$2:$I$72,FALSE)),FALSE))</f>
        <v>0</v>
      </c>
    </row>
    <row r="12" ht="22.5" customHeight="1">
      <c r="A12" s="3"/>
      <c r="B12" s="51" t="str">
        <f>IFERROR(__xludf.DUMMYFUNCTION("""COMPUTED_VALUE"""),"Denmark")</f>
        <v>Denmark</v>
      </c>
      <c r="C12" s="51">
        <f>IFERROR(__xludf.DUMMYFUNCTION("""COMPUTED_VALUE"""),6.0)</f>
        <v>6</v>
      </c>
      <c r="D12" s="51">
        <f>IFERROR(__xludf.DUMMYFUNCTION("""COMPUTED_VALUE"""),40.0)</f>
        <v>40</v>
      </c>
      <c r="E12" s="51" t="str">
        <f t="array" ref="E12">XLOOKUP(B12,'Live Medal Table'!N:N,'Live Medal Table'!X:X,"")</f>
        <v/>
      </c>
      <c r="F12" s="3"/>
      <c r="G12" s="3" t="str">
        <f>IFERROR(__xludf.DUMMYFUNCTION("""COMPUTED_VALUE"""),"King Towsk")</f>
        <v>King Towsk</v>
      </c>
      <c r="H12" s="3"/>
      <c r="I12" s="3"/>
      <c r="J12" s="3"/>
      <c r="K12" s="3"/>
      <c r="L12" s="29"/>
      <c r="M12" s="29"/>
      <c r="N12" s="29" t="str">
        <f t="array" ref="N12">IFERROR(IF(INDEX(Entries!$C$2:$C$47,2)="","",INDEX(Entries!$Q$2:$Q$47,2)),"")</f>
        <v>Wyatt_Eisen_Wyatt</v>
      </c>
      <c r="O12" s="29" t="str">
        <f t="array" ref="O12">IF(N12="","",IFERROR(INDEX(Entries!$E$2:$E$47,2),""))</f>
        <v>Wyatt</v>
      </c>
      <c r="P12" s="29" t="str">
        <f>IF(N12="","","Tier2_Pick2")</f>
        <v>Tier2_Pick2</v>
      </c>
      <c r="Q12" s="29">
        <f t="shared" si="7"/>
        <v>2</v>
      </c>
      <c r="R12" s="29" t="str">
        <f t="array" ref="R12">IF(N12="","",IFERROR(INDEX(Entries!$N$2:$N$47,2),""))</f>
        <v>Netherlands</v>
      </c>
      <c r="S12" s="29" t="str">
        <f t="array" ref="S12">IF(R12="","",IFERROR(XLOOKUP(R12,'Live Medal Table'!$B$2:$B$94,'Live Medal Table'!$C$2:$C$94,"???"),"???"))</f>
        <v>NED</v>
      </c>
      <c r="T12" s="29">
        <f t="array" ref="T12">IF(R12="",0,IFERROR(XLOOKUP(R12,'Live Medal Table'!$B$2:$B$94,'Live Medal Table'!$F$2:$F$94,0),0))</f>
        <v>2</v>
      </c>
      <c r="U12" s="29">
        <f t="array" ref="U12">IF(R12="",0,IFERROR(XLOOKUP(R12,'Live Medal Table'!$B$2:$B$94,'Live Medal Table'!$G$2:$G$94,0),0))</f>
        <v>10</v>
      </c>
      <c r="V12" s="29">
        <f t="array" ref="V12">IF(R12="",0,IFERROR(XLOOKUP(R12,'Live Medal Table'!$B$2:$B$94,'Live Medal Table'!$H$2:$H$94,0),0))</f>
        <v>7</v>
      </c>
      <c r="W12" s="29">
        <f t="array" ref="W12">IF(R12="",0,IFERROR(XLOOKUP(R12,'Live Medal Table'!$B$2:$B$94,'Live Medal Table'!$I$2:$I$94,0),0))</f>
        <v>3</v>
      </c>
      <c r="X12" s="29">
        <f t="shared" si="1"/>
        <v>60</v>
      </c>
      <c r="Y12" s="29">
        <f t="shared" si="2"/>
        <v>28</v>
      </c>
      <c r="Z12" s="29">
        <f t="shared" si="3"/>
        <v>6</v>
      </c>
      <c r="AA12" s="29">
        <f t="shared" si="4"/>
        <v>94</v>
      </c>
      <c r="AB12" s="29" t="b">
        <f t="array" ref="AB12">IF(R12="",FALSE,IFERROR(AND(ISNUMBER(MATCH(R12,'Live Medal Table'!$B$2:$B$94,0)),XLOOKUP(R12,'Live Medal Table'!$B$2:$B$94,Countries!$I$2:$I$72,FALSE)),FALSE))</f>
        <v>0</v>
      </c>
    </row>
    <row r="13">
      <c r="A13" s="3"/>
      <c r="B13" s="52"/>
      <c r="C13" s="53" t="s">
        <v>38</v>
      </c>
      <c r="D13" s="54">
        <f>SUM(D5:D12)</f>
        <v>623</v>
      </c>
      <c r="E13" s="55"/>
      <c r="F13" s="3"/>
      <c r="G13" s="3" t="str">
        <f>IFERROR(__xludf.DUMMYFUNCTION("""COMPUTED_VALUE"""),"LucasF")</f>
        <v>LucasF</v>
      </c>
      <c r="H13" s="3"/>
      <c r="I13" s="3"/>
      <c r="J13" s="3"/>
      <c r="K13" s="3"/>
      <c r="L13" s="29"/>
      <c r="M13" s="29"/>
      <c r="N13" s="29" t="str">
        <f t="array" ref="N13">IFERROR(IF(INDEX(Entries!$C$2:$C$47,2)="","",INDEX(Entries!$Q$2:$Q$47,2)),"")</f>
        <v>Wyatt_Eisen_Wyatt</v>
      </c>
      <c r="O13" s="29" t="str">
        <f t="array" ref="O13">IF(N13="","",IFERROR(INDEX(Entries!$E$2:$E$47,2),""))</f>
        <v>Wyatt</v>
      </c>
      <c r="P13" s="29" t="str">
        <f>IF(N13="","","Tier3_Pick1")</f>
        <v>Tier3_Pick1</v>
      </c>
      <c r="Q13" s="29">
        <f>IF(N13="","",3)</f>
        <v>3</v>
      </c>
      <c r="R13" s="29" t="str">
        <f t="array" ref="R13">IF(N13="","",IFERROR(INDEX(Entries!$H$2:$H$47,2),""))</f>
        <v>China</v>
      </c>
      <c r="S13" s="29" t="str">
        <f t="array" ref="S13">IF(R13="","",IFERROR(XLOOKUP(R13,'Live Medal Table'!$B$2:$B$94,'Live Medal Table'!$C$2:$C$94,"???"),"???"))</f>
        <v>CHN</v>
      </c>
      <c r="T13" s="29">
        <f t="array" ref="T13">IF(R13="",0,IFERROR(XLOOKUP(R13,'Live Medal Table'!$B$2:$B$94,'Live Medal Table'!$F$2:$F$94,0),0))</f>
        <v>3</v>
      </c>
      <c r="U13" s="29">
        <f t="array" ref="U13">IF(R13="",0,IFERROR(XLOOKUP(R13,'Live Medal Table'!$B$2:$B$94,'Live Medal Table'!$G$2:$G$94,0),0))</f>
        <v>5</v>
      </c>
      <c r="V13" s="29">
        <f t="array" ref="V13">IF(R13="",0,IFERROR(XLOOKUP(R13,'Live Medal Table'!$B$2:$B$94,'Live Medal Table'!$H$2:$H$94,0),0))</f>
        <v>4</v>
      </c>
      <c r="W13" s="29">
        <f t="array" ref="W13">IF(R13="",0,IFERROR(XLOOKUP(R13,'Live Medal Table'!$B$2:$B$94,'Live Medal Table'!$I$2:$I$94,0),0))</f>
        <v>6</v>
      </c>
      <c r="X13" s="29">
        <f t="shared" si="1"/>
        <v>45</v>
      </c>
      <c r="Y13" s="29">
        <f t="shared" si="2"/>
        <v>24</v>
      </c>
      <c r="Z13" s="29">
        <f t="shared" si="3"/>
        <v>18</v>
      </c>
      <c r="AA13" s="29">
        <f t="shared" si="4"/>
        <v>87</v>
      </c>
      <c r="AB13" s="29" t="b">
        <f t="array" ref="AB13">IF(R13="",FALSE,IFERROR(AND(ISNUMBER(MATCH(R13,'Live Medal Table'!$B$2:$B$94,0)),XLOOKUP(R13,'Live Medal Table'!$B$2:$B$94,Countries!$I$2:$I$72,FALSE)),FALSE))</f>
        <v>0</v>
      </c>
    </row>
    <row r="14">
      <c r="A14" s="3"/>
      <c r="B14" s="3"/>
      <c r="C14" s="3"/>
      <c r="D14" s="3"/>
      <c r="E14" s="3"/>
      <c r="F14" s="3"/>
      <c r="G14" s="3" t="str">
        <f>IFERROR(__xludf.DUMMYFUNCTION("""COMPUTED_VALUE"""),"Mark Mattson")</f>
        <v>Mark Mattson</v>
      </c>
      <c r="H14" s="3"/>
      <c r="I14" s="3"/>
      <c r="J14" s="3"/>
      <c r="K14" s="3"/>
      <c r="L14" s="29"/>
      <c r="M14" s="29"/>
      <c r="N14" s="29" t="str">
        <f t="array" ref="N14">IFERROR(IF(INDEX(Entries!$C$2:$C$47,2)="","",INDEX(Entries!$Q$2:$Q$47,2)),"")</f>
        <v>Wyatt_Eisen_Wyatt</v>
      </c>
      <c r="O14" s="29" t="str">
        <f t="array" ref="O14">IF(N14="","",IFERROR(INDEX(Entries!$E$2:$E$47,2),""))</f>
        <v>Wyatt</v>
      </c>
      <c r="P14" s="29" t="str">
        <f>IF(N14="","","Tier4_Pick1")</f>
        <v>Tier4_Pick1</v>
      </c>
      <c r="Q14" s="29">
        <f>IF(N14="","",4)</f>
        <v>4</v>
      </c>
      <c r="R14" s="29" t="str">
        <f t="array" ref="R14">IF(N14="","",IFERROR(INDEX(Entries!$I$2:$I$47,2),""))</f>
        <v>Czech Republic</v>
      </c>
      <c r="S14" s="29" t="str">
        <f t="array" ref="S14">IF(R14="","",IFERROR(XLOOKUP(R14,'Live Medal Table'!$B$2:$B$94,'Live Medal Table'!$C$2:$C$94,"???"),"???"))</f>
        <v>CZE</v>
      </c>
      <c r="T14" s="29">
        <f t="array" ref="T14">IF(R14="",0,IFERROR(XLOOKUP(R14,'Live Medal Table'!$B$2:$B$94,'Live Medal Table'!$F$2:$F$94,0),0))</f>
        <v>6</v>
      </c>
      <c r="U14" s="29">
        <f t="array" ref="U14">IF(R14="",0,IFERROR(XLOOKUP(R14,'Live Medal Table'!$B$2:$B$94,'Live Medal Table'!$G$2:$G$94,0),0))</f>
        <v>2</v>
      </c>
      <c r="V14" s="29">
        <f t="array" ref="V14">IF(R14="",0,IFERROR(XLOOKUP(R14,'Live Medal Table'!$B$2:$B$94,'Live Medal Table'!$H$2:$H$94,0),0))</f>
        <v>2</v>
      </c>
      <c r="W14" s="29">
        <f t="array" ref="W14">IF(R14="",0,IFERROR(XLOOKUP(R14,'Live Medal Table'!$B$2:$B$94,'Live Medal Table'!$I$2:$I$94,0),0))</f>
        <v>1</v>
      </c>
      <c r="X14" s="29">
        <f t="shared" si="1"/>
        <v>36</v>
      </c>
      <c r="Y14" s="29">
        <f t="shared" si="2"/>
        <v>24</v>
      </c>
      <c r="Z14" s="29">
        <f t="shared" si="3"/>
        <v>6</v>
      </c>
      <c r="AA14" s="29">
        <f t="shared" si="4"/>
        <v>66</v>
      </c>
      <c r="AB14" s="29" t="b">
        <f t="array" ref="AB14">IF(R14="",FALSE,IFERROR(AND(ISNUMBER(MATCH(R14,'Live Medal Table'!$B$2:$B$94,0)),XLOOKUP(R14,'Live Medal Table'!$B$2:$B$94,Countries!$I$2:$I$72,FALSE)),FALSE))</f>
        <v>0</v>
      </c>
    </row>
    <row r="15">
      <c r="A15" s="3"/>
      <c r="B15" s="56" t="s">
        <v>39</v>
      </c>
      <c r="C15" s="3"/>
      <c r="D15" s="3"/>
      <c r="E15" s="3"/>
      <c r="F15" s="3"/>
      <c r="G15" s="3" t="str">
        <f>IFERROR(__xludf.DUMMYFUNCTION("""COMPUTED_VALUE"""),"Molly ")</f>
        <v>Molly </v>
      </c>
      <c r="H15" s="3"/>
      <c r="I15" s="3"/>
      <c r="J15" s="3"/>
      <c r="K15" s="3"/>
      <c r="L15" s="29"/>
      <c r="M15" s="29"/>
      <c r="N15" s="29" t="str">
        <f t="array" ref="N15">IFERROR(IF(INDEX(Entries!$C$2:$C$47,2)="","",INDEX(Entries!$Q$2:$Q$47,2)),"")</f>
        <v>Wyatt_Eisen_Wyatt</v>
      </c>
      <c r="O15" s="29" t="str">
        <f t="array" ref="O15">IF(N15="","",IFERROR(INDEX(Entries!$E$2:$E$47,2),""))</f>
        <v>Wyatt</v>
      </c>
      <c r="P15" s="29" t="str">
        <f>IF(N15="","","Tier5_Pick1")</f>
        <v>Tier5_Pick1</v>
      </c>
      <c r="Q15" s="29">
        <f>IF(N15="","",5)</f>
        <v>5</v>
      </c>
      <c r="R15" s="29" t="str">
        <f t="array" ref="R15">IF(N15="","",IFERROR(INDEX(Entries!$J$2:$J$47,2),""))</f>
        <v>Australia</v>
      </c>
      <c r="S15" s="29" t="str">
        <f t="array" ref="S15">IF(R15="","",IFERROR(XLOOKUP(R15,'Live Medal Table'!$B$2:$B$94,'Live Medal Table'!$C$2:$C$94,"???"),"???"))</f>
        <v>AUS</v>
      </c>
      <c r="T15" s="29">
        <f t="array" ref="T15">IF(R15="",0,IFERROR(XLOOKUP(R15,'Live Medal Table'!$B$2:$B$94,'Live Medal Table'!$F$2:$F$94,0),0))</f>
        <v>10</v>
      </c>
      <c r="U15" s="29">
        <f t="array" ref="U15">IF(R15="",0,IFERROR(XLOOKUP(R15,'Live Medal Table'!$B$2:$B$94,'Live Medal Table'!$G$2:$G$94,0),0))</f>
        <v>3</v>
      </c>
      <c r="V15" s="29">
        <f t="array" ref="V15">IF(R15="",0,IFERROR(XLOOKUP(R15,'Live Medal Table'!$B$2:$B$94,'Live Medal Table'!$H$2:$H$94,0),0))</f>
        <v>2</v>
      </c>
      <c r="W15" s="29">
        <f t="array" ref="W15">IF(R15="",0,IFERROR(XLOOKUP(R15,'Live Medal Table'!$B$2:$B$94,'Live Medal Table'!$I$2:$I$94,0),0))</f>
        <v>1</v>
      </c>
      <c r="X15" s="29">
        <f t="shared" si="1"/>
        <v>90</v>
      </c>
      <c r="Y15" s="29">
        <f t="shared" si="2"/>
        <v>40</v>
      </c>
      <c r="Z15" s="29">
        <f t="shared" si="3"/>
        <v>10</v>
      </c>
      <c r="AA15" s="29">
        <f t="shared" si="4"/>
        <v>140</v>
      </c>
      <c r="AB15" s="29" t="b">
        <f t="array" ref="AB15">IF(R15="",FALSE,IFERROR(AND(ISNUMBER(MATCH(R15,'Live Medal Table'!$B$2:$B$94,0)),XLOOKUP(R15,'Live Medal Table'!$B$2:$B$94,Countries!$I$2:$I$72,FALSE)),FALSE))</f>
        <v>0</v>
      </c>
    </row>
    <row r="16">
      <c r="A16" s="3"/>
      <c r="B16" s="3"/>
      <c r="C16" s="3"/>
      <c r="D16" s="3"/>
      <c r="E16" s="3"/>
      <c r="F16" s="3"/>
      <c r="G16" s="3" t="str">
        <f>IFERROR(__xludf.DUMMYFUNCTION("""COMPUTED_VALUE"""),"Murph")</f>
        <v>Murph</v>
      </c>
      <c r="H16" s="3"/>
      <c r="I16" s="3"/>
      <c r="J16" s="3"/>
      <c r="K16" s="3"/>
      <c r="L16" s="29"/>
      <c r="M16" s="29"/>
      <c r="N16" s="29" t="str">
        <f t="array" ref="N16">IFERROR(IF(INDEX(Entries!$C$2:$C$47,2)="","",INDEX(Entries!$Q$2:$Q$47,2)),"")</f>
        <v>Wyatt_Eisen_Wyatt</v>
      </c>
      <c r="O16" s="29" t="str">
        <f t="array" ref="O16">IF(N16="","",IFERROR(INDEX(Entries!$E$2:$E$47,2),""))</f>
        <v>Wyatt</v>
      </c>
      <c r="P16" s="29" t="str">
        <f>IF(N16="","","Tier6_Pick1")</f>
        <v>Tier6_Pick1</v>
      </c>
      <c r="Q16" s="29">
        <f t="shared" ref="Q16:Q17" si="8">IF(N16="","",6)</f>
        <v>6</v>
      </c>
      <c r="R16" s="29" t="str">
        <f t="array" ref="R16">IF(N16="","",IFERROR(INDEX(Entries!$O$2:$O$47,2),""))</f>
        <v>Croatia</v>
      </c>
      <c r="S16" s="29" t="str">
        <f t="array" ref="S16">IF(R16="","",IFERROR(XLOOKUP(R16,'Live Medal Table'!$B$2:$B$94,'Live Medal Table'!$C$2:$C$94,"???"),"???"))</f>
        <v>CRO</v>
      </c>
      <c r="T16" s="29">
        <f t="array" ref="T16">IF(R16="",0,IFERROR(XLOOKUP(R16,'Live Medal Table'!$B$2:$B$94,'Live Medal Table'!$F$2:$F$94,0),0))</f>
        <v>20</v>
      </c>
      <c r="U16" s="29">
        <f t="array" ref="U16">IF(R16="",0,IFERROR(XLOOKUP(R16,'Live Medal Table'!$B$2:$B$94,'Live Medal Table'!$G$2:$G$94,0),0))</f>
        <v>0</v>
      </c>
      <c r="V16" s="29">
        <f t="array" ref="V16">IF(R16="",0,IFERROR(XLOOKUP(R16,'Live Medal Table'!$B$2:$B$94,'Live Medal Table'!$H$2:$H$94,0),0))</f>
        <v>0</v>
      </c>
      <c r="W16" s="29">
        <f t="array" ref="W16">IF(R16="",0,IFERROR(XLOOKUP(R16,'Live Medal Table'!$B$2:$B$94,'Live Medal Table'!$I$2:$I$94,0),0))</f>
        <v>0</v>
      </c>
      <c r="X16" s="29">
        <f t="shared" si="1"/>
        <v>0</v>
      </c>
      <c r="Y16" s="29">
        <f t="shared" si="2"/>
        <v>0</v>
      </c>
      <c r="Z16" s="29">
        <f t="shared" si="3"/>
        <v>0</v>
      </c>
      <c r="AA16" s="29">
        <f t="shared" si="4"/>
        <v>0</v>
      </c>
      <c r="AB16" s="29" t="b">
        <f t="array" ref="AB16">IF(R16="",FALSE,IFERROR(AND(ISNUMBER(MATCH(R16,'Live Medal Table'!$B$2:$B$94,0)),XLOOKUP(R16,'Live Medal Table'!$B$2:$B$94,Countries!$I$2:$I$72,FALSE)),FALSE))</f>
        <v>0</v>
      </c>
    </row>
    <row r="17" hidden="1">
      <c r="A17" s="3"/>
      <c r="B17" s="3"/>
      <c r="C17" s="3"/>
      <c r="D17" s="3"/>
      <c r="E17" s="3"/>
      <c r="F17" s="3"/>
      <c r="G17" s="3" t="str">
        <f>IFERROR(__xludf.DUMMYFUNCTION("""COMPUTED_VALUE"""),"Pat Doherty")</f>
        <v>Pat Doherty</v>
      </c>
      <c r="H17" s="3"/>
      <c r="I17" s="3"/>
      <c r="J17" s="3"/>
      <c r="K17" s="3"/>
      <c r="L17" s="29"/>
      <c r="M17" s="29"/>
      <c r="N17" s="29" t="str">
        <f t="array" ref="N17">IFERROR(IF(INDEX(Entries!$C$2:$C$47,2)="","",INDEX(Entries!$Q$2:$Q$47,2)),"")</f>
        <v>Wyatt_Eisen_Wyatt</v>
      </c>
      <c r="O17" s="29" t="str">
        <f t="array" ref="O17">IF(N17="","",IFERROR(INDEX(Entries!$E$2:$E$47,2),""))</f>
        <v>Wyatt</v>
      </c>
      <c r="P17" s="29" t="str">
        <f>IF(N17="","","Tier6_Pick2")</f>
        <v>Tier6_Pick2</v>
      </c>
      <c r="Q17" s="29">
        <f t="shared" si="8"/>
        <v>6</v>
      </c>
      <c r="R17" s="29" t="str">
        <f t="array" ref="R17">IF(N17="","",IFERROR(INDEX(Entries!$P$2:$P$47,2),""))</f>
        <v>Ukraine</v>
      </c>
      <c r="S17" s="29" t="str">
        <f t="array" ref="S17">IF(R17="","",IFERROR(XLOOKUP(R17,'Live Medal Table'!$B$2:$B$94,'Live Medal Table'!$C$2:$C$94,"???"),"???"))</f>
        <v>UKR</v>
      </c>
      <c r="T17" s="29">
        <f t="array" ref="T17">IF(R17="",0,IFERROR(XLOOKUP(R17,'Live Medal Table'!$B$2:$B$94,'Live Medal Table'!$F$2:$F$94,0),0))</f>
        <v>20</v>
      </c>
      <c r="U17" s="29">
        <f t="array" ref="U17">IF(R17="",0,IFERROR(XLOOKUP(R17,'Live Medal Table'!$B$2:$B$94,'Live Medal Table'!$G$2:$G$94,0),0))</f>
        <v>0</v>
      </c>
      <c r="V17" s="29">
        <f t="array" ref="V17">IF(R17="",0,IFERROR(XLOOKUP(R17,'Live Medal Table'!$B$2:$B$94,'Live Medal Table'!$H$2:$H$94,0),0))</f>
        <v>0</v>
      </c>
      <c r="W17" s="29">
        <f t="array" ref="W17">IF(R17="",0,IFERROR(XLOOKUP(R17,'Live Medal Table'!$B$2:$B$94,'Live Medal Table'!$I$2:$I$94,0),0))</f>
        <v>0</v>
      </c>
      <c r="X17" s="29">
        <f t="shared" si="1"/>
        <v>0</v>
      </c>
      <c r="Y17" s="29">
        <f t="shared" si="2"/>
        <v>0</v>
      </c>
      <c r="Z17" s="29">
        <f t="shared" si="3"/>
        <v>0</v>
      </c>
      <c r="AA17" s="29">
        <f t="shared" si="4"/>
        <v>0</v>
      </c>
      <c r="AB17" s="29" t="b">
        <f t="array" ref="AB17">IF(R17="",FALSE,IFERROR(AND(ISNUMBER(MATCH(R17,'Live Medal Table'!$B$2:$B$94,0)),XLOOKUP(R17,'Live Medal Table'!$B$2:$B$94,Countries!$I$2:$I$72,FALSE)),FALSE))</f>
        <v>0</v>
      </c>
    </row>
    <row r="18" hidden="1">
      <c r="A18" s="3"/>
      <c r="B18" s="3"/>
      <c r="C18" s="3"/>
      <c r="D18" s="3"/>
      <c r="E18" s="3"/>
      <c r="F18" s="3"/>
      <c r="G18" s="3" t="str">
        <f>IFERROR(__xludf.DUMMYFUNCTION("""COMPUTED_VALUE"""),"Reb")</f>
        <v>Reb</v>
      </c>
      <c r="H18" s="3"/>
      <c r="I18" s="3"/>
      <c r="J18" s="3"/>
      <c r="K18" s="3"/>
      <c r="L18" s="29"/>
      <c r="M18" s="29"/>
      <c r="N18" s="29" t="str">
        <f t="array" ref="N18">IFERROR(IF(INDEX(Entries!$C$2:$C$47,3)="","",INDEX(Entries!$Q$2:$Q$47,3)),"")</f>
        <v>Jack_Jansen_Jack Jansen</v>
      </c>
      <c r="O18" s="29" t="str">
        <f t="array" ref="O18">IF(N18="","",IFERROR(INDEX(Entries!$E$2:$E$47,3),""))</f>
        <v>Jack Jansen</v>
      </c>
      <c r="P18" s="29" t="str">
        <f>IF(N18="","","Tier1_Pick1")</f>
        <v>Tier1_Pick1</v>
      </c>
      <c r="Q18" s="29">
        <f>IF(N18="","",1)</f>
        <v>1</v>
      </c>
      <c r="R18" s="29" t="str">
        <f t="array" ref="R18">IF(N18="","",IFERROR(INDEX(Entries!$F$2:$F$47,3),""))</f>
        <v>Norway</v>
      </c>
      <c r="S18" s="29" t="str">
        <f t="array" ref="S18">IF(R18="","",IFERROR(XLOOKUP(R18,'Live Medal Table'!$B$2:$B$94,'Live Medal Table'!$C$2:$C$94,"???"),"???"))</f>
        <v>NOR</v>
      </c>
      <c r="T18" s="29">
        <f t="array" ref="T18">IF(R18="",0,IFERROR(XLOOKUP(R18,'Live Medal Table'!$B$2:$B$94,'Live Medal Table'!$F$2:$F$94,0),0))</f>
        <v>1</v>
      </c>
      <c r="U18" s="29">
        <f t="array" ref="U18">IF(R18="",0,IFERROR(XLOOKUP(R18,'Live Medal Table'!$B$2:$B$94,'Live Medal Table'!$G$2:$G$94,0),0))</f>
        <v>18</v>
      </c>
      <c r="V18" s="29">
        <f t="array" ref="V18">IF(R18="",0,IFERROR(XLOOKUP(R18,'Live Medal Table'!$B$2:$B$94,'Live Medal Table'!$H$2:$H$94,0),0))</f>
        <v>12</v>
      </c>
      <c r="W18" s="29">
        <f t="array" ref="W18">IF(R18="",0,IFERROR(XLOOKUP(R18,'Live Medal Table'!$B$2:$B$94,'Live Medal Table'!$I$2:$I$94,0),0))</f>
        <v>11</v>
      </c>
      <c r="X18" s="29">
        <f t="shared" si="1"/>
        <v>54</v>
      </c>
      <c r="Y18" s="29">
        <f t="shared" si="2"/>
        <v>24</v>
      </c>
      <c r="Z18" s="29">
        <f t="shared" si="3"/>
        <v>11</v>
      </c>
      <c r="AA18" s="29">
        <f t="shared" si="4"/>
        <v>89</v>
      </c>
      <c r="AB18" s="29" t="b">
        <f t="array" ref="AB18">IF(R18="",FALSE,IFERROR(AND(ISNUMBER(MATCH(R18,'Live Medal Table'!$B$2:$B$94,0)),XLOOKUP(R18,'Live Medal Table'!$B$2:$B$94,Countries!$I$2:$I$72,FALSE)),FALSE))</f>
        <v>0</v>
      </c>
    </row>
    <row r="19" hidden="1">
      <c r="A19" s="3"/>
      <c r="B19" s="3"/>
      <c r="C19" s="3"/>
      <c r="D19" s="3"/>
      <c r="E19" s="3"/>
      <c r="F19" s="3"/>
      <c r="G19" s="3" t="str">
        <f>IFERROR(__xludf.DUMMYFUNCTION("""COMPUTED_VALUE"""),"SilkMaster420")</f>
        <v>SilkMaster420</v>
      </c>
      <c r="H19" s="3"/>
      <c r="I19" s="3"/>
      <c r="J19" s="3"/>
      <c r="K19" s="3"/>
      <c r="L19" s="29"/>
      <c r="M19" s="29"/>
      <c r="N19" s="29" t="str">
        <f t="array" ref="N19">IFERROR(IF(INDEX(Entries!$C$2:$C$47,3)="","",INDEX(Entries!$Q$2:$Q$47,3)),"")</f>
        <v>Jack_Jansen_Jack Jansen</v>
      </c>
      <c r="O19" s="29" t="str">
        <f t="array" ref="O19">IF(N19="","",IFERROR(INDEX(Entries!$E$2:$E$47,3),""))</f>
        <v>Jack Jansen</v>
      </c>
      <c r="P19" s="29" t="str">
        <f>IF(N19="","","Tier2_Pick1")</f>
        <v>Tier2_Pick1</v>
      </c>
      <c r="Q19" s="29">
        <f t="shared" ref="Q19:Q20" si="9">IF(N19="","",2)</f>
        <v>2</v>
      </c>
      <c r="R19" s="29" t="str">
        <f t="array" ref="R19">IF(N19="","",IFERROR(INDEX(Entries!$M$2:$M$47,3),""))</f>
        <v>Netherlands</v>
      </c>
      <c r="S19" s="29" t="str">
        <f t="array" ref="S19">IF(R19="","",IFERROR(XLOOKUP(R19,'Live Medal Table'!$B$2:$B$94,'Live Medal Table'!$C$2:$C$94,"???"),"???"))</f>
        <v>NED</v>
      </c>
      <c r="T19" s="29">
        <f t="array" ref="T19">IF(R19="",0,IFERROR(XLOOKUP(R19,'Live Medal Table'!$B$2:$B$94,'Live Medal Table'!$F$2:$F$94,0),0))</f>
        <v>2</v>
      </c>
      <c r="U19" s="29">
        <f t="array" ref="U19">IF(R19="",0,IFERROR(XLOOKUP(R19,'Live Medal Table'!$B$2:$B$94,'Live Medal Table'!$G$2:$G$94,0),0))</f>
        <v>10</v>
      </c>
      <c r="V19" s="29">
        <f t="array" ref="V19">IF(R19="",0,IFERROR(XLOOKUP(R19,'Live Medal Table'!$B$2:$B$94,'Live Medal Table'!$H$2:$H$94,0),0))</f>
        <v>7</v>
      </c>
      <c r="W19" s="29">
        <f t="array" ref="W19">IF(R19="",0,IFERROR(XLOOKUP(R19,'Live Medal Table'!$B$2:$B$94,'Live Medal Table'!$I$2:$I$94,0),0))</f>
        <v>3</v>
      </c>
      <c r="X19" s="29">
        <f t="shared" si="1"/>
        <v>60</v>
      </c>
      <c r="Y19" s="29">
        <f t="shared" si="2"/>
        <v>28</v>
      </c>
      <c r="Z19" s="29">
        <f t="shared" si="3"/>
        <v>6</v>
      </c>
      <c r="AA19" s="29">
        <f t="shared" si="4"/>
        <v>94</v>
      </c>
      <c r="AB19" s="29" t="b">
        <f t="array" ref="AB19">IF(R19="",FALSE,IFERROR(AND(ISNUMBER(MATCH(R19,'Live Medal Table'!$B$2:$B$94,0)),XLOOKUP(R19,'Live Medal Table'!$B$2:$B$94,Countries!$I$2:$I$72,FALSE)),FALSE))</f>
        <v>0</v>
      </c>
    </row>
    <row r="20" hidden="1">
      <c r="A20" s="3"/>
      <c r="B20" s="3"/>
      <c r="C20" s="3"/>
      <c r="D20" s="3"/>
      <c r="E20" s="3"/>
      <c r="F20" s="3"/>
      <c r="G20" s="3" t="str">
        <f>IFERROR(__xludf.DUMMYFUNCTION("""COMPUTED_VALUE"""),"Siri")</f>
        <v>Siri</v>
      </c>
      <c r="H20" s="3"/>
      <c r="I20" s="3"/>
      <c r="J20" s="3"/>
      <c r="K20" s="3"/>
      <c r="L20" s="29"/>
      <c r="M20" s="29"/>
      <c r="N20" s="29" t="str">
        <f t="array" ref="N20">IFERROR(IF(INDEX(Entries!$C$2:$C$47,3)="","",INDEX(Entries!$Q$2:$Q$47,3)),"")</f>
        <v>Jack_Jansen_Jack Jansen</v>
      </c>
      <c r="O20" s="29" t="str">
        <f t="array" ref="O20">IF(N20="","",IFERROR(INDEX(Entries!$E$2:$E$47,3),""))</f>
        <v>Jack Jansen</v>
      </c>
      <c r="P20" s="29" t="str">
        <f>IF(N20="","","Tier2_Pick2")</f>
        <v>Tier2_Pick2</v>
      </c>
      <c r="Q20" s="29">
        <f t="shared" si="9"/>
        <v>2</v>
      </c>
      <c r="R20" s="29" t="str">
        <f t="array" ref="R20">IF(N20="","",IFERROR(INDEX(Entries!$N$2:$N$47,3),""))</f>
        <v>Sweden</v>
      </c>
      <c r="S20" s="29" t="str">
        <f t="array" ref="S20">IF(R20="","",IFERROR(XLOOKUP(R20,'Live Medal Table'!$B$2:$B$94,'Live Medal Table'!$C$2:$C$94,"???"),"???"))</f>
        <v>SWE</v>
      </c>
      <c r="T20" s="29">
        <f t="array" ref="T20">IF(R20="",0,IFERROR(XLOOKUP(R20,'Live Medal Table'!$B$2:$B$94,'Live Medal Table'!$F$2:$F$94,0),0))</f>
        <v>2</v>
      </c>
      <c r="U20" s="29">
        <f t="array" ref="U20">IF(R20="",0,IFERROR(XLOOKUP(R20,'Live Medal Table'!$B$2:$B$94,'Live Medal Table'!$G$2:$G$94,0),0))</f>
        <v>8</v>
      </c>
      <c r="V20" s="29">
        <f t="array" ref="V20">IF(R20="",0,IFERROR(XLOOKUP(R20,'Live Medal Table'!$B$2:$B$94,'Live Medal Table'!$H$2:$H$94,0),0))</f>
        <v>6</v>
      </c>
      <c r="W20" s="29">
        <f t="array" ref="W20">IF(R20="",0,IFERROR(XLOOKUP(R20,'Live Medal Table'!$B$2:$B$94,'Live Medal Table'!$I$2:$I$94,0),0))</f>
        <v>4</v>
      </c>
      <c r="X20" s="29">
        <f t="shared" si="1"/>
        <v>48</v>
      </c>
      <c r="Y20" s="29">
        <f t="shared" si="2"/>
        <v>24</v>
      </c>
      <c r="Z20" s="29">
        <f t="shared" si="3"/>
        <v>8</v>
      </c>
      <c r="AA20" s="29">
        <f t="shared" si="4"/>
        <v>80</v>
      </c>
      <c r="AB20" s="29" t="b">
        <f t="array" ref="AB20">IF(R20="",FALSE,IFERROR(AND(ISNUMBER(MATCH(R20,'Live Medal Table'!$B$2:$B$94,0)),XLOOKUP(R20,'Live Medal Table'!$B$2:$B$94,Countries!$I$2:$I$72,FALSE)),FALSE))</f>
        <v>0</v>
      </c>
    </row>
    <row r="21" ht="15.75" hidden="1" customHeight="1">
      <c r="A21" s="3"/>
      <c r="B21" s="3"/>
      <c r="C21" s="3"/>
      <c r="D21" s="3"/>
      <c r="E21" s="3"/>
      <c r="F21" s="3"/>
      <c r="G21" s="3" t="str">
        <f>IFERROR(__xludf.DUMMYFUNCTION("""COMPUTED_VALUE"""),"SMAC")</f>
        <v>SMAC</v>
      </c>
      <c r="H21" s="3"/>
      <c r="I21" s="3"/>
      <c r="J21" s="3"/>
      <c r="K21" s="3"/>
      <c r="L21" s="29"/>
      <c r="M21" s="29"/>
      <c r="N21" s="29" t="str">
        <f t="array" ref="N21">IFERROR(IF(INDEX(Entries!$C$2:$C$47,3)="","",INDEX(Entries!$Q$2:$Q$47,3)),"")</f>
        <v>Jack_Jansen_Jack Jansen</v>
      </c>
      <c r="O21" s="29" t="str">
        <f t="array" ref="O21">IF(N21="","",IFERROR(INDEX(Entries!$E$2:$E$47,3),""))</f>
        <v>Jack Jansen</v>
      </c>
      <c r="P21" s="29" t="str">
        <f>IF(N21="","","Tier3_Pick1")</f>
        <v>Tier3_Pick1</v>
      </c>
      <c r="Q21" s="29">
        <f>IF(N21="","",3)</f>
        <v>3</v>
      </c>
      <c r="R21" s="29" t="str">
        <f t="array" ref="R21">IF(N21="","",IFERROR(INDEX(Entries!$H$2:$H$47,3),""))</f>
        <v>Japan</v>
      </c>
      <c r="S21" s="29" t="str">
        <f t="array" ref="S21">IF(R21="","",IFERROR(XLOOKUP(R21,'Live Medal Table'!$B$2:$B$94,'Live Medal Table'!$C$2:$C$94,"???"),"???"))</f>
        <v>JPN</v>
      </c>
      <c r="T21" s="29">
        <f t="array" ref="T21">IF(R21="",0,IFERROR(XLOOKUP(R21,'Live Medal Table'!$B$2:$B$94,'Live Medal Table'!$F$2:$F$94,0),0))</f>
        <v>3</v>
      </c>
      <c r="U21" s="29">
        <f t="array" ref="U21">IF(R21="",0,IFERROR(XLOOKUP(R21,'Live Medal Table'!$B$2:$B$94,'Live Medal Table'!$G$2:$G$94,0),0))</f>
        <v>5</v>
      </c>
      <c r="V21" s="29">
        <f t="array" ref="V21">IF(R21="",0,IFERROR(XLOOKUP(R21,'Live Medal Table'!$B$2:$B$94,'Live Medal Table'!$H$2:$H$94,0),0))</f>
        <v>7</v>
      </c>
      <c r="W21" s="29">
        <f t="array" ref="W21">IF(R21="",0,IFERROR(XLOOKUP(R21,'Live Medal Table'!$B$2:$B$94,'Live Medal Table'!$I$2:$I$94,0),0))</f>
        <v>12</v>
      </c>
      <c r="X21" s="29">
        <f t="shared" si="1"/>
        <v>45</v>
      </c>
      <c r="Y21" s="29">
        <f t="shared" si="2"/>
        <v>42</v>
      </c>
      <c r="Z21" s="29">
        <f t="shared" si="3"/>
        <v>36</v>
      </c>
      <c r="AA21" s="29">
        <f t="shared" si="4"/>
        <v>123</v>
      </c>
      <c r="AB21" s="29" t="b">
        <f t="array" ref="AB21">IF(R21="",FALSE,IFERROR(AND(ISNUMBER(MATCH(R21,'Live Medal Table'!$B$2:$B$94,0)),XLOOKUP(R21,'Live Medal Table'!$B$2:$B$94,Countries!$I$2:$I$72,FALSE)),FALSE))</f>
        <v>0</v>
      </c>
    </row>
    <row r="22" ht="15.75" hidden="1" customHeight="1">
      <c r="A22" s="3"/>
      <c r="B22" s="3"/>
      <c r="C22" s="3"/>
      <c r="D22" s="3"/>
      <c r="E22" s="3"/>
      <c r="F22" s="3"/>
      <c r="G22" s="3" t="str">
        <f>IFERROR(__xludf.DUMMYFUNCTION("""COMPUTED_VALUE"""),"Tate McRae ")</f>
        <v>Tate McRae </v>
      </c>
      <c r="H22" s="3"/>
      <c r="I22" s="3"/>
      <c r="J22" s="3"/>
      <c r="K22" s="3"/>
      <c r="L22" s="29"/>
      <c r="M22" s="29"/>
      <c r="N22" s="29" t="str">
        <f t="array" ref="N22">IFERROR(IF(INDEX(Entries!$C$2:$C$47,3)="","",INDEX(Entries!$Q$2:$Q$47,3)),"")</f>
        <v>Jack_Jansen_Jack Jansen</v>
      </c>
      <c r="O22" s="29" t="str">
        <f t="array" ref="O22">IF(N22="","",IFERROR(INDEX(Entries!$E$2:$E$47,3),""))</f>
        <v>Jack Jansen</v>
      </c>
      <c r="P22" s="29" t="str">
        <f>IF(N22="","","Tier4_Pick1")</f>
        <v>Tier4_Pick1</v>
      </c>
      <c r="Q22" s="29">
        <f>IF(N22="","",4)</f>
        <v>4</v>
      </c>
      <c r="R22" s="29" t="str">
        <f t="array" ref="R22">IF(N22="","",IFERROR(INDEX(Entries!$I$2:$I$47,3),""))</f>
        <v>Czech Republic</v>
      </c>
      <c r="S22" s="29" t="str">
        <f t="array" ref="S22">IF(R22="","",IFERROR(XLOOKUP(R22,'Live Medal Table'!$B$2:$B$94,'Live Medal Table'!$C$2:$C$94,"???"),"???"))</f>
        <v>CZE</v>
      </c>
      <c r="T22" s="29">
        <f t="array" ref="T22">IF(R22="",0,IFERROR(XLOOKUP(R22,'Live Medal Table'!$B$2:$B$94,'Live Medal Table'!$F$2:$F$94,0),0))</f>
        <v>6</v>
      </c>
      <c r="U22" s="29">
        <f t="array" ref="U22">IF(R22="",0,IFERROR(XLOOKUP(R22,'Live Medal Table'!$B$2:$B$94,'Live Medal Table'!$G$2:$G$94,0),0))</f>
        <v>2</v>
      </c>
      <c r="V22" s="29">
        <f t="array" ref="V22">IF(R22="",0,IFERROR(XLOOKUP(R22,'Live Medal Table'!$B$2:$B$94,'Live Medal Table'!$H$2:$H$94,0),0))</f>
        <v>2</v>
      </c>
      <c r="W22" s="29">
        <f t="array" ref="W22">IF(R22="",0,IFERROR(XLOOKUP(R22,'Live Medal Table'!$B$2:$B$94,'Live Medal Table'!$I$2:$I$94,0),0))</f>
        <v>1</v>
      </c>
      <c r="X22" s="29">
        <f t="shared" si="1"/>
        <v>36</v>
      </c>
      <c r="Y22" s="29">
        <f t="shared" si="2"/>
        <v>24</v>
      </c>
      <c r="Z22" s="29">
        <f t="shared" si="3"/>
        <v>6</v>
      </c>
      <c r="AA22" s="29">
        <f t="shared" si="4"/>
        <v>66</v>
      </c>
      <c r="AB22" s="29" t="b">
        <f t="array" ref="AB22">IF(R22="",FALSE,IFERROR(AND(ISNUMBER(MATCH(R22,'Live Medal Table'!$B$2:$B$94,0)),XLOOKUP(R22,'Live Medal Table'!$B$2:$B$94,Countries!$I$2:$I$72,FALSE)),FALSE))</f>
        <v>0</v>
      </c>
    </row>
    <row r="23" ht="15.75" hidden="1" customHeight="1">
      <c r="A23" s="3"/>
      <c r="B23" s="3"/>
      <c r="C23" s="3"/>
      <c r="D23" s="3"/>
      <c r="E23" s="3"/>
      <c r="F23" s="3"/>
      <c r="G23" s="3" t="str">
        <f>IFERROR(__xludf.DUMMYFUNCTION("""COMPUTED_VALUE"""),"Wicks")</f>
        <v>Wicks</v>
      </c>
      <c r="H23" s="3"/>
      <c r="I23" s="3"/>
      <c r="J23" s="3"/>
      <c r="K23" s="3"/>
      <c r="L23" s="29"/>
      <c r="M23" s="29"/>
      <c r="N23" s="29" t="str">
        <f t="array" ref="N23">IFERROR(IF(INDEX(Entries!$C$2:$C$47,3)="","",INDEX(Entries!$Q$2:$Q$47,3)),"")</f>
        <v>Jack_Jansen_Jack Jansen</v>
      </c>
      <c r="O23" s="29" t="str">
        <f t="array" ref="O23">IF(N23="","",IFERROR(INDEX(Entries!$E$2:$E$47,3),""))</f>
        <v>Jack Jansen</v>
      </c>
      <c r="P23" s="29" t="str">
        <f>IF(N23="","","Tier5_Pick1")</f>
        <v>Tier5_Pick1</v>
      </c>
      <c r="Q23" s="29">
        <f>IF(N23="","",5)</f>
        <v>5</v>
      </c>
      <c r="R23" s="29" t="str">
        <f t="array" ref="R23">IF(N23="","",IFERROR(INDEX(Entries!$J$2:$J$47,3),""))</f>
        <v>Poland</v>
      </c>
      <c r="S23" s="29" t="str">
        <f t="array" ref="S23">IF(R23="","",IFERROR(XLOOKUP(R23,'Live Medal Table'!$B$2:$B$94,'Live Medal Table'!$C$2:$C$94,"???"),"???"))</f>
        <v>POL</v>
      </c>
      <c r="T23" s="29">
        <f t="array" ref="T23">IF(R23="",0,IFERROR(XLOOKUP(R23,'Live Medal Table'!$B$2:$B$94,'Live Medal Table'!$F$2:$F$94,0),0))</f>
        <v>10</v>
      </c>
      <c r="U23" s="29">
        <f t="array" ref="U23">IF(R23="",0,IFERROR(XLOOKUP(R23,'Live Medal Table'!$B$2:$B$94,'Live Medal Table'!$G$2:$G$94,0),0))</f>
        <v>0</v>
      </c>
      <c r="V23" s="29">
        <f t="array" ref="V23">IF(R23="",0,IFERROR(XLOOKUP(R23,'Live Medal Table'!$B$2:$B$94,'Live Medal Table'!$H$2:$H$94,0),0))</f>
        <v>3</v>
      </c>
      <c r="W23" s="29">
        <f t="array" ref="W23">IF(R23="",0,IFERROR(XLOOKUP(R23,'Live Medal Table'!$B$2:$B$94,'Live Medal Table'!$I$2:$I$94,0),0))</f>
        <v>1</v>
      </c>
      <c r="X23" s="29">
        <f t="shared" si="1"/>
        <v>0</v>
      </c>
      <c r="Y23" s="29">
        <f t="shared" si="2"/>
        <v>60</v>
      </c>
      <c r="Z23" s="29">
        <f t="shared" si="3"/>
        <v>10</v>
      </c>
      <c r="AA23" s="29">
        <f t="shared" si="4"/>
        <v>70</v>
      </c>
      <c r="AB23" s="29" t="b">
        <f t="array" ref="AB23">IF(R23="",FALSE,IFERROR(AND(ISNUMBER(MATCH(R23,'Live Medal Table'!$B$2:$B$94,0)),XLOOKUP(R23,'Live Medal Table'!$B$2:$B$94,Countries!$I$2:$I$72,FALSE)),FALSE))</f>
        <v>0</v>
      </c>
    </row>
    <row r="24" ht="15.75" hidden="1" customHeight="1">
      <c r="A24" s="3"/>
      <c r="B24" s="3"/>
      <c r="C24" s="3"/>
      <c r="D24" s="3"/>
      <c r="E24" s="3"/>
      <c r="F24" s="3"/>
      <c r="G24" s="3" t="str">
        <f>IFERROR(__xludf.DUMMYFUNCTION("""COMPUTED_VALUE"""),"Wyatt")</f>
        <v>Wyatt</v>
      </c>
      <c r="H24" s="3"/>
      <c r="I24" s="3"/>
      <c r="J24" s="3"/>
      <c r="K24" s="3"/>
      <c r="L24" s="29"/>
      <c r="M24" s="29"/>
      <c r="N24" s="29" t="str">
        <f t="array" ref="N24">IFERROR(IF(INDEX(Entries!$C$2:$C$47,3)="","",INDEX(Entries!$Q$2:$Q$47,3)),"")</f>
        <v>Jack_Jansen_Jack Jansen</v>
      </c>
      <c r="O24" s="29" t="str">
        <f t="array" ref="O24">IF(N24="","",IFERROR(INDEX(Entries!$E$2:$E$47,3),""))</f>
        <v>Jack Jansen</v>
      </c>
      <c r="P24" s="29" t="str">
        <f>IF(N24="","","Tier6_Pick1")</f>
        <v>Tier6_Pick1</v>
      </c>
      <c r="Q24" s="29">
        <f t="shared" ref="Q24:Q25" si="10">IF(N24="","",6)</f>
        <v>6</v>
      </c>
      <c r="R24" s="29" t="str">
        <f t="array" ref="R24">IF(N24="","",IFERROR(INDEX(Entries!$O$2:$O$47,3),""))</f>
        <v>Belgium</v>
      </c>
      <c r="S24" s="29" t="str">
        <f t="array" ref="S24">IF(R24="","",IFERROR(XLOOKUP(R24,'Live Medal Table'!$B$2:$B$94,'Live Medal Table'!$C$2:$C$94,"???"),"???"))</f>
        <v>BEL</v>
      </c>
      <c r="T24" s="29">
        <f t="array" ref="T24">IF(R24="",0,IFERROR(XLOOKUP(R24,'Live Medal Table'!$B$2:$B$94,'Live Medal Table'!$F$2:$F$94,0),0))</f>
        <v>20</v>
      </c>
      <c r="U24" s="29">
        <f t="array" ref="U24">IF(R24="",0,IFERROR(XLOOKUP(R24,'Live Medal Table'!$B$2:$B$94,'Live Medal Table'!$G$2:$G$94,0),0))</f>
        <v>0</v>
      </c>
      <c r="V24" s="29">
        <f t="array" ref="V24">IF(R24="",0,IFERROR(XLOOKUP(R24,'Live Medal Table'!$B$2:$B$94,'Live Medal Table'!$H$2:$H$94,0),0))</f>
        <v>0</v>
      </c>
      <c r="W24" s="29">
        <f t="array" ref="W24">IF(R24="",0,IFERROR(XLOOKUP(R24,'Live Medal Table'!$B$2:$B$94,'Live Medal Table'!$I$2:$I$94,0),0))</f>
        <v>1</v>
      </c>
      <c r="X24" s="29">
        <f t="shared" si="1"/>
        <v>0</v>
      </c>
      <c r="Y24" s="29">
        <f t="shared" si="2"/>
        <v>0</v>
      </c>
      <c r="Z24" s="29">
        <f t="shared" si="3"/>
        <v>20</v>
      </c>
      <c r="AA24" s="29">
        <f t="shared" si="4"/>
        <v>20</v>
      </c>
      <c r="AB24" s="29" t="b">
        <f t="array" ref="AB24">IF(R24="",FALSE,IFERROR(AND(ISNUMBER(MATCH(R24,'Live Medal Table'!$B$2:$B$94,0)),XLOOKUP(R24,'Live Medal Table'!$B$2:$B$94,Countries!$I$2:$I$72,FALSE)),FALSE))</f>
        <v>0</v>
      </c>
    </row>
    <row r="25" ht="15.75" hidden="1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29"/>
      <c r="M25" s="29"/>
      <c r="N25" s="29" t="str">
        <f t="array" ref="N25">IFERROR(IF(INDEX(Entries!$C$2:$C$47,3)="","",INDEX(Entries!$Q$2:$Q$47,3)),"")</f>
        <v>Jack_Jansen_Jack Jansen</v>
      </c>
      <c r="O25" s="29" t="str">
        <f t="array" ref="O25">IF(N25="","",IFERROR(INDEX(Entries!$E$2:$E$47,3),""))</f>
        <v>Jack Jansen</v>
      </c>
      <c r="P25" s="29" t="str">
        <f>IF(N25="","","Tier6_Pick2")</f>
        <v>Tier6_Pick2</v>
      </c>
      <c r="Q25" s="29">
        <f t="shared" si="10"/>
        <v>6</v>
      </c>
      <c r="R25" s="29" t="str">
        <f t="array" ref="R25">IF(N25="","",IFERROR(INDEX(Entries!$P$2:$P$47,3),""))</f>
        <v>Denmark</v>
      </c>
      <c r="S25" s="29" t="str">
        <f t="array" ref="S25">IF(R25="","",IFERROR(XLOOKUP(R25,'Live Medal Table'!$B$2:$B$94,'Live Medal Table'!$C$2:$C$94,"???"),"???"))</f>
        <v>DEN</v>
      </c>
      <c r="T25" s="29">
        <f t="array" ref="T25">IF(R25="",0,IFERROR(XLOOKUP(R25,'Live Medal Table'!$B$2:$B$94,'Live Medal Table'!$F$2:$F$94,0),0))</f>
        <v>20</v>
      </c>
      <c r="U25" s="29">
        <f t="array" ref="U25">IF(R25="",0,IFERROR(XLOOKUP(R25,'Live Medal Table'!$B$2:$B$94,'Live Medal Table'!$G$2:$G$94,0),0))</f>
        <v>0</v>
      </c>
      <c r="V25" s="29">
        <f t="array" ref="V25">IF(R25="",0,IFERROR(XLOOKUP(R25,'Live Medal Table'!$B$2:$B$94,'Live Medal Table'!$H$2:$H$94,0),0))</f>
        <v>1</v>
      </c>
      <c r="W25" s="29">
        <f t="array" ref="W25">IF(R25="",0,IFERROR(XLOOKUP(R25,'Live Medal Table'!$B$2:$B$94,'Live Medal Table'!$I$2:$I$94,0),0))</f>
        <v>0</v>
      </c>
      <c r="X25" s="29">
        <f t="shared" si="1"/>
        <v>0</v>
      </c>
      <c r="Y25" s="29">
        <f t="shared" si="2"/>
        <v>40</v>
      </c>
      <c r="Z25" s="29">
        <f t="shared" si="3"/>
        <v>0</v>
      </c>
      <c r="AA25" s="29">
        <f t="shared" si="4"/>
        <v>40</v>
      </c>
      <c r="AB25" s="29" t="b">
        <f t="array" ref="AB25">IF(R25="",FALSE,IFERROR(AND(ISNUMBER(MATCH(R25,'Live Medal Table'!$B$2:$B$94,0)),XLOOKUP(R25,'Live Medal Table'!$B$2:$B$94,Countries!$I$2:$I$72,FALSE)),FALSE))</f>
        <v>0</v>
      </c>
    </row>
    <row r="26" ht="15.75" hidden="1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29"/>
      <c r="M26" s="29"/>
      <c r="N26" s="29" t="str">
        <f t="array" ref="N26">IFERROR(IF(INDEX(Entries!$C$2:$C$47,4)="","",INDEX(Entries!$Q$2:$Q$47,4)),"")</f>
        <v>Charlie_Kaufmann_Charlie </v>
      </c>
      <c r="O26" s="29" t="str">
        <f t="array" ref="O26">IF(N26="","",IFERROR(INDEX(Entries!$E$2:$E$47,4),""))</f>
        <v>Charlie </v>
      </c>
      <c r="P26" s="29" t="str">
        <f>IF(N26="","","Tier1_Pick1")</f>
        <v>Tier1_Pick1</v>
      </c>
      <c r="Q26" s="29">
        <f>IF(N26="","",1)</f>
        <v>1</v>
      </c>
      <c r="R26" s="29" t="str">
        <f t="array" ref="R26">IF(N26="","",IFERROR(INDEX(Entries!$F$2:$F$47,4),""))</f>
        <v>Norway</v>
      </c>
      <c r="S26" s="29" t="str">
        <f t="array" ref="S26">IF(R26="","",IFERROR(XLOOKUP(R26,'Live Medal Table'!$B$2:$B$94,'Live Medal Table'!$C$2:$C$94,"???"),"???"))</f>
        <v>NOR</v>
      </c>
      <c r="T26" s="29">
        <f t="array" ref="T26">IF(R26="",0,IFERROR(XLOOKUP(R26,'Live Medal Table'!$B$2:$B$94,'Live Medal Table'!$F$2:$F$94,0),0))</f>
        <v>1</v>
      </c>
      <c r="U26" s="29">
        <f t="array" ref="U26">IF(R26="",0,IFERROR(XLOOKUP(R26,'Live Medal Table'!$B$2:$B$94,'Live Medal Table'!$G$2:$G$94,0),0))</f>
        <v>18</v>
      </c>
      <c r="V26" s="29">
        <f t="array" ref="V26">IF(R26="",0,IFERROR(XLOOKUP(R26,'Live Medal Table'!$B$2:$B$94,'Live Medal Table'!$H$2:$H$94,0),0))</f>
        <v>12</v>
      </c>
      <c r="W26" s="29">
        <f t="array" ref="W26">IF(R26="",0,IFERROR(XLOOKUP(R26,'Live Medal Table'!$B$2:$B$94,'Live Medal Table'!$I$2:$I$94,0),0))</f>
        <v>11</v>
      </c>
      <c r="X26" s="29">
        <f t="shared" si="1"/>
        <v>54</v>
      </c>
      <c r="Y26" s="29">
        <f t="shared" si="2"/>
        <v>24</v>
      </c>
      <c r="Z26" s="29">
        <f t="shared" si="3"/>
        <v>11</v>
      </c>
      <c r="AA26" s="29">
        <f t="shared" si="4"/>
        <v>89</v>
      </c>
      <c r="AB26" s="29" t="b">
        <f t="array" ref="AB26">IF(R26="",FALSE,IFERROR(AND(ISNUMBER(MATCH(R26,'Live Medal Table'!$B$2:$B$94,0)),XLOOKUP(R26,'Live Medal Table'!$B$2:$B$94,Countries!$I$2:$I$72,FALSE)),FALSE))</f>
        <v>0</v>
      </c>
    </row>
    <row r="27" ht="15.75" hidden="1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29"/>
      <c r="M27" s="29"/>
      <c r="N27" s="29" t="str">
        <f t="array" ref="N27">IFERROR(IF(INDEX(Entries!$C$2:$C$47,4)="","",INDEX(Entries!$Q$2:$Q$47,4)),"")</f>
        <v>Charlie_Kaufmann_Charlie </v>
      </c>
      <c r="O27" s="29" t="str">
        <f t="array" ref="O27">IF(N27="","",IFERROR(INDEX(Entries!$E$2:$E$47,4),""))</f>
        <v>Charlie </v>
      </c>
      <c r="P27" s="29" t="str">
        <f>IF(N27="","","Tier2_Pick1")</f>
        <v>Tier2_Pick1</v>
      </c>
      <c r="Q27" s="29">
        <f t="shared" ref="Q27:Q28" si="11">IF(N27="","",2)</f>
        <v>2</v>
      </c>
      <c r="R27" s="29" t="str">
        <f t="array" ref="R27">IF(N27="","",IFERROR(INDEX(Entries!$M$2:$M$47,4),""))</f>
        <v>Austria</v>
      </c>
      <c r="S27" s="29" t="str">
        <f t="array" ref="S27">IF(R27="","",IFERROR(XLOOKUP(R27,'Live Medal Table'!$B$2:$B$94,'Live Medal Table'!$C$2:$C$94,"???"),"???"))</f>
        <v>AUT</v>
      </c>
      <c r="T27" s="29">
        <f t="array" ref="T27">IF(R27="",0,IFERROR(XLOOKUP(R27,'Live Medal Table'!$B$2:$B$94,'Live Medal Table'!$F$2:$F$94,0),0))</f>
        <v>2</v>
      </c>
      <c r="U27" s="29">
        <f t="array" ref="U27">IF(R27="",0,IFERROR(XLOOKUP(R27,'Live Medal Table'!$B$2:$B$94,'Live Medal Table'!$G$2:$G$94,0),0))</f>
        <v>5</v>
      </c>
      <c r="V27" s="29">
        <f t="array" ref="V27">IF(R27="",0,IFERROR(XLOOKUP(R27,'Live Medal Table'!$B$2:$B$94,'Live Medal Table'!$H$2:$H$94,0),0))</f>
        <v>8</v>
      </c>
      <c r="W27" s="29">
        <f t="array" ref="W27">IF(R27="",0,IFERROR(XLOOKUP(R27,'Live Medal Table'!$B$2:$B$94,'Live Medal Table'!$I$2:$I$94,0),0))</f>
        <v>5</v>
      </c>
      <c r="X27" s="29">
        <f t="shared" si="1"/>
        <v>30</v>
      </c>
      <c r="Y27" s="29">
        <f t="shared" si="2"/>
        <v>32</v>
      </c>
      <c r="Z27" s="29">
        <f t="shared" si="3"/>
        <v>10</v>
      </c>
      <c r="AA27" s="29">
        <f t="shared" si="4"/>
        <v>72</v>
      </c>
      <c r="AB27" s="29" t="b">
        <f t="array" ref="AB27">IF(R27="",FALSE,IFERROR(AND(ISNUMBER(MATCH(R27,'Live Medal Table'!$B$2:$B$94,0)),XLOOKUP(R27,'Live Medal Table'!$B$2:$B$94,Countries!$I$2:$I$72,FALSE)),FALSE))</f>
        <v>0</v>
      </c>
    </row>
    <row r="28" ht="15.75" hidden="1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29"/>
      <c r="M28" s="29"/>
      <c r="N28" s="29" t="str">
        <f t="array" ref="N28">IFERROR(IF(INDEX(Entries!$C$2:$C$47,4)="","",INDEX(Entries!$Q$2:$Q$47,4)),"")</f>
        <v>Charlie_Kaufmann_Charlie </v>
      </c>
      <c r="O28" s="29" t="str">
        <f t="array" ref="O28">IF(N28="","",IFERROR(INDEX(Entries!$E$2:$E$47,4),""))</f>
        <v>Charlie </v>
      </c>
      <c r="P28" s="29" t="str">
        <f>IF(N28="","","Tier2_Pick2")</f>
        <v>Tier2_Pick2</v>
      </c>
      <c r="Q28" s="29">
        <f t="shared" si="11"/>
        <v>2</v>
      </c>
      <c r="R28" s="29" t="str">
        <f t="array" ref="R28">IF(N28="","",IFERROR(INDEX(Entries!$N$2:$N$47,4),""))</f>
        <v>Sweden</v>
      </c>
      <c r="S28" s="29" t="str">
        <f t="array" ref="S28">IF(R28="","",IFERROR(XLOOKUP(R28,'Live Medal Table'!$B$2:$B$94,'Live Medal Table'!$C$2:$C$94,"???"),"???"))</f>
        <v>SWE</v>
      </c>
      <c r="T28" s="29">
        <f t="array" ref="T28">IF(R28="",0,IFERROR(XLOOKUP(R28,'Live Medal Table'!$B$2:$B$94,'Live Medal Table'!$F$2:$F$94,0),0))</f>
        <v>2</v>
      </c>
      <c r="U28" s="29">
        <f t="array" ref="U28">IF(R28="",0,IFERROR(XLOOKUP(R28,'Live Medal Table'!$B$2:$B$94,'Live Medal Table'!$G$2:$G$94,0),0))</f>
        <v>8</v>
      </c>
      <c r="V28" s="29">
        <f t="array" ref="V28">IF(R28="",0,IFERROR(XLOOKUP(R28,'Live Medal Table'!$B$2:$B$94,'Live Medal Table'!$H$2:$H$94,0),0))</f>
        <v>6</v>
      </c>
      <c r="W28" s="29">
        <f t="array" ref="W28">IF(R28="",0,IFERROR(XLOOKUP(R28,'Live Medal Table'!$B$2:$B$94,'Live Medal Table'!$I$2:$I$94,0),0))</f>
        <v>4</v>
      </c>
      <c r="X28" s="29">
        <f t="shared" si="1"/>
        <v>48</v>
      </c>
      <c r="Y28" s="29">
        <f t="shared" si="2"/>
        <v>24</v>
      </c>
      <c r="Z28" s="29">
        <f t="shared" si="3"/>
        <v>8</v>
      </c>
      <c r="AA28" s="29">
        <f t="shared" si="4"/>
        <v>80</v>
      </c>
      <c r="AB28" s="29" t="b">
        <f t="array" ref="AB28">IF(R28="",FALSE,IFERROR(AND(ISNUMBER(MATCH(R28,'Live Medal Table'!$B$2:$B$94,0)),XLOOKUP(R28,'Live Medal Table'!$B$2:$B$94,Countries!$I$2:$I$72,FALSE)),FALSE))</f>
        <v>0</v>
      </c>
    </row>
    <row r="29" ht="15.75" hidden="1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29"/>
      <c r="M29" s="29"/>
      <c r="N29" s="29" t="str">
        <f t="array" ref="N29">IFERROR(IF(INDEX(Entries!$C$2:$C$47,4)="","",INDEX(Entries!$Q$2:$Q$47,4)),"")</f>
        <v>Charlie_Kaufmann_Charlie </v>
      </c>
      <c r="O29" s="29" t="str">
        <f t="array" ref="O29">IF(N29="","",IFERROR(INDEX(Entries!$E$2:$E$47,4),""))</f>
        <v>Charlie </v>
      </c>
      <c r="P29" s="29" t="str">
        <f>IF(N29="","","Tier3_Pick1")</f>
        <v>Tier3_Pick1</v>
      </c>
      <c r="Q29" s="29">
        <f>IF(N29="","",3)</f>
        <v>3</v>
      </c>
      <c r="R29" s="29" t="str">
        <f t="array" ref="R29">IF(N29="","",IFERROR(INDEX(Entries!$H$2:$H$47,4),""))</f>
        <v>Japan</v>
      </c>
      <c r="S29" s="29" t="str">
        <f t="array" ref="S29">IF(R29="","",IFERROR(XLOOKUP(R29,'Live Medal Table'!$B$2:$B$94,'Live Medal Table'!$C$2:$C$94,"???"),"???"))</f>
        <v>JPN</v>
      </c>
      <c r="T29" s="29">
        <f t="array" ref="T29">IF(R29="",0,IFERROR(XLOOKUP(R29,'Live Medal Table'!$B$2:$B$94,'Live Medal Table'!$F$2:$F$94,0),0))</f>
        <v>3</v>
      </c>
      <c r="U29" s="29">
        <f t="array" ref="U29">IF(R29="",0,IFERROR(XLOOKUP(R29,'Live Medal Table'!$B$2:$B$94,'Live Medal Table'!$G$2:$G$94,0),0))</f>
        <v>5</v>
      </c>
      <c r="V29" s="29">
        <f t="array" ref="V29">IF(R29="",0,IFERROR(XLOOKUP(R29,'Live Medal Table'!$B$2:$B$94,'Live Medal Table'!$H$2:$H$94,0),0))</f>
        <v>7</v>
      </c>
      <c r="W29" s="29">
        <f t="array" ref="W29">IF(R29="",0,IFERROR(XLOOKUP(R29,'Live Medal Table'!$B$2:$B$94,'Live Medal Table'!$I$2:$I$94,0),0))</f>
        <v>12</v>
      </c>
      <c r="X29" s="29">
        <f t="shared" si="1"/>
        <v>45</v>
      </c>
      <c r="Y29" s="29">
        <f t="shared" si="2"/>
        <v>42</v>
      </c>
      <c r="Z29" s="29">
        <f t="shared" si="3"/>
        <v>36</v>
      </c>
      <c r="AA29" s="29">
        <f t="shared" si="4"/>
        <v>123</v>
      </c>
      <c r="AB29" s="29" t="b">
        <f t="array" ref="AB29">IF(R29="",FALSE,IFERROR(AND(ISNUMBER(MATCH(R29,'Live Medal Table'!$B$2:$B$94,0)),XLOOKUP(R29,'Live Medal Table'!$B$2:$B$94,Countries!$I$2:$I$72,FALSE)),FALSE))</f>
        <v>0</v>
      </c>
    </row>
    <row r="30" ht="15.75" hidden="1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29"/>
      <c r="M30" s="29"/>
      <c r="N30" s="29" t="str">
        <f t="array" ref="N30">IFERROR(IF(INDEX(Entries!$C$2:$C$47,4)="","",INDEX(Entries!$Q$2:$Q$47,4)),"")</f>
        <v>Charlie_Kaufmann_Charlie </v>
      </c>
      <c r="O30" s="29" t="str">
        <f t="array" ref="O30">IF(N30="","",IFERROR(INDEX(Entries!$E$2:$E$47,4),""))</f>
        <v>Charlie </v>
      </c>
      <c r="P30" s="29" t="str">
        <f>IF(N30="","","Tier4_Pick1")</f>
        <v>Tier4_Pick1</v>
      </c>
      <c r="Q30" s="29">
        <f>IF(N30="","",4)</f>
        <v>4</v>
      </c>
      <c r="R30" s="29" t="str">
        <f t="array" ref="R30">IF(N30="","",IFERROR(INDEX(Entries!$I$2:$I$47,4),""))</f>
        <v>Czech Republic</v>
      </c>
      <c r="S30" s="29" t="str">
        <f t="array" ref="S30">IF(R30="","",IFERROR(XLOOKUP(R30,'Live Medal Table'!$B$2:$B$94,'Live Medal Table'!$C$2:$C$94,"???"),"???"))</f>
        <v>CZE</v>
      </c>
      <c r="T30" s="29">
        <f t="array" ref="T30">IF(R30="",0,IFERROR(XLOOKUP(R30,'Live Medal Table'!$B$2:$B$94,'Live Medal Table'!$F$2:$F$94,0),0))</f>
        <v>6</v>
      </c>
      <c r="U30" s="29">
        <f t="array" ref="U30">IF(R30="",0,IFERROR(XLOOKUP(R30,'Live Medal Table'!$B$2:$B$94,'Live Medal Table'!$G$2:$G$94,0),0))</f>
        <v>2</v>
      </c>
      <c r="V30" s="29">
        <f t="array" ref="V30">IF(R30="",0,IFERROR(XLOOKUP(R30,'Live Medal Table'!$B$2:$B$94,'Live Medal Table'!$H$2:$H$94,0),0))</f>
        <v>2</v>
      </c>
      <c r="W30" s="29">
        <f t="array" ref="W30">IF(R30="",0,IFERROR(XLOOKUP(R30,'Live Medal Table'!$B$2:$B$94,'Live Medal Table'!$I$2:$I$94,0),0))</f>
        <v>1</v>
      </c>
      <c r="X30" s="29">
        <f t="shared" si="1"/>
        <v>36</v>
      </c>
      <c r="Y30" s="29">
        <f t="shared" si="2"/>
        <v>24</v>
      </c>
      <c r="Z30" s="29">
        <f t="shared" si="3"/>
        <v>6</v>
      </c>
      <c r="AA30" s="29">
        <f t="shared" si="4"/>
        <v>66</v>
      </c>
      <c r="AB30" s="29" t="b">
        <f t="array" ref="AB30">IF(R30="",FALSE,IFERROR(AND(ISNUMBER(MATCH(R30,'Live Medal Table'!$B$2:$B$94,0)),XLOOKUP(R30,'Live Medal Table'!$B$2:$B$94,Countries!$I$2:$I$72,FALSE)),FALSE))</f>
        <v>0</v>
      </c>
    </row>
    <row r="31" ht="15.75" hidden="1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29"/>
      <c r="M31" s="29"/>
      <c r="N31" s="29" t="str">
        <f t="array" ref="N31">IFERROR(IF(INDEX(Entries!$C$2:$C$47,4)="","",INDEX(Entries!$Q$2:$Q$47,4)),"")</f>
        <v>Charlie_Kaufmann_Charlie </v>
      </c>
      <c r="O31" s="29" t="str">
        <f t="array" ref="O31">IF(N31="","",IFERROR(INDEX(Entries!$E$2:$E$47,4),""))</f>
        <v>Charlie </v>
      </c>
      <c r="P31" s="29" t="str">
        <f>IF(N31="","","Tier5_Pick1")</f>
        <v>Tier5_Pick1</v>
      </c>
      <c r="Q31" s="29">
        <f>IF(N31="","",5)</f>
        <v>5</v>
      </c>
      <c r="R31" s="29" t="str">
        <f t="array" ref="R31">IF(N31="","",IFERROR(INDEX(Entries!$J$2:$J$47,4),""))</f>
        <v>Australia</v>
      </c>
      <c r="S31" s="29" t="str">
        <f t="array" ref="S31">IF(R31="","",IFERROR(XLOOKUP(R31,'Live Medal Table'!$B$2:$B$94,'Live Medal Table'!$C$2:$C$94,"???"),"???"))</f>
        <v>AUS</v>
      </c>
      <c r="T31" s="29">
        <f t="array" ref="T31">IF(R31="",0,IFERROR(XLOOKUP(R31,'Live Medal Table'!$B$2:$B$94,'Live Medal Table'!$F$2:$F$94,0),0))</f>
        <v>10</v>
      </c>
      <c r="U31" s="29">
        <f t="array" ref="U31">IF(R31="",0,IFERROR(XLOOKUP(R31,'Live Medal Table'!$B$2:$B$94,'Live Medal Table'!$G$2:$G$94,0),0))</f>
        <v>3</v>
      </c>
      <c r="V31" s="29">
        <f t="array" ref="V31">IF(R31="",0,IFERROR(XLOOKUP(R31,'Live Medal Table'!$B$2:$B$94,'Live Medal Table'!$H$2:$H$94,0),0))</f>
        <v>2</v>
      </c>
      <c r="W31" s="29">
        <f t="array" ref="W31">IF(R31="",0,IFERROR(XLOOKUP(R31,'Live Medal Table'!$B$2:$B$94,'Live Medal Table'!$I$2:$I$94,0),0))</f>
        <v>1</v>
      </c>
      <c r="X31" s="29">
        <f t="shared" si="1"/>
        <v>90</v>
      </c>
      <c r="Y31" s="29">
        <f t="shared" si="2"/>
        <v>40</v>
      </c>
      <c r="Z31" s="29">
        <f t="shared" si="3"/>
        <v>10</v>
      </c>
      <c r="AA31" s="29">
        <f t="shared" si="4"/>
        <v>140</v>
      </c>
      <c r="AB31" s="29" t="b">
        <f t="array" ref="AB31">IF(R31="",FALSE,IFERROR(AND(ISNUMBER(MATCH(R31,'Live Medal Table'!$B$2:$B$94,0)),XLOOKUP(R31,'Live Medal Table'!$B$2:$B$94,Countries!$I$2:$I$72,FALSE)),FALSE))</f>
        <v>0</v>
      </c>
    </row>
    <row r="32" ht="15.75" hidden="1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29"/>
      <c r="M32" s="29"/>
      <c r="N32" s="29" t="str">
        <f t="array" ref="N32">IFERROR(IF(INDEX(Entries!$C$2:$C$47,4)="","",INDEX(Entries!$Q$2:$Q$47,4)),"")</f>
        <v>Charlie_Kaufmann_Charlie </v>
      </c>
      <c r="O32" s="29" t="str">
        <f t="array" ref="O32">IF(N32="","",IFERROR(INDEX(Entries!$E$2:$E$47,4),""))</f>
        <v>Charlie </v>
      </c>
      <c r="P32" s="29" t="str">
        <f>IF(N32="","","Tier6_Pick1")</f>
        <v>Tier6_Pick1</v>
      </c>
      <c r="Q32" s="29">
        <f t="shared" ref="Q32:Q33" si="12">IF(N32="","",6)</f>
        <v>6</v>
      </c>
      <c r="R32" s="29" t="str">
        <f t="array" ref="R32">IF(N32="","",IFERROR(INDEX(Entries!$O$2:$O$47,4),""))</f>
        <v>Chile</v>
      </c>
      <c r="S32" s="29" t="str">
        <f t="array" ref="S32">IF(R32="","",IFERROR(XLOOKUP(R32,'Live Medal Table'!$B$2:$B$94,'Live Medal Table'!$C$2:$C$94,"???"),"???"))</f>
        <v>CHI</v>
      </c>
      <c r="T32" s="29">
        <f t="array" ref="T32">IF(R32="",0,IFERROR(XLOOKUP(R32,'Live Medal Table'!$B$2:$B$94,'Live Medal Table'!$F$2:$F$94,0),0))</f>
        <v>20</v>
      </c>
      <c r="U32" s="29">
        <f t="array" ref="U32">IF(R32="",0,IFERROR(XLOOKUP(R32,'Live Medal Table'!$B$2:$B$94,'Live Medal Table'!$G$2:$G$94,0),0))</f>
        <v>0</v>
      </c>
      <c r="V32" s="29">
        <f t="array" ref="V32">IF(R32="",0,IFERROR(XLOOKUP(R32,'Live Medal Table'!$B$2:$B$94,'Live Medal Table'!$H$2:$H$94,0),0))</f>
        <v>0</v>
      </c>
      <c r="W32" s="29">
        <f t="array" ref="W32">IF(R32="",0,IFERROR(XLOOKUP(R32,'Live Medal Table'!$B$2:$B$94,'Live Medal Table'!$I$2:$I$94,0),0))</f>
        <v>0</v>
      </c>
      <c r="X32" s="29">
        <f t="shared" si="1"/>
        <v>0</v>
      </c>
      <c r="Y32" s="29">
        <f t="shared" si="2"/>
        <v>0</v>
      </c>
      <c r="Z32" s="29">
        <f t="shared" si="3"/>
        <v>0</v>
      </c>
      <c r="AA32" s="29">
        <f t="shared" si="4"/>
        <v>0</v>
      </c>
      <c r="AB32" s="29" t="b">
        <f t="array" ref="AB32">IF(R32="",FALSE,IFERROR(AND(ISNUMBER(MATCH(R32,'Live Medal Table'!$B$2:$B$94,0)),XLOOKUP(R32,'Live Medal Table'!$B$2:$B$94,Countries!$I$2:$I$72,FALSE)),FALSE))</f>
        <v>0</v>
      </c>
    </row>
    <row r="33" ht="15.75" hidden="1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29"/>
      <c r="M33" s="29"/>
      <c r="N33" s="29" t="str">
        <f t="array" ref="N33">IFERROR(IF(INDEX(Entries!$C$2:$C$47,4)="","",INDEX(Entries!$Q$2:$Q$47,4)),"")</f>
        <v>Charlie_Kaufmann_Charlie </v>
      </c>
      <c r="O33" s="29" t="str">
        <f t="array" ref="O33">IF(N33="","",IFERROR(INDEX(Entries!$E$2:$E$47,4),""))</f>
        <v>Charlie </v>
      </c>
      <c r="P33" s="29" t="str">
        <f>IF(N33="","","Tier6_Pick2")</f>
        <v>Tier6_Pick2</v>
      </c>
      <c r="Q33" s="29">
        <f t="shared" si="12"/>
        <v>6</v>
      </c>
      <c r="R33" s="29" t="str">
        <f t="array" ref="R33">IF(N33="","",IFERROR(INDEX(Entries!$P$2:$P$47,4),""))</f>
        <v>Chinese Taipei</v>
      </c>
      <c r="S33" s="29" t="str">
        <f t="array" ref="S33">IF(R33="","",IFERROR(XLOOKUP(R33,'Live Medal Table'!$B$2:$B$94,'Live Medal Table'!$C$2:$C$94,"???"),"???"))</f>
        <v>TPE</v>
      </c>
      <c r="T33" s="29">
        <f t="array" ref="T33">IF(R33="",0,IFERROR(XLOOKUP(R33,'Live Medal Table'!$B$2:$B$94,'Live Medal Table'!$F$2:$F$94,0),0))</f>
        <v>20</v>
      </c>
      <c r="U33" s="29">
        <f t="array" ref="U33">IF(R33="",0,IFERROR(XLOOKUP(R33,'Live Medal Table'!$B$2:$B$94,'Live Medal Table'!$G$2:$G$94,0),0))</f>
        <v>0</v>
      </c>
      <c r="V33" s="29">
        <f t="array" ref="V33">IF(R33="",0,IFERROR(XLOOKUP(R33,'Live Medal Table'!$B$2:$B$94,'Live Medal Table'!$H$2:$H$94,0),0))</f>
        <v>0</v>
      </c>
      <c r="W33" s="29">
        <f t="array" ref="W33">IF(R33="",0,IFERROR(XLOOKUP(R33,'Live Medal Table'!$B$2:$B$94,'Live Medal Table'!$I$2:$I$94,0),0))</f>
        <v>0</v>
      </c>
      <c r="X33" s="29">
        <f t="shared" si="1"/>
        <v>0</v>
      </c>
      <c r="Y33" s="29">
        <f t="shared" si="2"/>
        <v>0</v>
      </c>
      <c r="Z33" s="29">
        <f t="shared" si="3"/>
        <v>0</v>
      </c>
      <c r="AA33" s="29">
        <f t="shared" si="4"/>
        <v>0</v>
      </c>
      <c r="AB33" s="29" t="b">
        <f t="array" ref="AB33">IF(R33="",FALSE,IFERROR(AND(ISNUMBER(MATCH(R33,'Live Medal Table'!$B$2:$B$94,0)),XLOOKUP(R33,'Live Medal Table'!$B$2:$B$94,Countries!$I$2:$I$72,FALSE)),FALSE))</f>
        <v>0</v>
      </c>
    </row>
    <row r="34" ht="15.75" hidden="1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29"/>
      <c r="M34" s="29"/>
      <c r="N34" s="29" t="str">
        <f t="array" ref="N34">IFERROR(IF(INDEX(Entries!$C$2:$C$47,5)="","",INDEX(Entries!$Q$2:$Q$47,5)),"")</f>
        <v>John_Murphy_Murph</v>
      </c>
      <c r="O34" s="29" t="str">
        <f t="array" ref="O34">IF(N34="","",IFERROR(INDEX(Entries!$E$2:$E$47,5),""))</f>
        <v>Murph</v>
      </c>
      <c r="P34" s="29" t="str">
        <f>IF(N34="","","Tier1_Pick1")</f>
        <v>Tier1_Pick1</v>
      </c>
      <c r="Q34" s="29">
        <f>IF(N34="","",1)</f>
        <v>1</v>
      </c>
      <c r="R34" s="29" t="str">
        <f t="array" ref="R34">IF(N34="","",IFERROR(INDEX(Entries!$F$2:$F$47,5),""))</f>
        <v>Norway</v>
      </c>
      <c r="S34" s="29" t="str">
        <f t="array" ref="S34">IF(R34="","",IFERROR(XLOOKUP(R34,'Live Medal Table'!$B$2:$B$94,'Live Medal Table'!$C$2:$C$94,"???"),"???"))</f>
        <v>NOR</v>
      </c>
      <c r="T34" s="29">
        <f t="array" ref="T34">IF(R34="",0,IFERROR(XLOOKUP(R34,'Live Medal Table'!$B$2:$B$94,'Live Medal Table'!$F$2:$F$94,0),0))</f>
        <v>1</v>
      </c>
      <c r="U34" s="29">
        <f t="array" ref="U34">IF(R34="",0,IFERROR(XLOOKUP(R34,'Live Medal Table'!$B$2:$B$94,'Live Medal Table'!$G$2:$G$94,0),0))</f>
        <v>18</v>
      </c>
      <c r="V34" s="29">
        <f t="array" ref="V34">IF(R34="",0,IFERROR(XLOOKUP(R34,'Live Medal Table'!$B$2:$B$94,'Live Medal Table'!$H$2:$H$94,0),0))</f>
        <v>12</v>
      </c>
      <c r="W34" s="29">
        <f t="array" ref="W34">IF(R34="",0,IFERROR(XLOOKUP(R34,'Live Medal Table'!$B$2:$B$94,'Live Medal Table'!$I$2:$I$94,0),0))</f>
        <v>11</v>
      </c>
      <c r="X34" s="29">
        <f t="shared" si="1"/>
        <v>54</v>
      </c>
      <c r="Y34" s="29">
        <f t="shared" si="2"/>
        <v>24</v>
      </c>
      <c r="Z34" s="29">
        <f t="shared" si="3"/>
        <v>11</v>
      </c>
      <c r="AA34" s="29">
        <f t="shared" si="4"/>
        <v>89</v>
      </c>
      <c r="AB34" s="29" t="b">
        <f t="array" ref="AB34">IF(R34="",FALSE,IFERROR(AND(ISNUMBER(MATCH(R34,'Live Medal Table'!$B$2:$B$94,0)),XLOOKUP(R34,'Live Medal Table'!$B$2:$B$94,Countries!$I$2:$I$72,FALSE)),FALSE))</f>
        <v>0</v>
      </c>
    </row>
    <row r="35" ht="15.75" hidden="1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29"/>
      <c r="M35" s="29"/>
      <c r="N35" s="29" t="str">
        <f t="array" ref="N35">IFERROR(IF(INDEX(Entries!$C$2:$C$47,5)="","",INDEX(Entries!$Q$2:$Q$47,5)),"")</f>
        <v>John_Murphy_Murph</v>
      </c>
      <c r="O35" s="29" t="str">
        <f t="array" ref="O35">IF(N35="","",IFERROR(INDEX(Entries!$E$2:$E$47,5),""))</f>
        <v>Murph</v>
      </c>
      <c r="P35" s="29" t="str">
        <f>IF(N35="","","Tier2_Pick1")</f>
        <v>Tier2_Pick1</v>
      </c>
      <c r="Q35" s="29">
        <f t="shared" ref="Q35:Q36" si="13">IF(N35="","",2)</f>
        <v>2</v>
      </c>
      <c r="R35" s="29" t="str">
        <f t="array" ref="R35">IF(N35="","",IFERROR(INDEX(Entries!$M$2:$M$47,5),""))</f>
        <v>Netherlands</v>
      </c>
      <c r="S35" s="29" t="str">
        <f t="array" ref="S35">IF(R35="","",IFERROR(XLOOKUP(R35,'Live Medal Table'!$B$2:$B$94,'Live Medal Table'!$C$2:$C$94,"???"),"???"))</f>
        <v>NED</v>
      </c>
      <c r="T35" s="29">
        <f t="array" ref="T35">IF(R35="",0,IFERROR(XLOOKUP(R35,'Live Medal Table'!$B$2:$B$94,'Live Medal Table'!$F$2:$F$94,0),0))</f>
        <v>2</v>
      </c>
      <c r="U35" s="29">
        <f t="array" ref="U35">IF(R35="",0,IFERROR(XLOOKUP(R35,'Live Medal Table'!$B$2:$B$94,'Live Medal Table'!$G$2:$G$94,0),0))</f>
        <v>10</v>
      </c>
      <c r="V35" s="29">
        <f t="array" ref="V35">IF(R35="",0,IFERROR(XLOOKUP(R35,'Live Medal Table'!$B$2:$B$94,'Live Medal Table'!$H$2:$H$94,0),0))</f>
        <v>7</v>
      </c>
      <c r="W35" s="29">
        <f t="array" ref="W35">IF(R35="",0,IFERROR(XLOOKUP(R35,'Live Medal Table'!$B$2:$B$94,'Live Medal Table'!$I$2:$I$94,0),0))</f>
        <v>3</v>
      </c>
      <c r="X35" s="29">
        <f t="shared" si="1"/>
        <v>60</v>
      </c>
      <c r="Y35" s="29">
        <f t="shared" si="2"/>
        <v>28</v>
      </c>
      <c r="Z35" s="29">
        <f t="shared" si="3"/>
        <v>6</v>
      </c>
      <c r="AA35" s="29">
        <f t="shared" si="4"/>
        <v>94</v>
      </c>
      <c r="AB35" s="29" t="b">
        <f t="array" ref="AB35">IF(R35="",FALSE,IFERROR(AND(ISNUMBER(MATCH(R35,'Live Medal Table'!$B$2:$B$94,0)),XLOOKUP(R35,'Live Medal Table'!$B$2:$B$94,Countries!$I$2:$I$72,FALSE)),FALSE))</f>
        <v>0</v>
      </c>
    </row>
    <row r="36" ht="15.75" hidden="1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29"/>
      <c r="M36" s="29"/>
      <c r="N36" s="29" t="str">
        <f t="array" ref="N36">IFERROR(IF(INDEX(Entries!$C$2:$C$47,5)="","",INDEX(Entries!$Q$2:$Q$47,5)),"")</f>
        <v>John_Murphy_Murph</v>
      </c>
      <c r="O36" s="29" t="str">
        <f t="array" ref="O36">IF(N36="","",IFERROR(INDEX(Entries!$E$2:$E$47,5),""))</f>
        <v>Murph</v>
      </c>
      <c r="P36" s="29" t="str">
        <f>IF(N36="","","Tier2_Pick2")</f>
        <v>Tier2_Pick2</v>
      </c>
      <c r="Q36" s="29">
        <f t="shared" si="13"/>
        <v>2</v>
      </c>
      <c r="R36" s="29" t="str">
        <f t="array" ref="R36">IF(N36="","",IFERROR(INDEX(Entries!$N$2:$N$47,5),""))</f>
        <v>Switzerland</v>
      </c>
      <c r="S36" s="29" t="str">
        <f t="array" ref="S36">IF(R36="","",IFERROR(XLOOKUP(R36,'Live Medal Table'!$B$2:$B$94,'Live Medal Table'!$C$2:$C$94,"???"),"???"))</f>
        <v>SUI</v>
      </c>
      <c r="T36" s="29">
        <f t="array" ref="T36">IF(R36="",0,IFERROR(XLOOKUP(R36,'Live Medal Table'!$B$2:$B$94,'Live Medal Table'!$F$2:$F$94,0),0))</f>
        <v>2</v>
      </c>
      <c r="U36" s="29">
        <f t="array" ref="U36">IF(R36="",0,IFERROR(XLOOKUP(R36,'Live Medal Table'!$B$2:$B$94,'Live Medal Table'!$G$2:$G$94,0),0))</f>
        <v>6</v>
      </c>
      <c r="V36" s="29">
        <f t="array" ref="V36">IF(R36="",0,IFERROR(XLOOKUP(R36,'Live Medal Table'!$B$2:$B$94,'Live Medal Table'!$H$2:$H$94,0),0))</f>
        <v>9</v>
      </c>
      <c r="W36" s="29">
        <f t="array" ref="W36">IF(R36="",0,IFERROR(XLOOKUP(R36,'Live Medal Table'!$B$2:$B$94,'Live Medal Table'!$I$2:$I$94,0),0))</f>
        <v>8</v>
      </c>
      <c r="X36" s="29">
        <f t="shared" si="1"/>
        <v>36</v>
      </c>
      <c r="Y36" s="29">
        <f t="shared" si="2"/>
        <v>36</v>
      </c>
      <c r="Z36" s="29">
        <f t="shared" si="3"/>
        <v>16</v>
      </c>
      <c r="AA36" s="29">
        <f t="shared" si="4"/>
        <v>88</v>
      </c>
      <c r="AB36" s="29" t="b">
        <f t="array" ref="AB36">IF(R36="",FALSE,IFERROR(AND(ISNUMBER(MATCH(R36,'Live Medal Table'!$B$2:$B$94,0)),XLOOKUP(R36,'Live Medal Table'!$B$2:$B$94,Countries!$I$2:$I$72,FALSE)),FALSE))</f>
        <v>0</v>
      </c>
    </row>
    <row r="37" ht="15.75" hidden="1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29"/>
      <c r="M37" s="29"/>
      <c r="N37" s="29" t="str">
        <f t="array" ref="N37">IFERROR(IF(INDEX(Entries!$C$2:$C$47,5)="","",INDEX(Entries!$Q$2:$Q$47,5)),"")</f>
        <v>John_Murphy_Murph</v>
      </c>
      <c r="O37" s="29" t="str">
        <f t="array" ref="O37">IF(N37="","",IFERROR(INDEX(Entries!$E$2:$E$47,5),""))</f>
        <v>Murph</v>
      </c>
      <c r="P37" s="29" t="str">
        <f>IF(N37="","","Tier3_Pick1")</f>
        <v>Tier3_Pick1</v>
      </c>
      <c r="Q37" s="29">
        <f>IF(N37="","",3)</f>
        <v>3</v>
      </c>
      <c r="R37" s="29" t="str">
        <f t="array" ref="R37">IF(N37="","",IFERROR(INDEX(Entries!$H$2:$H$47,5),""))</f>
        <v>Japan</v>
      </c>
      <c r="S37" s="29" t="str">
        <f t="array" ref="S37">IF(R37="","",IFERROR(XLOOKUP(R37,'Live Medal Table'!$B$2:$B$94,'Live Medal Table'!$C$2:$C$94,"???"),"???"))</f>
        <v>JPN</v>
      </c>
      <c r="T37" s="29">
        <f t="array" ref="T37">IF(R37="",0,IFERROR(XLOOKUP(R37,'Live Medal Table'!$B$2:$B$94,'Live Medal Table'!$F$2:$F$94,0),0))</f>
        <v>3</v>
      </c>
      <c r="U37" s="29">
        <f t="array" ref="U37">IF(R37="",0,IFERROR(XLOOKUP(R37,'Live Medal Table'!$B$2:$B$94,'Live Medal Table'!$G$2:$G$94,0),0))</f>
        <v>5</v>
      </c>
      <c r="V37" s="29">
        <f t="array" ref="V37">IF(R37="",0,IFERROR(XLOOKUP(R37,'Live Medal Table'!$B$2:$B$94,'Live Medal Table'!$H$2:$H$94,0),0))</f>
        <v>7</v>
      </c>
      <c r="W37" s="29">
        <f t="array" ref="W37">IF(R37="",0,IFERROR(XLOOKUP(R37,'Live Medal Table'!$B$2:$B$94,'Live Medal Table'!$I$2:$I$94,0),0))</f>
        <v>12</v>
      </c>
      <c r="X37" s="29">
        <f t="shared" si="1"/>
        <v>45</v>
      </c>
      <c r="Y37" s="29">
        <f t="shared" si="2"/>
        <v>42</v>
      </c>
      <c r="Z37" s="29">
        <f t="shared" si="3"/>
        <v>36</v>
      </c>
      <c r="AA37" s="29">
        <f t="shared" si="4"/>
        <v>123</v>
      </c>
      <c r="AB37" s="29" t="b">
        <f t="array" ref="AB37">IF(R37="",FALSE,IFERROR(AND(ISNUMBER(MATCH(R37,'Live Medal Table'!$B$2:$B$94,0)),XLOOKUP(R37,'Live Medal Table'!$B$2:$B$94,Countries!$I$2:$I$72,FALSE)),FALSE))</f>
        <v>0</v>
      </c>
    </row>
    <row r="38" ht="15.75" hidden="1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29"/>
      <c r="M38" s="29"/>
      <c r="N38" s="29" t="str">
        <f t="array" ref="N38">IFERROR(IF(INDEX(Entries!$C$2:$C$47,5)="","",INDEX(Entries!$Q$2:$Q$47,5)),"")</f>
        <v>John_Murphy_Murph</v>
      </c>
      <c r="O38" s="29" t="str">
        <f t="array" ref="O38">IF(N38="","",IFERROR(INDEX(Entries!$E$2:$E$47,5),""))</f>
        <v>Murph</v>
      </c>
      <c r="P38" s="29" t="str">
        <f>IF(N38="","","Tier4_Pick1")</f>
        <v>Tier4_Pick1</v>
      </c>
      <c r="Q38" s="29">
        <f>IF(N38="","",4)</f>
        <v>4</v>
      </c>
      <c r="R38" s="29" t="str">
        <f t="array" ref="R38">IF(N38="","",IFERROR(INDEX(Entries!$I$2:$I$47,5),""))</f>
        <v>Finland</v>
      </c>
      <c r="S38" s="29" t="str">
        <f t="array" ref="S38">IF(R38="","",IFERROR(XLOOKUP(R38,'Live Medal Table'!$B$2:$B$94,'Live Medal Table'!$C$2:$C$94,"???"),"???"))</f>
        <v>FIN</v>
      </c>
      <c r="T38" s="29">
        <f t="array" ref="T38">IF(R38="",0,IFERROR(XLOOKUP(R38,'Live Medal Table'!$B$2:$B$94,'Live Medal Table'!$F$2:$F$94,0),0))</f>
        <v>6</v>
      </c>
      <c r="U38" s="29">
        <f t="array" ref="U38">IF(R38="",0,IFERROR(XLOOKUP(R38,'Live Medal Table'!$B$2:$B$94,'Live Medal Table'!$G$2:$G$94,0),0))</f>
        <v>0</v>
      </c>
      <c r="V38" s="29">
        <f t="array" ref="V38">IF(R38="",0,IFERROR(XLOOKUP(R38,'Live Medal Table'!$B$2:$B$94,'Live Medal Table'!$H$2:$H$94,0),0))</f>
        <v>1</v>
      </c>
      <c r="W38" s="29">
        <f t="array" ref="W38">IF(R38="",0,IFERROR(XLOOKUP(R38,'Live Medal Table'!$B$2:$B$94,'Live Medal Table'!$I$2:$I$94,0),0))</f>
        <v>5</v>
      </c>
      <c r="X38" s="29">
        <f t="shared" si="1"/>
        <v>0</v>
      </c>
      <c r="Y38" s="29">
        <f t="shared" si="2"/>
        <v>12</v>
      </c>
      <c r="Z38" s="29">
        <f t="shared" si="3"/>
        <v>30</v>
      </c>
      <c r="AA38" s="29">
        <f t="shared" si="4"/>
        <v>42</v>
      </c>
      <c r="AB38" s="29" t="b">
        <f t="array" ref="AB38">IF(R38="",FALSE,IFERROR(AND(ISNUMBER(MATCH(R38,'Live Medal Table'!$B$2:$B$94,0)),XLOOKUP(R38,'Live Medal Table'!$B$2:$B$94,Countries!$I$2:$I$72,FALSE)),FALSE))</f>
        <v>0</v>
      </c>
    </row>
    <row r="39" ht="15.75" hidden="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29"/>
      <c r="M39" s="29"/>
      <c r="N39" s="29" t="str">
        <f t="array" ref="N39">IFERROR(IF(INDEX(Entries!$C$2:$C$47,5)="","",INDEX(Entries!$Q$2:$Q$47,5)),"")</f>
        <v>John_Murphy_Murph</v>
      </c>
      <c r="O39" s="29" t="str">
        <f t="array" ref="O39">IF(N39="","",IFERROR(INDEX(Entries!$E$2:$E$47,5),""))</f>
        <v>Murph</v>
      </c>
      <c r="P39" s="29" t="str">
        <f>IF(N39="","","Tier5_Pick1")</f>
        <v>Tier5_Pick1</v>
      </c>
      <c r="Q39" s="29">
        <f>IF(N39="","",5)</f>
        <v>5</v>
      </c>
      <c r="R39" s="29" t="str">
        <f t="array" ref="R39">IF(N39="","",IFERROR(INDEX(Entries!$J$2:$J$47,5),""))</f>
        <v>Great Britain</v>
      </c>
      <c r="S39" s="29" t="str">
        <f t="array" ref="S39">IF(R39="","",IFERROR(XLOOKUP(R39,'Live Medal Table'!$B$2:$B$94,'Live Medal Table'!$C$2:$C$94,"???"),"???"))</f>
        <v>GBR</v>
      </c>
      <c r="T39" s="29">
        <f t="array" ref="T39">IF(R39="",0,IFERROR(XLOOKUP(R39,'Live Medal Table'!$B$2:$B$94,'Live Medal Table'!$F$2:$F$94,0),0))</f>
        <v>10</v>
      </c>
      <c r="U39" s="29">
        <f t="array" ref="U39">IF(R39="",0,IFERROR(XLOOKUP(R39,'Live Medal Table'!$B$2:$B$94,'Live Medal Table'!$G$2:$G$94,0),0))</f>
        <v>3</v>
      </c>
      <c r="V39" s="29">
        <f t="array" ref="V39">IF(R39="",0,IFERROR(XLOOKUP(R39,'Live Medal Table'!$B$2:$B$94,'Live Medal Table'!$H$2:$H$94,0),0))</f>
        <v>1</v>
      </c>
      <c r="W39" s="29">
        <f t="array" ref="W39">IF(R39="",0,IFERROR(XLOOKUP(R39,'Live Medal Table'!$B$2:$B$94,'Live Medal Table'!$I$2:$I$94,0),0))</f>
        <v>1</v>
      </c>
      <c r="X39" s="29">
        <f t="shared" si="1"/>
        <v>90</v>
      </c>
      <c r="Y39" s="29">
        <f t="shared" si="2"/>
        <v>20</v>
      </c>
      <c r="Z39" s="29">
        <f t="shared" si="3"/>
        <v>10</v>
      </c>
      <c r="AA39" s="29">
        <f t="shared" si="4"/>
        <v>120</v>
      </c>
      <c r="AB39" s="29" t="b">
        <f t="array" ref="AB39">IF(R39="",FALSE,IFERROR(AND(ISNUMBER(MATCH(R39,'Live Medal Table'!$B$2:$B$94,0)),XLOOKUP(R39,'Live Medal Table'!$B$2:$B$94,Countries!$I$2:$I$72,FALSE)),FALSE))</f>
        <v>0</v>
      </c>
    </row>
    <row r="40" ht="15.75" hidden="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29"/>
      <c r="M40" s="29"/>
      <c r="N40" s="29" t="str">
        <f t="array" ref="N40">IFERROR(IF(INDEX(Entries!$C$2:$C$47,5)="","",INDEX(Entries!$Q$2:$Q$47,5)),"")</f>
        <v>John_Murphy_Murph</v>
      </c>
      <c r="O40" s="29" t="str">
        <f t="array" ref="O40">IF(N40="","",IFERROR(INDEX(Entries!$E$2:$E$47,5),""))</f>
        <v>Murph</v>
      </c>
      <c r="P40" s="29" t="str">
        <f>IF(N40="","","Tier6_Pick1")</f>
        <v>Tier6_Pick1</v>
      </c>
      <c r="Q40" s="29">
        <f t="shared" ref="Q40:Q41" si="14">IF(N40="","",6)</f>
        <v>6</v>
      </c>
      <c r="R40" s="29" t="str">
        <f t="array" ref="R40">IF(N40="","",IFERROR(INDEX(Entries!$O$2:$O$47,5),""))</f>
        <v>Belgium</v>
      </c>
      <c r="S40" s="29" t="str">
        <f t="array" ref="S40">IF(R40="","",IFERROR(XLOOKUP(R40,'Live Medal Table'!$B$2:$B$94,'Live Medal Table'!$C$2:$C$94,"???"),"???"))</f>
        <v>BEL</v>
      </c>
      <c r="T40" s="29">
        <f t="array" ref="T40">IF(R40="",0,IFERROR(XLOOKUP(R40,'Live Medal Table'!$B$2:$B$94,'Live Medal Table'!$F$2:$F$94,0),0))</f>
        <v>20</v>
      </c>
      <c r="U40" s="29">
        <f t="array" ref="U40">IF(R40="",0,IFERROR(XLOOKUP(R40,'Live Medal Table'!$B$2:$B$94,'Live Medal Table'!$G$2:$G$94,0),0))</f>
        <v>0</v>
      </c>
      <c r="V40" s="29">
        <f t="array" ref="V40">IF(R40="",0,IFERROR(XLOOKUP(R40,'Live Medal Table'!$B$2:$B$94,'Live Medal Table'!$H$2:$H$94,0),0))</f>
        <v>0</v>
      </c>
      <c r="W40" s="29">
        <f t="array" ref="W40">IF(R40="",0,IFERROR(XLOOKUP(R40,'Live Medal Table'!$B$2:$B$94,'Live Medal Table'!$I$2:$I$94,0),0))</f>
        <v>1</v>
      </c>
      <c r="X40" s="29">
        <f t="shared" si="1"/>
        <v>0</v>
      </c>
      <c r="Y40" s="29">
        <f t="shared" si="2"/>
        <v>0</v>
      </c>
      <c r="Z40" s="29">
        <f t="shared" si="3"/>
        <v>20</v>
      </c>
      <c r="AA40" s="29">
        <f t="shared" si="4"/>
        <v>20</v>
      </c>
      <c r="AB40" s="29" t="b">
        <f t="array" ref="AB40">IF(R40="",FALSE,IFERROR(AND(ISNUMBER(MATCH(R40,'Live Medal Table'!$B$2:$B$94,0)),XLOOKUP(R40,'Live Medal Table'!$B$2:$B$94,Countries!$I$2:$I$72,FALSE)),FALSE))</f>
        <v>0</v>
      </c>
    </row>
    <row r="41" ht="15.75" hidden="1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29"/>
      <c r="M41" s="29"/>
      <c r="N41" s="29" t="str">
        <f t="array" ref="N41">IFERROR(IF(INDEX(Entries!$C$2:$C$47,5)="","",INDEX(Entries!$Q$2:$Q$47,5)),"")</f>
        <v>John_Murphy_Murph</v>
      </c>
      <c r="O41" s="29" t="str">
        <f t="array" ref="O41">IF(N41="","",IFERROR(INDEX(Entries!$E$2:$E$47,5),""))</f>
        <v>Murph</v>
      </c>
      <c r="P41" s="29" t="str">
        <f>IF(N41="","","Tier6_Pick2")</f>
        <v>Tier6_Pick2</v>
      </c>
      <c r="Q41" s="29">
        <f t="shared" si="14"/>
        <v>6</v>
      </c>
      <c r="R41" s="29" t="str">
        <f t="array" ref="R41">IF(N41="","",IFERROR(INDEX(Entries!$P$2:$P$47,5),""))</f>
        <v>Spain</v>
      </c>
      <c r="S41" s="29" t="str">
        <f t="array" ref="S41">IF(R41="","",IFERROR(XLOOKUP(R41,'Live Medal Table'!$B$2:$B$94,'Live Medal Table'!$C$2:$C$94,"???"),"???"))</f>
        <v>ESP</v>
      </c>
      <c r="T41" s="29">
        <f t="array" ref="T41">IF(R41="",0,IFERROR(XLOOKUP(R41,'Live Medal Table'!$B$2:$B$94,'Live Medal Table'!$F$2:$F$94,0),0))</f>
        <v>20</v>
      </c>
      <c r="U41" s="29">
        <f t="array" ref="U41">IF(R41="",0,IFERROR(XLOOKUP(R41,'Live Medal Table'!$B$2:$B$94,'Live Medal Table'!$G$2:$G$94,0),0))</f>
        <v>1</v>
      </c>
      <c r="V41" s="29">
        <f t="array" ref="V41">IF(R41="",0,IFERROR(XLOOKUP(R41,'Live Medal Table'!$B$2:$B$94,'Live Medal Table'!$H$2:$H$94,0),0))</f>
        <v>0</v>
      </c>
      <c r="W41" s="29">
        <f t="array" ref="W41">IF(R41="",0,IFERROR(XLOOKUP(R41,'Live Medal Table'!$B$2:$B$94,'Live Medal Table'!$I$2:$I$94,0),0))</f>
        <v>2</v>
      </c>
      <c r="X41" s="29">
        <f t="shared" si="1"/>
        <v>60</v>
      </c>
      <c r="Y41" s="29">
        <f t="shared" si="2"/>
        <v>0</v>
      </c>
      <c r="Z41" s="29">
        <f t="shared" si="3"/>
        <v>40</v>
      </c>
      <c r="AA41" s="29">
        <f t="shared" si="4"/>
        <v>100</v>
      </c>
      <c r="AB41" s="29" t="b">
        <f t="array" ref="AB41">IF(R41="",FALSE,IFERROR(AND(ISNUMBER(MATCH(R41,'Live Medal Table'!$B$2:$B$94,0)),XLOOKUP(R41,'Live Medal Table'!$B$2:$B$94,Countries!$I$2:$I$72,FALSE)),FALSE))</f>
        <v>0</v>
      </c>
    </row>
    <row r="42" ht="15.75" hidden="1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29"/>
      <c r="M42" s="29"/>
      <c r="N42" s="29" t="str">
        <f t="array" ref="N42">IFERROR(IF(INDEX(Entries!$C$2:$C$47,6)="","",INDEX(Entries!$Q$2:$Q$47,6)),"")</f>
        <v>Josh_Caputa_Josh’s Dawgs</v>
      </c>
      <c r="O42" s="29" t="str">
        <f t="array" ref="O42">IF(N42="","",IFERROR(INDEX(Entries!$E$2:$E$47,6),""))</f>
        <v>Josh’s Dawgs</v>
      </c>
      <c r="P42" s="29" t="str">
        <f>IF(N42="","","Tier1_Pick1")</f>
        <v>Tier1_Pick1</v>
      </c>
      <c r="Q42" s="29">
        <f>IF(N42="","",1)</f>
        <v>1</v>
      </c>
      <c r="R42" s="29" t="str">
        <f t="array" ref="R42">IF(N42="","",IFERROR(INDEX(Entries!$F$2:$F$47,6),""))</f>
        <v>United States</v>
      </c>
      <c r="S42" s="29" t="str">
        <f t="array" ref="S42">IF(R42="","",IFERROR(XLOOKUP(R42,'Live Medal Table'!$B$2:$B$94,'Live Medal Table'!$C$2:$C$94,"???"),"???"))</f>
        <v>USA</v>
      </c>
      <c r="T42" s="29">
        <f t="array" ref="T42">IF(R42="",0,IFERROR(XLOOKUP(R42,'Live Medal Table'!$B$2:$B$94,'Live Medal Table'!$F$2:$F$94,0),0))</f>
        <v>1</v>
      </c>
      <c r="U42" s="29">
        <f t="array" ref="U42">IF(R42="",0,IFERROR(XLOOKUP(R42,'Live Medal Table'!$B$2:$B$94,'Live Medal Table'!$G$2:$G$94,0),0))</f>
        <v>12</v>
      </c>
      <c r="V42" s="29">
        <f t="array" ref="V42">IF(R42="",0,IFERROR(XLOOKUP(R42,'Live Medal Table'!$B$2:$B$94,'Live Medal Table'!$H$2:$H$94,0),0))</f>
        <v>12</v>
      </c>
      <c r="W42" s="29">
        <f t="array" ref="W42">IF(R42="",0,IFERROR(XLOOKUP(R42,'Live Medal Table'!$B$2:$B$94,'Live Medal Table'!$I$2:$I$94,0),0))</f>
        <v>9</v>
      </c>
      <c r="X42" s="29">
        <f t="shared" si="1"/>
        <v>36</v>
      </c>
      <c r="Y42" s="29">
        <f t="shared" si="2"/>
        <v>24</v>
      </c>
      <c r="Z42" s="29">
        <f t="shared" si="3"/>
        <v>9</v>
      </c>
      <c r="AA42" s="29">
        <f t="shared" si="4"/>
        <v>69</v>
      </c>
      <c r="AB42" s="29" t="b">
        <f t="array" ref="AB42">IF(R42="",FALSE,IFERROR(AND(ISNUMBER(MATCH(R42,'Live Medal Table'!$B$2:$B$94,0)),XLOOKUP(R42,'Live Medal Table'!$B$2:$B$94,Countries!$I$2:$I$72,FALSE)),FALSE))</f>
        <v>0</v>
      </c>
    </row>
    <row r="43" ht="15.75" hidden="1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29"/>
      <c r="M43" s="29"/>
      <c r="N43" s="29" t="str">
        <f t="array" ref="N43">IFERROR(IF(INDEX(Entries!$C$2:$C$47,6)="","",INDEX(Entries!$Q$2:$Q$47,6)),"")</f>
        <v>Josh_Caputa_Josh’s Dawgs</v>
      </c>
      <c r="O43" s="29" t="str">
        <f t="array" ref="O43">IF(N43="","",IFERROR(INDEX(Entries!$E$2:$E$47,6),""))</f>
        <v>Josh’s Dawgs</v>
      </c>
      <c r="P43" s="29" t="str">
        <f>IF(N43="","","Tier2_Pick1")</f>
        <v>Tier2_Pick1</v>
      </c>
      <c r="Q43" s="29">
        <f t="shared" ref="Q43:Q44" si="15">IF(N43="","",2)</f>
        <v>2</v>
      </c>
      <c r="R43" s="29" t="str">
        <f t="array" ref="R43">IF(N43="","",IFERROR(INDEX(Entries!$M$2:$M$47,6),""))</f>
        <v>France</v>
      </c>
      <c r="S43" s="29" t="str">
        <f t="array" ref="S43">IF(R43="","",IFERROR(XLOOKUP(R43,'Live Medal Table'!$B$2:$B$94,'Live Medal Table'!$C$2:$C$94,"???"),"???"))</f>
        <v>FRA</v>
      </c>
      <c r="T43" s="29">
        <f t="array" ref="T43">IF(R43="",0,IFERROR(XLOOKUP(R43,'Live Medal Table'!$B$2:$B$94,'Live Medal Table'!$F$2:$F$94,0),0))</f>
        <v>2</v>
      </c>
      <c r="U43" s="29">
        <f t="array" ref="U43">IF(R43="",0,IFERROR(XLOOKUP(R43,'Live Medal Table'!$B$2:$B$94,'Live Medal Table'!$G$2:$G$94,0),0))</f>
        <v>8</v>
      </c>
      <c r="V43" s="29">
        <f t="array" ref="V43">IF(R43="",0,IFERROR(XLOOKUP(R43,'Live Medal Table'!$B$2:$B$94,'Live Medal Table'!$H$2:$H$94,0),0))</f>
        <v>9</v>
      </c>
      <c r="W43" s="29">
        <f t="array" ref="W43">IF(R43="",0,IFERROR(XLOOKUP(R43,'Live Medal Table'!$B$2:$B$94,'Live Medal Table'!$I$2:$I$94,0),0))</f>
        <v>6</v>
      </c>
      <c r="X43" s="29">
        <f t="shared" si="1"/>
        <v>48</v>
      </c>
      <c r="Y43" s="29">
        <f t="shared" si="2"/>
        <v>36</v>
      </c>
      <c r="Z43" s="29">
        <f t="shared" si="3"/>
        <v>12</v>
      </c>
      <c r="AA43" s="29">
        <f t="shared" si="4"/>
        <v>96</v>
      </c>
      <c r="AB43" s="29" t="b">
        <f t="array" ref="AB43">IF(R43="",FALSE,IFERROR(AND(ISNUMBER(MATCH(R43,'Live Medal Table'!$B$2:$B$94,0)),XLOOKUP(R43,'Live Medal Table'!$B$2:$B$94,Countries!$I$2:$I$72,FALSE)),FALSE))</f>
        <v>0</v>
      </c>
    </row>
    <row r="44" ht="15.75" hidden="1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9"/>
      <c r="M44" s="29"/>
      <c r="N44" s="29" t="str">
        <f t="array" ref="N44">IFERROR(IF(INDEX(Entries!$C$2:$C$47,6)="","",INDEX(Entries!$Q$2:$Q$47,6)),"")</f>
        <v>Josh_Caputa_Josh’s Dawgs</v>
      </c>
      <c r="O44" s="29" t="str">
        <f t="array" ref="O44">IF(N44="","",IFERROR(INDEX(Entries!$E$2:$E$47,6),""))</f>
        <v>Josh’s Dawgs</v>
      </c>
      <c r="P44" s="29" t="str">
        <f>IF(N44="","","Tier2_Pick2")</f>
        <v>Tier2_Pick2</v>
      </c>
      <c r="Q44" s="29">
        <f t="shared" si="15"/>
        <v>2</v>
      </c>
      <c r="R44" s="29" t="str">
        <f t="array" ref="R44">IF(N44="","",IFERROR(INDEX(Entries!$N$2:$N$47,6),""))</f>
        <v>Sweden</v>
      </c>
      <c r="S44" s="29" t="str">
        <f t="array" ref="S44">IF(R44="","",IFERROR(XLOOKUP(R44,'Live Medal Table'!$B$2:$B$94,'Live Medal Table'!$C$2:$C$94,"???"),"???"))</f>
        <v>SWE</v>
      </c>
      <c r="T44" s="29">
        <f t="array" ref="T44">IF(R44="",0,IFERROR(XLOOKUP(R44,'Live Medal Table'!$B$2:$B$94,'Live Medal Table'!$F$2:$F$94,0),0))</f>
        <v>2</v>
      </c>
      <c r="U44" s="29">
        <f t="array" ref="U44">IF(R44="",0,IFERROR(XLOOKUP(R44,'Live Medal Table'!$B$2:$B$94,'Live Medal Table'!$G$2:$G$94,0),0))</f>
        <v>8</v>
      </c>
      <c r="V44" s="29">
        <f t="array" ref="V44">IF(R44="",0,IFERROR(XLOOKUP(R44,'Live Medal Table'!$B$2:$B$94,'Live Medal Table'!$H$2:$H$94,0),0))</f>
        <v>6</v>
      </c>
      <c r="W44" s="29">
        <f t="array" ref="W44">IF(R44="",0,IFERROR(XLOOKUP(R44,'Live Medal Table'!$B$2:$B$94,'Live Medal Table'!$I$2:$I$94,0),0))</f>
        <v>4</v>
      </c>
      <c r="X44" s="29">
        <f t="shared" si="1"/>
        <v>48</v>
      </c>
      <c r="Y44" s="29">
        <f t="shared" si="2"/>
        <v>24</v>
      </c>
      <c r="Z44" s="29">
        <f t="shared" si="3"/>
        <v>8</v>
      </c>
      <c r="AA44" s="29">
        <f t="shared" si="4"/>
        <v>80</v>
      </c>
      <c r="AB44" s="29" t="b">
        <f t="array" ref="AB44">IF(R44="",FALSE,IFERROR(AND(ISNUMBER(MATCH(R44,'Live Medal Table'!$B$2:$B$94,0)),XLOOKUP(R44,'Live Medal Table'!$B$2:$B$94,Countries!$I$2:$I$72,FALSE)),FALSE))</f>
        <v>0</v>
      </c>
    </row>
    <row r="45" ht="15.75" hidden="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29"/>
      <c r="M45" s="29"/>
      <c r="N45" s="29" t="str">
        <f t="array" ref="N45">IFERROR(IF(INDEX(Entries!$C$2:$C$47,6)="","",INDEX(Entries!$Q$2:$Q$47,6)),"")</f>
        <v>Josh_Caputa_Josh’s Dawgs</v>
      </c>
      <c r="O45" s="29" t="str">
        <f t="array" ref="O45">IF(N45="","",IFERROR(INDEX(Entries!$E$2:$E$47,6),""))</f>
        <v>Josh’s Dawgs</v>
      </c>
      <c r="P45" s="29" t="str">
        <f>IF(N45="","","Tier3_Pick1")</f>
        <v>Tier3_Pick1</v>
      </c>
      <c r="Q45" s="29">
        <f>IF(N45="","",3)</f>
        <v>3</v>
      </c>
      <c r="R45" s="29" t="str">
        <f t="array" ref="R45">IF(N45="","",IFERROR(INDEX(Entries!$H$2:$H$47,6),""))</f>
        <v>China</v>
      </c>
      <c r="S45" s="29" t="str">
        <f t="array" ref="S45">IF(R45="","",IFERROR(XLOOKUP(R45,'Live Medal Table'!$B$2:$B$94,'Live Medal Table'!$C$2:$C$94,"???"),"???"))</f>
        <v>CHN</v>
      </c>
      <c r="T45" s="29">
        <f t="array" ref="T45">IF(R45="",0,IFERROR(XLOOKUP(R45,'Live Medal Table'!$B$2:$B$94,'Live Medal Table'!$F$2:$F$94,0),0))</f>
        <v>3</v>
      </c>
      <c r="U45" s="29">
        <f t="array" ref="U45">IF(R45="",0,IFERROR(XLOOKUP(R45,'Live Medal Table'!$B$2:$B$94,'Live Medal Table'!$G$2:$G$94,0),0))</f>
        <v>5</v>
      </c>
      <c r="V45" s="29">
        <f t="array" ref="V45">IF(R45="",0,IFERROR(XLOOKUP(R45,'Live Medal Table'!$B$2:$B$94,'Live Medal Table'!$H$2:$H$94,0),0))</f>
        <v>4</v>
      </c>
      <c r="W45" s="29">
        <f t="array" ref="W45">IF(R45="",0,IFERROR(XLOOKUP(R45,'Live Medal Table'!$B$2:$B$94,'Live Medal Table'!$I$2:$I$94,0),0))</f>
        <v>6</v>
      </c>
      <c r="X45" s="29">
        <f t="shared" si="1"/>
        <v>45</v>
      </c>
      <c r="Y45" s="29">
        <f t="shared" si="2"/>
        <v>24</v>
      </c>
      <c r="Z45" s="29">
        <f t="shared" si="3"/>
        <v>18</v>
      </c>
      <c r="AA45" s="29">
        <f t="shared" si="4"/>
        <v>87</v>
      </c>
      <c r="AB45" s="29" t="b">
        <f t="array" ref="AB45">IF(R45="",FALSE,IFERROR(AND(ISNUMBER(MATCH(R45,'Live Medal Table'!$B$2:$B$94,0)),XLOOKUP(R45,'Live Medal Table'!$B$2:$B$94,Countries!$I$2:$I$72,FALSE)),FALSE))</f>
        <v>0</v>
      </c>
    </row>
    <row r="46" ht="15.75" hidden="1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29"/>
      <c r="M46" s="29"/>
      <c r="N46" s="29" t="str">
        <f t="array" ref="N46">IFERROR(IF(INDEX(Entries!$C$2:$C$47,6)="","",INDEX(Entries!$Q$2:$Q$47,6)),"")</f>
        <v>Josh_Caputa_Josh’s Dawgs</v>
      </c>
      <c r="O46" s="29" t="str">
        <f t="array" ref="O46">IF(N46="","",IFERROR(INDEX(Entries!$E$2:$E$47,6),""))</f>
        <v>Josh’s Dawgs</v>
      </c>
      <c r="P46" s="29" t="str">
        <f>IF(N46="","","Tier4_Pick1")</f>
        <v>Tier4_Pick1</v>
      </c>
      <c r="Q46" s="29">
        <f>IF(N46="","",4)</f>
        <v>4</v>
      </c>
      <c r="R46" s="29" t="str">
        <f t="array" ref="R46">IF(N46="","",IFERROR(INDEX(Entries!$I$2:$I$47,6),""))</f>
        <v>Finland</v>
      </c>
      <c r="S46" s="29" t="str">
        <f t="array" ref="S46">IF(R46="","",IFERROR(XLOOKUP(R46,'Live Medal Table'!$B$2:$B$94,'Live Medal Table'!$C$2:$C$94,"???"),"???"))</f>
        <v>FIN</v>
      </c>
      <c r="T46" s="29">
        <f t="array" ref="T46">IF(R46="",0,IFERROR(XLOOKUP(R46,'Live Medal Table'!$B$2:$B$94,'Live Medal Table'!$F$2:$F$94,0),0))</f>
        <v>6</v>
      </c>
      <c r="U46" s="29">
        <f t="array" ref="U46">IF(R46="",0,IFERROR(XLOOKUP(R46,'Live Medal Table'!$B$2:$B$94,'Live Medal Table'!$G$2:$G$94,0),0))</f>
        <v>0</v>
      </c>
      <c r="V46" s="29">
        <f t="array" ref="V46">IF(R46="",0,IFERROR(XLOOKUP(R46,'Live Medal Table'!$B$2:$B$94,'Live Medal Table'!$H$2:$H$94,0),0))</f>
        <v>1</v>
      </c>
      <c r="W46" s="29">
        <f t="array" ref="W46">IF(R46="",0,IFERROR(XLOOKUP(R46,'Live Medal Table'!$B$2:$B$94,'Live Medal Table'!$I$2:$I$94,0),0))</f>
        <v>5</v>
      </c>
      <c r="X46" s="29">
        <f t="shared" si="1"/>
        <v>0</v>
      </c>
      <c r="Y46" s="29">
        <f t="shared" si="2"/>
        <v>12</v>
      </c>
      <c r="Z46" s="29">
        <f t="shared" si="3"/>
        <v>30</v>
      </c>
      <c r="AA46" s="29">
        <f t="shared" si="4"/>
        <v>42</v>
      </c>
      <c r="AB46" s="29" t="b">
        <f t="array" ref="AB46">IF(R46="",FALSE,IFERROR(AND(ISNUMBER(MATCH(R46,'Live Medal Table'!$B$2:$B$94,0)),XLOOKUP(R46,'Live Medal Table'!$B$2:$B$94,Countries!$I$2:$I$72,FALSE)),FALSE))</f>
        <v>0</v>
      </c>
    </row>
    <row r="47" ht="15.75" hidden="1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29"/>
      <c r="M47" s="29"/>
      <c r="N47" s="29" t="str">
        <f t="array" ref="N47">IFERROR(IF(INDEX(Entries!$C$2:$C$47,6)="","",INDEX(Entries!$Q$2:$Q$47,6)),"")</f>
        <v>Josh_Caputa_Josh’s Dawgs</v>
      </c>
      <c r="O47" s="29" t="str">
        <f t="array" ref="O47">IF(N47="","",IFERROR(INDEX(Entries!$E$2:$E$47,6),""))</f>
        <v>Josh’s Dawgs</v>
      </c>
      <c r="P47" s="29" t="str">
        <f>IF(N47="","","Tier5_Pick1")</f>
        <v>Tier5_Pick1</v>
      </c>
      <c r="Q47" s="29">
        <f>IF(N47="","",5)</f>
        <v>5</v>
      </c>
      <c r="R47" s="29" t="str">
        <f t="array" ref="R47">IF(N47="","",IFERROR(INDEX(Entries!$J$2:$J$47,6),""))</f>
        <v>Poland</v>
      </c>
      <c r="S47" s="29" t="str">
        <f t="array" ref="S47">IF(R47="","",IFERROR(XLOOKUP(R47,'Live Medal Table'!$B$2:$B$94,'Live Medal Table'!$C$2:$C$94,"???"),"???"))</f>
        <v>POL</v>
      </c>
      <c r="T47" s="29">
        <f t="array" ref="T47">IF(R47="",0,IFERROR(XLOOKUP(R47,'Live Medal Table'!$B$2:$B$94,'Live Medal Table'!$F$2:$F$94,0),0))</f>
        <v>10</v>
      </c>
      <c r="U47" s="29">
        <f t="array" ref="U47">IF(R47="",0,IFERROR(XLOOKUP(R47,'Live Medal Table'!$B$2:$B$94,'Live Medal Table'!$G$2:$G$94,0),0))</f>
        <v>0</v>
      </c>
      <c r="V47" s="29">
        <f t="array" ref="V47">IF(R47="",0,IFERROR(XLOOKUP(R47,'Live Medal Table'!$B$2:$B$94,'Live Medal Table'!$H$2:$H$94,0),0))</f>
        <v>3</v>
      </c>
      <c r="W47" s="29">
        <f t="array" ref="W47">IF(R47="",0,IFERROR(XLOOKUP(R47,'Live Medal Table'!$B$2:$B$94,'Live Medal Table'!$I$2:$I$94,0),0))</f>
        <v>1</v>
      </c>
      <c r="X47" s="29">
        <f t="shared" si="1"/>
        <v>0</v>
      </c>
      <c r="Y47" s="29">
        <f t="shared" si="2"/>
        <v>60</v>
      </c>
      <c r="Z47" s="29">
        <f t="shared" si="3"/>
        <v>10</v>
      </c>
      <c r="AA47" s="29">
        <f t="shared" si="4"/>
        <v>70</v>
      </c>
      <c r="AB47" s="29" t="b">
        <f t="array" ref="AB47">IF(R47="",FALSE,IFERROR(AND(ISNUMBER(MATCH(R47,'Live Medal Table'!$B$2:$B$94,0)),XLOOKUP(R47,'Live Medal Table'!$B$2:$B$94,Countries!$I$2:$I$72,FALSE)),FALSE))</f>
        <v>0</v>
      </c>
    </row>
    <row r="48" ht="15.75" hidden="1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29"/>
      <c r="M48" s="29"/>
      <c r="N48" s="29" t="str">
        <f t="array" ref="N48">IFERROR(IF(INDEX(Entries!$C$2:$C$47,6)="","",INDEX(Entries!$Q$2:$Q$47,6)),"")</f>
        <v>Josh_Caputa_Josh’s Dawgs</v>
      </c>
      <c r="O48" s="29" t="str">
        <f t="array" ref="O48">IF(N48="","",IFERROR(INDEX(Entries!$E$2:$E$47,6),""))</f>
        <v>Josh’s Dawgs</v>
      </c>
      <c r="P48" s="29" t="str">
        <f>IF(N48="","","Tier6_Pick1")</f>
        <v>Tier6_Pick1</v>
      </c>
      <c r="Q48" s="29">
        <f t="shared" ref="Q48:Q49" si="16">IF(N48="","",6)</f>
        <v>6</v>
      </c>
      <c r="R48" s="29" t="str">
        <f t="array" ref="R48">IF(N48="","",IFERROR(INDEX(Entries!$O$2:$O$47,6),""))</f>
        <v>Belgium</v>
      </c>
      <c r="S48" s="29" t="str">
        <f t="array" ref="S48">IF(R48="","",IFERROR(XLOOKUP(R48,'Live Medal Table'!$B$2:$B$94,'Live Medal Table'!$C$2:$C$94,"???"),"???"))</f>
        <v>BEL</v>
      </c>
      <c r="T48" s="29">
        <f t="array" ref="T48">IF(R48="",0,IFERROR(XLOOKUP(R48,'Live Medal Table'!$B$2:$B$94,'Live Medal Table'!$F$2:$F$94,0),0))</f>
        <v>20</v>
      </c>
      <c r="U48" s="29">
        <f t="array" ref="U48">IF(R48="",0,IFERROR(XLOOKUP(R48,'Live Medal Table'!$B$2:$B$94,'Live Medal Table'!$G$2:$G$94,0),0))</f>
        <v>0</v>
      </c>
      <c r="V48" s="29">
        <f t="array" ref="V48">IF(R48="",0,IFERROR(XLOOKUP(R48,'Live Medal Table'!$B$2:$B$94,'Live Medal Table'!$H$2:$H$94,0),0))</f>
        <v>0</v>
      </c>
      <c r="W48" s="29">
        <f t="array" ref="W48">IF(R48="",0,IFERROR(XLOOKUP(R48,'Live Medal Table'!$B$2:$B$94,'Live Medal Table'!$I$2:$I$94,0),0))</f>
        <v>1</v>
      </c>
      <c r="X48" s="29">
        <f t="shared" si="1"/>
        <v>0</v>
      </c>
      <c r="Y48" s="29">
        <f t="shared" si="2"/>
        <v>0</v>
      </c>
      <c r="Z48" s="29">
        <f t="shared" si="3"/>
        <v>20</v>
      </c>
      <c r="AA48" s="29">
        <f t="shared" si="4"/>
        <v>20</v>
      </c>
      <c r="AB48" s="29" t="b">
        <f t="array" ref="AB48">IF(R48="",FALSE,IFERROR(AND(ISNUMBER(MATCH(R48,'Live Medal Table'!$B$2:$B$94,0)),XLOOKUP(R48,'Live Medal Table'!$B$2:$B$94,Countries!$I$2:$I$72,FALSE)),FALSE))</f>
        <v>0</v>
      </c>
    </row>
    <row r="49" ht="15.75" hidden="1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29"/>
      <c r="M49" s="29"/>
      <c r="N49" s="29" t="str">
        <f t="array" ref="N49">IFERROR(IF(INDEX(Entries!$C$2:$C$47,6)="","",INDEX(Entries!$Q$2:$Q$47,6)),"")</f>
        <v>Josh_Caputa_Josh’s Dawgs</v>
      </c>
      <c r="O49" s="29" t="str">
        <f t="array" ref="O49">IF(N49="","",IFERROR(INDEX(Entries!$E$2:$E$47,6),""))</f>
        <v>Josh’s Dawgs</v>
      </c>
      <c r="P49" s="29" t="str">
        <f>IF(N49="","","Tier6_Pick2")</f>
        <v>Tier6_Pick2</v>
      </c>
      <c r="Q49" s="29">
        <f t="shared" si="16"/>
        <v>6</v>
      </c>
      <c r="R49" s="29" t="str">
        <f t="array" ref="R49">IF(N49="","",IFERROR(INDEX(Entries!$P$2:$P$47,6),""))</f>
        <v>Ukraine</v>
      </c>
      <c r="S49" s="29" t="str">
        <f t="array" ref="S49">IF(R49="","",IFERROR(XLOOKUP(R49,'Live Medal Table'!$B$2:$B$94,'Live Medal Table'!$C$2:$C$94,"???"),"???"))</f>
        <v>UKR</v>
      </c>
      <c r="T49" s="29">
        <f t="array" ref="T49">IF(R49="",0,IFERROR(XLOOKUP(R49,'Live Medal Table'!$B$2:$B$94,'Live Medal Table'!$F$2:$F$94,0),0))</f>
        <v>20</v>
      </c>
      <c r="U49" s="29">
        <f t="array" ref="U49">IF(R49="",0,IFERROR(XLOOKUP(R49,'Live Medal Table'!$B$2:$B$94,'Live Medal Table'!$G$2:$G$94,0),0))</f>
        <v>0</v>
      </c>
      <c r="V49" s="29">
        <f t="array" ref="V49">IF(R49="",0,IFERROR(XLOOKUP(R49,'Live Medal Table'!$B$2:$B$94,'Live Medal Table'!$H$2:$H$94,0),0))</f>
        <v>0</v>
      </c>
      <c r="W49" s="29">
        <f t="array" ref="W49">IF(R49="",0,IFERROR(XLOOKUP(R49,'Live Medal Table'!$B$2:$B$94,'Live Medal Table'!$I$2:$I$94,0),0))</f>
        <v>0</v>
      </c>
      <c r="X49" s="29">
        <f t="shared" si="1"/>
        <v>0</v>
      </c>
      <c r="Y49" s="29">
        <f t="shared" si="2"/>
        <v>0</v>
      </c>
      <c r="Z49" s="29">
        <f t="shared" si="3"/>
        <v>0</v>
      </c>
      <c r="AA49" s="29">
        <f t="shared" si="4"/>
        <v>0</v>
      </c>
      <c r="AB49" s="29" t="b">
        <f t="array" ref="AB49">IF(R49="",FALSE,IFERROR(AND(ISNUMBER(MATCH(R49,'Live Medal Table'!$B$2:$B$94,0)),XLOOKUP(R49,'Live Medal Table'!$B$2:$B$94,Countries!$I$2:$I$72,FALSE)),FALSE))</f>
        <v>0</v>
      </c>
    </row>
    <row r="50" ht="15.75" hidden="1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29"/>
      <c r="M50" s="29"/>
      <c r="N50" s="29" t="str">
        <f t="array" ref="N50">IFERROR(IF(INDEX(Entries!$C$2:$C$47,7)="","",INDEX(Entries!$Q$2:$Q$47,7)),"")</f>
        <v>Ben_Greenblatt_bgreen</v>
      </c>
      <c r="O50" s="29" t="str">
        <f t="array" ref="O50">IF(N50="","",IFERROR(INDEX(Entries!$E$2:$E$47,7),""))</f>
        <v>bgreen</v>
      </c>
      <c r="P50" s="29" t="str">
        <f>IF(N50="","","Tier1_Pick1")</f>
        <v>Tier1_Pick1</v>
      </c>
      <c r="Q50" s="29">
        <f>IF(N50="","",1)</f>
        <v>1</v>
      </c>
      <c r="R50" s="29" t="str">
        <f t="array" ref="R50">IF(N50="","",IFERROR(INDEX(Entries!$F$2:$F$47,7),""))</f>
        <v>Norway</v>
      </c>
      <c r="S50" s="29" t="str">
        <f t="array" ref="S50">IF(R50="","",IFERROR(XLOOKUP(R50,'Live Medal Table'!$B$2:$B$94,'Live Medal Table'!$C$2:$C$94,"???"),"???"))</f>
        <v>NOR</v>
      </c>
      <c r="T50" s="29">
        <f t="array" ref="T50">IF(R50="",0,IFERROR(XLOOKUP(R50,'Live Medal Table'!$B$2:$B$94,'Live Medal Table'!$F$2:$F$94,0),0))</f>
        <v>1</v>
      </c>
      <c r="U50" s="29">
        <f t="array" ref="U50">IF(R50="",0,IFERROR(XLOOKUP(R50,'Live Medal Table'!$B$2:$B$94,'Live Medal Table'!$G$2:$G$94,0),0))</f>
        <v>18</v>
      </c>
      <c r="V50" s="29">
        <f t="array" ref="V50">IF(R50="",0,IFERROR(XLOOKUP(R50,'Live Medal Table'!$B$2:$B$94,'Live Medal Table'!$H$2:$H$94,0),0))</f>
        <v>12</v>
      </c>
      <c r="W50" s="29">
        <f t="array" ref="W50">IF(R50="",0,IFERROR(XLOOKUP(R50,'Live Medal Table'!$B$2:$B$94,'Live Medal Table'!$I$2:$I$94,0),0))</f>
        <v>11</v>
      </c>
      <c r="X50" s="29">
        <f t="shared" si="1"/>
        <v>54</v>
      </c>
      <c r="Y50" s="29">
        <f t="shared" si="2"/>
        <v>24</v>
      </c>
      <c r="Z50" s="29">
        <f t="shared" si="3"/>
        <v>11</v>
      </c>
      <c r="AA50" s="29">
        <f t="shared" si="4"/>
        <v>89</v>
      </c>
      <c r="AB50" s="29" t="b">
        <f t="array" ref="AB50">IF(R50="",FALSE,IFERROR(AND(ISNUMBER(MATCH(R50,'Live Medal Table'!$B$2:$B$94,0)),XLOOKUP(R50,'Live Medal Table'!$B$2:$B$94,Countries!$I$2:$I$72,FALSE)),FALSE))</f>
        <v>0</v>
      </c>
    </row>
    <row r="51" ht="15.75" hidden="1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29"/>
      <c r="M51" s="29"/>
      <c r="N51" s="29" t="str">
        <f t="array" ref="N51">IFERROR(IF(INDEX(Entries!$C$2:$C$47,7)="","",INDEX(Entries!$Q$2:$Q$47,7)),"")</f>
        <v>Ben_Greenblatt_bgreen</v>
      </c>
      <c r="O51" s="29" t="str">
        <f t="array" ref="O51">IF(N51="","",IFERROR(INDEX(Entries!$E$2:$E$47,7),""))</f>
        <v>bgreen</v>
      </c>
      <c r="P51" s="29" t="str">
        <f>IF(N51="","","Tier2_Pick1")</f>
        <v>Tier2_Pick1</v>
      </c>
      <c r="Q51" s="29">
        <f t="shared" ref="Q51:Q52" si="17">IF(N51="","",2)</f>
        <v>2</v>
      </c>
      <c r="R51" s="29" t="str">
        <f t="array" ref="R51">IF(N51="","",IFERROR(INDEX(Entries!$M$2:$M$47,7),""))</f>
        <v>Austria</v>
      </c>
      <c r="S51" s="29" t="str">
        <f t="array" ref="S51">IF(R51="","",IFERROR(XLOOKUP(R51,'Live Medal Table'!$B$2:$B$94,'Live Medal Table'!$C$2:$C$94,"???"),"???"))</f>
        <v>AUT</v>
      </c>
      <c r="T51" s="29">
        <f t="array" ref="T51">IF(R51="",0,IFERROR(XLOOKUP(R51,'Live Medal Table'!$B$2:$B$94,'Live Medal Table'!$F$2:$F$94,0),0))</f>
        <v>2</v>
      </c>
      <c r="U51" s="29">
        <f t="array" ref="U51">IF(R51="",0,IFERROR(XLOOKUP(R51,'Live Medal Table'!$B$2:$B$94,'Live Medal Table'!$G$2:$G$94,0),0))</f>
        <v>5</v>
      </c>
      <c r="V51" s="29">
        <f t="array" ref="V51">IF(R51="",0,IFERROR(XLOOKUP(R51,'Live Medal Table'!$B$2:$B$94,'Live Medal Table'!$H$2:$H$94,0),0))</f>
        <v>8</v>
      </c>
      <c r="W51" s="29">
        <f t="array" ref="W51">IF(R51="",0,IFERROR(XLOOKUP(R51,'Live Medal Table'!$B$2:$B$94,'Live Medal Table'!$I$2:$I$94,0),0))</f>
        <v>5</v>
      </c>
      <c r="X51" s="29">
        <f t="shared" si="1"/>
        <v>30</v>
      </c>
      <c r="Y51" s="29">
        <f t="shared" si="2"/>
        <v>32</v>
      </c>
      <c r="Z51" s="29">
        <f t="shared" si="3"/>
        <v>10</v>
      </c>
      <c r="AA51" s="29">
        <f t="shared" si="4"/>
        <v>72</v>
      </c>
      <c r="AB51" s="29" t="b">
        <f t="array" ref="AB51">IF(R51="",FALSE,IFERROR(AND(ISNUMBER(MATCH(R51,'Live Medal Table'!$B$2:$B$94,0)),XLOOKUP(R51,'Live Medal Table'!$B$2:$B$94,Countries!$I$2:$I$72,FALSE)),FALSE))</f>
        <v>0</v>
      </c>
    </row>
    <row r="52" ht="15.75" hidden="1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29"/>
      <c r="M52" s="29"/>
      <c r="N52" s="29" t="str">
        <f t="array" ref="N52">IFERROR(IF(INDEX(Entries!$C$2:$C$47,7)="","",INDEX(Entries!$Q$2:$Q$47,7)),"")</f>
        <v>Ben_Greenblatt_bgreen</v>
      </c>
      <c r="O52" s="29" t="str">
        <f t="array" ref="O52">IF(N52="","",IFERROR(INDEX(Entries!$E$2:$E$47,7),""))</f>
        <v>bgreen</v>
      </c>
      <c r="P52" s="29" t="str">
        <f>IF(N52="","","Tier2_Pick2")</f>
        <v>Tier2_Pick2</v>
      </c>
      <c r="Q52" s="29">
        <f t="shared" si="17"/>
        <v>2</v>
      </c>
      <c r="R52" s="29" t="str">
        <f t="array" ref="R52">IF(N52="","",IFERROR(INDEX(Entries!$N$2:$N$47,7),""))</f>
        <v>Sweden</v>
      </c>
      <c r="S52" s="29" t="str">
        <f t="array" ref="S52">IF(R52="","",IFERROR(XLOOKUP(R52,'Live Medal Table'!$B$2:$B$94,'Live Medal Table'!$C$2:$C$94,"???"),"???"))</f>
        <v>SWE</v>
      </c>
      <c r="T52" s="29">
        <f t="array" ref="T52">IF(R52="",0,IFERROR(XLOOKUP(R52,'Live Medal Table'!$B$2:$B$94,'Live Medal Table'!$F$2:$F$94,0),0))</f>
        <v>2</v>
      </c>
      <c r="U52" s="29">
        <f t="array" ref="U52">IF(R52="",0,IFERROR(XLOOKUP(R52,'Live Medal Table'!$B$2:$B$94,'Live Medal Table'!$G$2:$G$94,0),0))</f>
        <v>8</v>
      </c>
      <c r="V52" s="29">
        <f t="array" ref="V52">IF(R52="",0,IFERROR(XLOOKUP(R52,'Live Medal Table'!$B$2:$B$94,'Live Medal Table'!$H$2:$H$94,0),0))</f>
        <v>6</v>
      </c>
      <c r="W52" s="29">
        <f t="array" ref="W52">IF(R52="",0,IFERROR(XLOOKUP(R52,'Live Medal Table'!$B$2:$B$94,'Live Medal Table'!$I$2:$I$94,0),0))</f>
        <v>4</v>
      </c>
      <c r="X52" s="29">
        <f t="shared" si="1"/>
        <v>48</v>
      </c>
      <c r="Y52" s="29">
        <f t="shared" si="2"/>
        <v>24</v>
      </c>
      <c r="Z52" s="29">
        <f t="shared" si="3"/>
        <v>8</v>
      </c>
      <c r="AA52" s="29">
        <f t="shared" si="4"/>
        <v>80</v>
      </c>
      <c r="AB52" s="29" t="b">
        <f t="array" ref="AB52">IF(R52="",FALSE,IFERROR(AND(ISNUMBER(MATCH(R52,'Live Medal Table'!$B$2:$B$94,0)),XLOOKUP(R52,'Live Medal Table'!$B$2:$B$94,Countries!$I$2:$I$72,FALSE)),FALSE))</f>
        <v>0</v>
      </c>
    </row>
    <row r="53" ht="15.75" hidden="1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29"/>
      <c r="M53" s="29"/>
      <c r="N53" s="29" t="str">
        <f t="array" ref="N53">IFERROR(IF(INDEX(Entries!$C$2:$C$47,7)="","",INDEX(Entries!$Q$2:$Q$47,7)),"")</f>
        <v>Ben_Greenblatt_bgreen</v>
      </c>
      <c r="O53" s="29" t="str">
        <f t="array" ref="O53">IF(N53="","",IFERROR(INDEX(Entries!$E$2:$E$47,7),""))</f>
        <v>bgreen</v>
      </c>
      <c r="P53" s="29" t="str">
        <f>IF(N53="","","Tier3_Pick1")</f>
        <v>Tier3_Pick1</v>
      </c>
      <c r="Q53" s="29">
        <f>IF(N53="","",3)</f>
        <v>3</v>
      </c>
      <c r="R53" s="29" t="str">
        <f t="array" ref="R53">IF(N53="","",IFERROR(INDEX(Entries!$H$2:$H$47,7),""))</f>
        <v>Italy</v>
      </c>
      <c r="S53" s="29" t="str">
        <f t="array" ref="S53">IF(R53="","",IFERROR(XLOOKUP(R53,'Live Medal Table'!$B$2:$B$94,'Live Medal Table'!$C$2:$C$94,"???"),"???"))</f>
        <v>ITA</v>
      </c>
      <c r="T53" s="29">
        <f t="array" ref="T53">IF(R53="",0,IFERROR(XLOOKUP(R53,'Live Medal Table'!$B$2:$B$94,'Live Medal Table'!$F$2:$F$94,0),0))</f>
        <v>3</v>
      </c>
      <c r="U53" s="29">
        <f t="array" ref="U53">IF(R53="",0,IFERROR(XLOOKUP(R53,'Live Medal Table'!$B$2:$B$94,'Live Medal Table'!$G$2:$G$94,0),0))</f>
        <v>10</v>
      </c>
      <c r="V53" s="29">
        <f t="array" ref="V53">IF(R53="",0,IFERROR(XLOOKUP(R53,'Live Medal Table'!$B$2:$B$94,'Live Medal Table'!$H$2:$H$94,0),0))</f>
        <v>6</v>
      </c>
      <c r="W53" s="29">
        <f t="array" ref="W53">IF(R53="",0,IFERROR(XLOOKUP(R53,'Live Medal Table'!$B$2:$B$94,'Live Medal Table'!$I$2:$I$94,0),0))</f>
        <v>14</v>
      </c>
      <c r="X53" s="29">
        <f t="shared" si="1"/>
        <v>90</v>
      </c>
      <c r="Y53" s="29">
        <f t="shared" si="2"/>
        <v>36</v>
      </c>
      <c r="Z53" s="29">
        <f t="shared" si="3"/>
        <v>42</v>
      </c>
      <c r="AA53" s="29">
        <f t="shared" si="4"/>
        <v>168</v>
      </c>
      <c r="AB53" s="29" t="b">
        <f t="array" ref="AB53">IF(R53="",FALSE,IFERROR(AND(ISNUMBER(MATCH(R53,'Live Medal Table'!$B$2:$B$94,0)),XLOOKUP(R53,'Live Medal Table'!$B$2:$B$94,Countries!$I$2:$I$72,FALSE)),FALSE))</f>
        <v>0</v>
      </c>
    </row>
    <row r="54" ht="15.75" hidden="1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29"/>
      <c r="M54" s="29"/>
      <c r="N54" s="29" t="str">
        <f t="array" ref="N54">IFERROR(IF(INDEX(Entries!$C$2:$C$47,7)="","",INDEX(Entries!$Q$2:$Q$47,7)),"")</f>
        <v>Ben_Greenblatt_bgreen</v>
      </c>
      <c r="O54" s="29" t="str">
        <f t="array" ref="O54">IF(N54="","",IFERROR(INDEX(Entries!$E$2:$E$47,7),""))</f>
        <v>bgreen</v>
      </c>
      <c r="P54" s="29" t="str">
        <f>IF(N54="","","Tier4_Pick1")</f>
        <v>Tier4_Pick1</v>
      </c>
      <c r="Q54" s="29">
        <f>IF(N54="","",4)</f>
        <v>4</v>
      </c>
      <c r="R54" s="29" t="str">
        <f t="array" ref="R54">IF(N54="","",IFERROR(INDEX(Entries!$I$2:$I$47,7),""))</f>
        <v>Finland</v>
      </c>
      <c r="S54" s="29" t="str">
        <f t="array" ref="S54">IF(R54="","",IFERROR(XLOOKUP(R54,'Live Medal Table'!$B$2:$B$94,'Live Medal Table'!$C$2:$C$94,"???"),"???"))</f>
        <v>FIN</v>
      </c>
      <c r="T54" s="29">
        <f t="array" ref="T54">IF(R54="",0,IFERROR(XLOOKUP(R54,'Live Medal Table'!$B$2:$B$94,'Live Medal Table'!$F$2:$F$94,0),0))</f>
        <v>6</v>
      </c>
      <c r="U54" s="29">
        <f t="array" ref="U54">IF(R54="",0,IFERROR(XLOOKUP(R54,'Live Medal Table'!$B$2:$B$94,'Live Medal Table'!$G$2:$G$94,0),0))</f>
        <v>0</v>
      </c>
      <c r="V54" s="29">
        <f t="array" ref="V54">IF(R54="",0,IFERROR(XLOOKUP(R54,'Live Medal Table'!$B$2:$B$94,'Live Medal Table'!$H$2:$H$94,0),0))</f>
        <v>1</v>
      </c>
      <c r="W54" s="29">
        <f t="array" ref="W54">IF(R54="",0,IFERROR(XLOOKUP(R54,'Live Medal Table'!$B$2:$B$94,'Live Medal Table'!$I$2:$I$94,0),0))</f>
        <v>5</v>
      </c>
      <c r="X54" s="29">
        <f t="shared" si="1"/>
        <v>0</v>
      </c>
      <c r="Y54" s="29">
        <f t="shared" si="2"/>
        <v>12</v>
      </c>
      <c r="Z54" s="29">
        <f t="shared" si="3"/>
        <v>30</v>
      </c>
      <c r="AA54" s="29">
        <f t="shared" si="4"/>
        <v>42</v>
      </c>
      <c r="AB54" s="29" t="b">
        <f t="array" ref="AB54">IF(R54="",FALSE,IFERROR(AND(ISNUMBER(MATCH(R54,'Live Medal Table'!$B$2:$B$94,0)),XLOOKUP(R54,'Live Medal Table'!$B$2:$B$94,Countries!$I$2:$I$72,FALSE)),FALSE))</f>
        <v>0</v>
      </c>
    </row>
    <row r="55" ht="15.75" hidden="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29"/>
      <c r="M55" s="29"/>
      <c r="N55" s="29" t="str">
        <f t="array" ref="N55">IFERROR(IF(INDEX(Entries!$C$2:$C$47,7)="","",INDEX(Entries!$Q$2:$Q$47,7)),"")</f>
        <v>Ben_Greenblatt_bgreen</v>
      </c>
      <c r="O55" s="29" t="str">
        <f t="array" ref="O55">IF(N55="","",IFERROR(INDEX(Entries!$E$2:$E$47,7),""))</f>
        <v>bgreen</v>
      </c>
      <c r="P55" s="29" t="str">
        <f>IF(N55="","","Tier5_Pick1")</f>
        <v>Tier5_Pick1</v>
      </c>
      <c r="Q55" s="29">
        <f>IF(N55="","",5)</f>
        <v>5</v>
      </c>
      <c r="R55" s="29" t="str">
        <f t="array" ref="R55">IF(N55="","",IFERROR(INDEX(Entries!$J$2:$J$47,7),""))</f>
        <v>Great Britain</v>
      </c>
      <c r="S55" s="29" t="str">
        <f t="array" ref="S55">IF(R55="","",IFERROR(XLOOKUP(R55,'Live Medal Table'!$B$2:$B$94,'Live Medal Table'!$C$2:$C$94,"???"),"???"))</f>
        <v>GBR</v>
      </c>
      <c r="T55" s="29">
        <f t="array" ref="T55">IF(R55="",0,IFERROR(XLOOKUP(R55,'Live Medal Table'!$B$2:$B$94,'Live Medal Table'!$F$2:$F$94,0),0))</f>
        <v>10</v>
      </c>
      <c r="U55" s="29">
        <f t="array" ref="U55">IF(R55="",0,IFERROR(XLOOKUP(R55,'Live Medal Table'!$B$2:$B$94,'Live Medal Table'!$G$2:$G$94,0),0))</f>
        <v>3</v>
      </c>
      <c r="V55" s="29">
        <f t="array" ref="V55">IF(R55="",0,IFERROR(XLOOKUP(R55,'Live Medal Table'!$B$2:$B$94,'Live Medal Table'!$H$2:$H$94,0),0))</f>
        <v>1</v>
      </c>
      <c r="W55" s="29">
        <f t="array" ref="W55">IF(R55="",0,IFERROR(XLOOKUP(R55,'Live Medal Table'!$B$2:$B$94,'Live Medal Table'!$I$2:$I$94,0),0))</f>
        <v>1</v>
      </c>
      <c r="X55" s="29">
        <f t="shared" si="1"/>
        <v>90</v>
      </c>
      <c r="Y55" s="29">
        <f t="shared" si="2"/>
        <v>20</v>
      </c>
      <c r="Z55" s="29">
        <f t="shared" si="3"/>
        <v>10</v>
      </c>
      <c r="AA55" s="29">
        <f t="shared" si="4"/>
        <v>120</v>
      </c>
      <c r="AB55" s="29" t="b">
        <f t="array" ref="AB55">IF(R55="",FALSE,IFERROR(AND(ISNUMBER(MATCH(R55,'Live Medal Table'!$B$2:$B$94,0)),XLOOKUP(R55,'Live Medal Table'!$B$2:$B$94,Countries!$I$2:$I$72,FALSE)),FALSE))</f>
        <v>0</v>
      </c>
    </row>
    <row r="56" ht="15.75" hidden="1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29"/>
      <c r="M56" s="29"/>
      <c r="N56" s="29" t="str">
        <f t="array" ref="N56">IFERROR(IF(INDEX(Entries!$C$2:$C$47,7)="","",INDEX(Entries!$Q$2:$Q$47,7)),"")</f>
        <v>Ben_Greenblatt_bgreen</v>
      </c>
      <c r="O56" s="29" t="str">
        <f t="array" ref="O56">IF(N56="","",IFERROR(INDEX(Entries!$E$2:$E$47,7),""))</f>
        <v>bgreen</v>
      </c>
      <c r="P56" s="29" t="str">
        <f>IF(N56="","","Tier6_Pick1")</f>
        <v>Tier6_Pick1</v>
      </c>
      <c r="Q56" s="29">
        <f t="shared" ref="Q56:Q57" si="18">IF(N56="","",6)</f>
        <v>6</v>
      </c>
      <c r="R56" s="29" t="str">
        <f t="array" ref="R56">IF(N56="","",IFERROR(INDEX(Entries!$O$2:$O$47,7),""))</f>
        <v>Estonia</v>
      </c>
      <c r="S56" s="29" t="str">
        <f t="array" ref="S56">IF(R56="","",IFERROR(XLOOKUP(R56,'Live Medal Table'!$B$2:$B$94,'Live Medal Table'!$C$2:$C$94,"???"),"???"))</f>
        <v>EST</v>
      </c>
      <c r="T56" s="29">
        <f t="array" ref="T56">IF(R56="",0,IFERROR(XLOOKUP(R56,'Live Medal Table'!$B$2:$B$94,'Live Medal Table'!$F$2:$F$94,0),0))</f>
        <v>20</v>
      </c>
      <c r="U56" s="29">
        <f t="array" ref="U56">IF(R56="",0,IFERROR(XLOOKUP(R56,'Live Medal Table'!$B$2:$B$94,'Live Medal Table'!$G$2:$G$94,0),0))</f>
        <v>0</v>
      </c>
      <c r="V56" s="29">
        <f t="array" ref="V56">IF(R56="",0,IFERROR(XLOOKUP(R56,'Live Medal Table'!$B$2:$B$94,'Live Medal Table'!$H$2:$H$94,0),0))</f>
        <v>1</v>
      </c>
      <c r="W56" s="29">
        <f t="array" ref="W56">IF(R56="",0,IFERROR(XLOOKUP(R56,'Live Medal Table'!$B$2:$B$94,'Live Medal Table'!$I$2:$I$94,0),0))</f>
        <v>0</v>
      </c>
      <c r="X56" s="29">
        <f t="shared" si="1"/>
        <v>0</v>
      </c>
      <c r="Y56" s="29">
        <f t="shared" si="2"/>
        <v>40</v>
      </c>
      <c r="Z56" s="29">
        <f t="shared" si="3"/>
        <v>0</v>
      </c>
      <c r="AA56" s="29">
        <f t="shared" si="4"/>
        <v>40</v>
      </c>
      <c r="AB56" s="29" t="b">
        <f t="array" ref="AB56">IF(R56="",FALSE,IFERROR(AND(ISNUMBER(MATCH(R56,'Live Medal Table'!$B$2:$B$94,0)),XLOOKUP(R56,'Live Medal Table'!$B$2:$B$94,Countries!$I$2:$I$72,FALSE)),FALSE))</f>
        <v>0</v>
      </c>
    </row>
    <row r="57" ht="15.75" hidden="1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29"/>
      <c r="M57" s="29"/>
      <c r="N57" s="29" t="str">
        <f t="array" ref="N57">IFERROR(IF(INDEX(Entries!$C$2:$C$47,7)="","",INDEX(Entries!$Q$2:$Q$47,7)),"")</f>
        <v>Ben_Greenblatt_bgreen</v>
      </c>
      <c r="O57" s="29" t="str">
        <f t="array" ref="O57">IF(N57="","",IFERROR(INDEX(Entries!$E$2:$E$47,7),""))</f>
        <v>bgreen</v>
      </c>
      <c r="P57" s="29" t="str">
        <f>IF(N57="","","Tier6_Pick2")</f>
        <v>Tier6_Pick2</v>
      </c>
      <c r="Q57" s="29">
        <f t="shared" si="18"/>
        <v>6</v>
      </c>
      <c r="R57" s="29" t="str">
        <f t="array" ref="R57">IF(N57="","",IFERROR(INDEX(Entries!$P$2:$P$47,7),""))</f>
        <v>Ukraine</v>
      </c>
      <c r="S57" s="29" t="str">
        <f t="array" ref="S57">IF(R57="","",IFERROR(XLOOKUP(R57,'Live Medal Table'!$B$2:$B$94,'Live Medal Table'!$C$2:$C$94,"???"),"???"))</f>
        <v>UKR</v>
      </c>
      <c r="T57" s="29">
        <f t="array" ref="T57">IF(R57="",0,IFERROR(XLOOKUP(R57,'Live Medal Table'!$B$2:$B$94,'Live Medal Table'!$F$2:$F$94,0),0))</f>
        <v>20</v>
      </c>
      <c r="U57" s="29">
        <f t="array" ref="U57">IF(R57="",0,IFERROR(XLOOKUP(R57,'Live Medal Table'!$B$2:$B$94,'Live Medal Table'!$G$2:$G$94,0),0))</f>
        <v>0</v>
      </c>
      <c r="V57" s="29">
        <f t="array" ref="V57">IF(R57="",0,IFERROR(XLOOKUP(R57,'Live Medal Table'!$B$2:$B$94,'Live Medal Table'!$H$2:$H$94,0),0))</f>
        <v>0</v>
      </c>
      <c r="W57" s="29">
        <f t="array" ref="W57">IF(R57="",0,IFERROR(XLOOKUP(R57,'Live Medal Table'!$B$2:$B$94,'Live Medal Table'!$I$2:$I$94,0),0))</f>
        <v>0</v>
      </c>
      <c r="X57" s="29">
        <f t="shared" si="1"/>
        <v>0</v>
      </c>
      <c r="Y57" s="29">
        <f t="shared" si="2"/>
        <v>0</v>
      </c>
      <c r="Z57" s="29">
        <f t="shared" si="3"/>
        <v>0</v>
      </c>
      <c r="AA57" s="29">
        <f t="shared" si="4"/>
        <v>0</v>
      </c>
      <c r="AB57" s="29" t="b">
        <f t="array" ref="AB57">IF(R57="",FALSE,IFERROR(AND(ISNUMBER(MATCH(R57,'Live Medal Table'!$B$2:$B$94,0)),XLOOKUP(R57,'Live Medal Table'!$B$2:$B$94,Countries!$I$2:$I$72,FALSE)),FALSE))</f>
        <v>0</v>
      </c>
    </row>
    <row r="58" ht="15.75" hidden="1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29"/>
      <c r="M58" s="29"/>
      <c r="N58" s="29" t="str">
        <f t="array" ref="N58">IFERROR(IF(INDEX(Entries!$C$2:$C$47,8)="","",INDEX(Entries!$Q$2:$Q$47,8)),"")</f>
        <v>Kyle_Borst_kborst13</v>
      </c>
      <c r="O58" s="29" t="str">
        <f t="array" ref="O58">IF(N58="","",IFERROR(INDEX(Entries!$E$2:$E$47,8),""))</f>
        <v>kborst13</v>
      </c>
      <c r="P58" s="29" t="str">
        <f>IF(N58="","","Tier1_Pick1")</f>
        <v>Tier1_Pick1</v>
      </c>
      <c r="Q58" s="29">
        <f>IF(N58="","",1)</f>
        <v>1</v>
      </c>
      <c r="R58" s="29" t="str">
        <f t="array" ref="R58">IF(N58="","",IFERROR(INDEX(Entries!$F$2:$F$47,8),""))</f>
        <v>Norway</v>
      </c>
      <c r="S58" s="29" t="str">
        <f t="array" ref="S58">IF(R58="","",IFERROR(XLOOKUP(R58,'Live Medal Table'!$B$2:$B$94,'Live Medal Table'!$C$2:$C$94,"???"),"???"))</f>
        <v>NOR</v>
      </c>
      <c r="T58" s="29">
        <f t="array" ref="T58">IF(R58="",0,IFERROR(XLOOKUP(R58,'Live Medal Table'!$B$2:$B$94,'Live Medal Table'!$F$2:$F$94,0),0))</f>
        <v>1</v>
      </c>
      <c r="U58" s="29">
        <f t="array" ref="U58">IF(R58="",0,IFERROR(XLOOKUP(R58,'Live Medal Table'!$B$2:$B$94,'Live Medal Table'!$G$2:$G$94,0),0))</f>
        <v>18</v>
      </c>
      <c r="V58" s="29">
        <f t="array" ref="V58">IF(R58="",0,IFERROR(XLOOKUP(R58,'Live Medal Table'!$B$2:$B$94,'Live Medal Table'!$H$2:$H$94,0),0))</f>
        <v>12</v>
      </c>
      <c r="W58" s="29">
        <f t="array" ref="W58">IF(R58="",0,IFERROR(XLOOKUP(R58,'Live Medal Table'!$B$2:$B$94,'Live Medal Table'!$I$2:$I$94,0),0))</f>
        <v>11</v>
      </c>
      <c r="X58" s="29">
        <f t="shared" si="1"/>
        <v>54</v>
      </c>
      <c r="Y58" s="29">
        <f t="shared" si="2"/>
        <v>24</v>
      </c>
      <c r="Z58" s="29">
        <f t="shared" si="3"/>
        <v>11</v>
      </c>
      <c r="AA58" s="29">
        <f t="shared" si="4"/>
        <v>89</v>
      </c>
      <c r="AB58" s="29" t="b">
        <f t="array" ref="AB58">IF(R58="",FALSE,IFERROR(AND(ISNUMBER(MATCH(R58,'Live Medal Table'!$B$2:$B$94,0)),XLOOKUP(R58,'Live Medal Table'!$B$2:$B$94,Countries!$I$2:$I$72,FALSE)),FALSE))</f>
        <v>0</v>
      </c>
    </row>
    <row r="59" ht="15.75" hidden="1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29"/>
      <c r="M59" s="29"/>
      <c r="N59" s="29" t="str">
        <f t="array" ref="N59">IFERROR(IF(INDEX(Entries!$C$2:$C$47,8)="","",INDEX(Entries!$Q$2:$Q$47,8)),"")</f>
        <v>Kyle_Borst_kborst13</v>
      </c>
      <c r="O59" s="29" t="str">
        <f t="array" ref="O59">IF(N59="","",IFERROR(INDEX(Entries!$E$2:$E$47,8),""))</f>
        <v>kborst13</v>
      </c>
      <c r="P59" s="29" t="str">
        <f>IF(N59="","","Tier2_Pick1")</f>
        <v>Tier2_Pick1</v>
      </c>
      <c r="Q59" s="29">
        <f t="shared" ref="Q59:Q60" si="19">IF(N59="","",2)</f>
        <v>2</v>
      </c>
      <c r="R59" s="29" t="str">
        <f t="array" ref="R59">IF(N59="","",IFERROR(INDEX(Entries!$M$2:$M$47,8),""))</f>
        <v>Austria</v>
      </c>
      <c r="S59" s="29" t="str">
        <f t="array" ref="S59">IF(R59="","",IFERROR(XLOOKUP(R59,'Live Medal Table'!$B$2:$B$94,'Live Medal Table'!$C$2:$C$94,"???"),"???"))</f>
        <v>AUT</v>
      </c>
      <c r="T59" s="29">
        <f t="array" ref="T59">IF(R59="",0,IFERROR(XLOOKUP(R59,'Live Medal Table'!$B$2:$B$94,'Live Medal Table'!$F$2:$F$94,0),0))</f>
        <v>2</v>
      </c>
      <c r="U59" s="29">
        <f t="array" ref="U59">IF(R59="",0,IFERROR(XLOOKUP(R59,'Live Medal Table'!$B$2:$B$94,'Live Medal Table'!$G$2:$G$94,0),0))</f>
        <v>5</v>
      </c>
      <c r="V59" s="29">
        <f t="array" ref="V59">IF(R59="",0,IFERROR(XLOOKUP(R59,'Live Medal Table'!$B$2:$B$94,'Live Medal Table'!$H$2:$H$94,0),0))</f>
        <v>8</v>
      </c>
      <c r="W59" s="29">
        <f t="array" ref="W59">IF(R59="",0,IFERROR(XLOOKUP(R59,'Live Medal Table'!$B$2:$B$94,'Live Medal Table'!$I$2:$I$94,0),0))</f>
        <v>5</v>
      </c>
      <c r="X59" s="29">
        <f t="shared" si="1"/>
        <v>30</v>
      </c>
      <c r="Y59" s="29">
        <f t="shared" si="2"/>
        <v>32</v>
      </c>
      <c r="Z59" s="29">
        <f t="shared" si="3"/>
        <v>10</v>
      </c>
      <c r="AA59" s="29">
        <f t="shared" si="4"/>
        <v>72</v>
      </c>
      <c r="AB59" s="29" t="b">
        <f t="array" ref="AB59">IF(R59="",FALSE,IFERROR(AND(ISNUMBER(MATCH(R59,'Live Medal Table'!$B$2:$B$94,0)),XLOOKUP(R59,'Live Medal Table'!$B$2:$B$94,Countries!$I$2:$I$72,FALSE)),FALSE))</f>
        <v>0</v>
      </c>
    </row>
    <row r="60" ht="15.75" hidden="1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29"/>
      <c r="M60" s="29"/>
      <c r="N60" s="29" t="str">
        <f t="array" ref="N60">IFERROR(IF(INDEX(Entries!$C$2:$C$47,8)="","",INDEX(Entries!$Q$2:$Q$47,8)),"")</f>
        <v>Kyle_Borst_kborst13</v>
      </c>
      <c r="O60" s="29" t="str">
        <f t="array" ref="O60">IF(N60="","",IFERROR(INDEX(Entries!$E$2:$E$47,8),""))</f>
        <v>kborst13</v>
      </c>
      <c r="P60" s="29" t="str">
        <f>IF(N60="","","Tier2_Pick2")</f>
        <v>Tier2_Pick2</v>
      </c>
      <c r="Q60" s="29">
        <f t="shared" si="19"/>
        <v>2</v>
      </c>
      <c r="R60" s="29" t="str">
        <f t="array" ref="R60">IF(N60="","",IFERROR(INDEX(Entries!$N$2:$N$47,8),""))</f>
        <v>Netherlands</v>
      </c>
      <c r="S60" s="29" t="str">
        <f t="array" ref="S60">IF(R60="","",IFERROR(XLOOKUP(R60,'Live Medal Table'!$B$2:$B$94,'Live Medal Table'!$C$2:$C$94,"???"),"???"))</f>
        <v>NED</v>
      </c>
      <c r="T60" s="29">
        <f t="array" ref="T60">IF(R60="",0,IFERROR(XLOOKUP(R60,'Live Medal Table'!$B$2:$B$94,'Live Medal Table'!$F$2:$F$94,0),0))</f>
        <v>2</v>
      </c>
      <c r="U60" s="29">
        <f t="array" ref="U60">IF(R60="",0,IFERROR(XLOOKUP(R60,'Live Medal Table'!$B$2:$B$94,'Live Medal Table'!$G$2:$G$94,0),0))</f>
        <v>10</v>
      </c>
      <c r="V60" s="29">
        <f t="array" ref="V60">IF(R60="",0,IFERROR(XLOOKUP(R60,'Live Medal Table'!$B$2:$B$94,'Live Medal Table'!$H$2:$H$94,0),0))</f>
        <v>7</v>
      </c>
      <c r="W60" s="29">
        <f t="array" ref="W60">IF(R60="",0,IFERROR(XLOOKUP(R60,'Live Medal Table'!$B$2:$B$94,'Live Medal Table'!$I$2:$I$94,0),0))</f>
        <v>3</v>
      </c>
      <c r="X60" s="29">
        <f t="shared" si="1"/>
        <v>60</v>
      </c>
      <c r="Y60" s="29">
        <f t="shared" si="2"/>
        <v>28</v>
      </c>
      <c r="Z60" s="29">
        <f t="shared" si="3"/>
        <v>6</v>
      </c>
      <c r="AA60" s="29">
        <f t="shared" si="4"/>
        <v>94</v>
      </c>
      <c r="AB60" s="29" t="b">
        <f t="array" ref="AB60">IF(R60="",FALSE,IFERROR(AND(ISNUMBER(MATCH(R60,'Live Medal Table'!$B$2:$B$94,0)),XLOOKUP(R60,'Live Medal Table'!$B$2:$B$94,Countries!$I$2:$I$72,FALSE)),FALSE))</f>
        <v>0</v>
      </c>
    </row>
    <row r="61" ht="15.75" hidden="1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29"/>
      <c r="M61" s="29"/>
      <c r="N61" s="29" t="str">
        <f t="array" ref="N61">IFERROR(IF(INDEX(Entries!$C$2:$C$47,8)="","",INDEX(Entries!$Q$2:$Q$47,8)),"")</f>
        <v>Kyle_Borst_kborst13</v>
      </c>
      <c r="O61" s="29" t="str">
        <f t="array" ref="O61">IF(N61="","",IFERROR(INDEX(Entries!$E$2:$E$47,8),""))</f>
        <v>kborst13</v>
      </c>
      <c r="P61" s="29" t="str">
        <f>IF(N61="","","Tier3_Pick1")</f>
        <v>Tier3_Pick1</v>
      </c>
      <c r="Q61" s="29">
        <f>IF(N61="","",3)</f>
        <v>3</v>
      </c>
      <c r="R61" s="29" t="str">
        <f t="array" ref="R61">IF(N61="","",IFERROR(INDEX(Entries!$H$2:$H$47,8),""))</f>
        <v>China</v>
      </c>
      <c r="S61" s="29" t="str">
        <f t="array" ref="S61">IF(R61="","",IFERROR(XLOOKUP(R61,'Live Medal Table'!$B$2:$B$94,'Live Medal Table'!$C$2:$C$94,"???"),"???"))</f>
        <v>CHN</v>
      </c>
      <c r="T61" s="29">
        <f t="array" ref="T61">IF(R61="",0,IFERROR(XLOOKUP(R61,'Live Medal Table'!$B$2:$B$94,'Live Medal Table'!$F$2:$F$94,0),0))</f>
        <v>3</v>
      </c>
      <c r="U61" s="29">
        <f t="array" ref="U61">IF(R61="",0,IFERROR(XLOOKUP(R61,'Live Medal Table'!$B$2:$B$94,'Live Medal Table'!$G$2:$G$94,0),0))</f>
        <v>5</v>
      </c>
      <c r="V61" s="29">
        <f t="array" ref="V61">IF(R61="",0,IFERROR(XLOOKUP(R61,'Live Medal Table'!$B$2:$B$94,'Live Medal Table'!$H$2:$H$94,0),0))</f>
        <v>4</v>
      </c>
      <c r="W61" s="29">
        <f t="array" ref="W61">IF(R61="",0,IFERROR(XLOOKUP(R61,'Live Medal Table'!$B$2:$B$94,'Live Medal Table'!$I$2:$I$94,0),0))</f>
        <v>6</v>
      </c>
      <c r="X61" s="29">
        <f t="shared" si="1"/>
        <v>45</v>
      </c>
      <c r="Y61" s="29">
        <f t="shared" si="2"/>
        <v>24</v>
      </c>
      <c r="Z61" s="29">
        <f t="shared" si="3"/>
        <v>18</v>
      </c>
      <c r="AA61" s="29">
        <f t="shared" si="4"/>
        <v>87</v>
      </c>
      <c r="AB61" s="29" t="b">
        <f t="array" ref="AB61">IF(R61="",FALSE,IFERROR(AND(ISNUMBER(MATCH(R61,'Live Medal Table'!$B$2:$B$94,0)),XLOOKUP(R61,'Live Medal Table'!$B$2:$B$94,Countries!$I$2:$I$72,FALSE)),FALSE))</f>
        <v>0</v>
      </c>
    </row>
    <row r="62" ht="15.75" hidden="1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29"/>
      <c r="M62" s="29"/>
      <c r="N62" s="29" t="str">
        <f t="array" ref="N62">IFERROR(IF(INDEX(Entries!$C$2:$C$47,8)="","",INDEX(Entries!$Q$2:$Q$47,8)),"")</f>
        <v>Kyle_Borst_kborst13</v>
      </c>
      <c r="O62" s="29" t="str">
        <f t="array" ref="O62">IF(N62="","",IFERROR(INDEX(Entries!$E$2:$E$47,8),""))</f>
        <v>kborst13</v>
      </c>
      <c r="P62" s="29" t="str">
        <f>IF(N62="","","Tier4_Pick1")</f>
        <v>Tier4_Pick1</v>
      </c>
      <c r="Q62" s="29">
        <f>IF(N62="","",4)</f>
        <v>4</v>
      </c>
      <c r="R62" s="29" t="str">
        <f t="array" ref="R62">IF(N62="","",IFERROR(INDEX(Entries!$I$2:$I$47,8),""))</f>
        <v>Finland</v>
      </c>
      <c r="S62" s="29" t="str">
        <f t="array" ref="S62">IF(R62="","",IFERROR(XLOOKUP(R62,'Live Medal Table'!$B$2:$B$94,'Live Medal Table'!$C$2:$C$94,"???"),"???"))</f>
        <v>FIN</v>
      </c>
      <c r="T62" s="29">
        <f t="array" ref="T62">IF(R62="",0,IFERROR(XLOOKUP(R62,'Live Medal Table'!$B$2:$B$94,'Live Medal Table'!$F$2:$F$94,0),0))</f>
        <v>6</v>
      </c>
      <c r="U62" s="29">
        <f t="array" ref="U62">IF(R62="",0,IFERROR(XLOOKUP(R62,'Live Medal Table'!$B$2:$B$94,'Live Medal Table'!$G$2:$G$94,0),0))</f>
        <v>0</v>
      </c>
      <c r="V62" s="29">
        <f t="array" ref="V62">IF(R62="",0,IFERROR(XLOOKUP(R62,'Live Medal Table'!$B$2:$B$94,'Live Medal Table'!$H$2:$H$94,0),0))</f>
        <v>1</v>
      </c>
      <c r="W62" s="29">
        <f t="array" ref="W62">IF(R62="",0,IFERROR(XLOOKUP(R62,'Live Medal Table'!$B$2:$B$94,'Live Medal Table'!$I$2:$I$94,0),0))</f>
        <v>5</v>
      </c>
      <c r="X62" s="29">
        <f t="shared" si="1"/>
        <v>0</v>
      </c>
      <c r="Y62" s="29">
        <f t="shared" si="2"/>
        <v>12</v>
      </c>
      <c r="Z62" s="29">
        <f t="shared" si="3"/>
        <v>30</v>
      </c>
      <c r="AA62" s="29">
        <f t="shared" si="4"/>
        <v>42</v>
      </c>
      <c r="AB62" s="29" t="b">
        <f t="array" ref="AB62">IF(R62="",FALSE,IFERROR(AND(ISNUMBER(MATCH(R62,'Live Medal Table'!$B$2:$B$94,0)),XLOOKUP(R62,'Live Medal Table'!$B$2:$B$94,Countries!$I$2:$I$72,FALSE)),FALSE))</f>
        <v>0</v>
      </c>
    </row>
    <row r="63" ht="15.75" hidden="1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29"/>
      <c r="M63" s="29"/>
      <c r="N63" s="29" t="str">
        <f t="array" ref="N63">IFERROR(IF(INDEX(Entries!$C$2:$C$47,8)="","",INDEX(Entries!$Q$2:$Q$47,8)),"")</f>
        <v>Kyle_Borst_kborst13</v>
      </c>
      <c r="O63" s="29" t="str">
        <f t="array" ref="O63">IF(N63="","",IFERROR(INDEX(Entries!$E$2:$E$47,8),""))</f>
        <v>kborst13</v>
      </c>
      <c r="P63" s="29" t="str">
        <f>IF(N63="","","Tier5_Pick1")</f>
        <v>Tier5_Pick1</v>
      </c>
      <c r="Q63" s="29">
        <f>IF(N63="","",5)</f>
        <v>5</v>
      </c>
      <c r="R63" s="29" t="str">
        <f t="array" ref="R63">IF(N63="","",IFERROR(INDEX(Entries!$J$2:$J$47,8),""))</f>
        <v>Great Britain</v>
      </c>
      <c r="S63" s="29" t="str">
        <f t="array" ref="S63">IF(R63="","",IFERROR(XLOOKUP(R63,'Live Medal Table'!$B$2:$B$94,'Live Medal Table'!$C$2:$C$94,"???"),"???"))</f>
        <v>GBR</v>
      </c>
      <c r="T63" s="29">
        <f t="array" ref="T63">IF(R63="",0,IFERROR(XLOOKUP(R63,'Live Medal Table'!$B$2:$B$94,'Live Medal Table'!$F$2:$F$94,0),0))</f>
        <v>10</v>
      </c>
      <c r="U63" s="29">
        <f t="array" ref="U63">IF(R63="",0,IFERROR(XLOOKUP(R63,'Live Medal Table'!$B$2:$B$94,'Live Medal Table'!$G$2:$G$94,0),0))</f>
        <v>3</v>
      </c>
      <c r="V63" s="29">
        <f t="array" ref="V63">IF(R63="",0,IFERROR(XLOOKUP(R63,'Live Medal Table'!$B$2:$B$94,'Live Medal Table'!$H$2:$H$94,0),0))</f>
        <v>1</v>
      </c>
      <c r="W63" s="29">
        <f t="array" ref="W63">IF(R63="",0,IFERROR(XLOOKUP(R63,'Live Medal Table'!$B$2:$B$94,'Live Medal Table'!$I$2:$I$94,0),0))</f>
        <v>1</v>
      </c>
      <c r="X63" s="29">
        <f t="shared" si="1"/>
        <v>90</v>
      </c>
      <c r="Y63" s="29">
        <f t="shared" si="2"/>
        <v>20</v>
      </c>
      <c r="Z63" s="29">
        <f t="shared" si="3"/>
        <v>10</v>
      </c>
      <c r="AA63" s="29">
        <f t="shared" si="4"/>
        <v>120</v>
      </c>
      <c r="AB63" s="29" t="b">
        <f t="array" ref="AB63">IF(R63="",FALSE,IFERROR(AND(ISNUMBER(MATCH(R63,'Live Medal Table'!$B$2:$B$94,0)),XLOOKUP(R63,'Live Medal Table'!$B$2:$B$94,Countries!$I$2:$I$72,FALSE)),FALSE))</f>
        <v>0</v>
      </c>
    </row>
    <row r="64" ht="15.75" hidden="1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29"/>
      <c r="M64" s="29"/>
      <c r="N64" s="29" t="str">
        <f t="array" ref="N64">IFERROR(IF(INDEX(Entries!$C$2:$C$47,8)="","",INDEX(Entries!$Q$2:$Q$47,8)),"")</f>
        <v>Kyle_Borst_kborst13</v>
      </c>
      <c r="O64" s="29" t="str">
        <f t="array" ref="O64">IF(N64="","",IFERROR(INDEX(Entries!$E$2:$E$47,8),""))</f>
        <v>kborst13</v>
      </c>
      <c r="P64" s="29" t="str">
        <f>IF(N64="","","Tier6_Pick1")</f>
        <v>Tier6_Pick1</v>
      </c>
      <c r="Q64" s="29">
        <f t="shared" ref="Q64:Q65" si="20">IF(N64="","",6)</f>
        <v>6</v>
      </c>
      <c r="R64" s="29" t="str">
        <f t="array" ref="R64">IF(N64="","",IFERROR(INDEX(Entries!$O$2:$O$47,8),""))</f>
        <v>Belgium</v>
      </c>
      <c r="S64" s="29" t="str">
        <f t="array" ref="S64">IF(R64="","",IFERROR(XLOOKUP(R64,'Live Medal Table'!$B$2:$B$94,'Live Medal Table'!$C$2:$C$94,"???"),"???"))</f>
        <v>BEL</v>
      </c>
      <c r="T64" s="29">
        <f t="array" ref="T64">IF(R64="",0,IFERROR(XLOOKUP(R64,'Live Medal Table'!$B$2:$B$94,'Live Medal Table'!$F$2:$F$94,0),0))</f>
        <v>20</v>
      </c>
      <c r="U64" s="29">
        <f t="array" ref="U64">IF(R64="",0,IFERROR(XLOOKUP(R64,'Live Medal Table'!$B$2:$B$94,'Live Medal Table'!$G$2:$G$94,0),0))</f>
        <v>0</v>
      </c>
      <c r="V64" s="29">
        <f t="array" ref="V64">IF(R64="",0,IFERROR(XLOOKUP(R64,'Live Medal Table'!$B$2:$B$94,'Live Medal Table'!$H$2:$H$94,0),0))</f>
        <v>0</v>
      </c>
      <c r="W64" s="29">
        <f t="array" ref="W64">IF(R64="",0,IFERROR(XLOOKUP(R64,'Live Medal Table'!$B$2:$B$94,'Live Medal Table'!$I$2:$I$94,0),0))</f>
        <v>1</v>
      </c>
      <c r="X64" s="29">
        <f t="shared" si="1"/>
        <v>0</v>
      </c>
      <c r="Y64" s="29">
        <f t="shared" si="2"/>
        <v>0</v>
      </c>
      <c r="Z64" s="29">
        <f t="shared" si="3"/>
        <v>20</v>
      </c>
      <c r="AA64" s="29">
        <f t="shared" si="4"/>
        <v>20</v>
      </c>
      <c r="AB64" s="29" t="b">
        <f t="array" ref="AB64">IF(R64="",FALSE,IFERROR(AND(ISNUMBER(MATCH(R64,'Live Medal Table'!$B$2:$B$94,0)),XLOOKUP(R64,'Live Medal Table'!$B$2:$B$94,Countries!$I$2:$I$72,FALSE)),FALSE))</f>
        <v>0</v>
      </c>
    </row>
    <row r="65" ht="15.75" hidden="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29"/>
      <c r="M65" s="29"/>
      <c r="N65" s="29" t="str">
        <f t="array" ref="N65">IFERROR(IF(INDEX(Entries!$C$2:$C$47,8)="","",INDEX(Entries!$Q$2:$Q$47,8)),"")</f>
        <v>Kyle_Borst_kborst13</v>
      </c>
      <c r="O65" s="29" t="str">
        <f t="array" ref="O65">IF(N65="","",IFERROR(INDEX(Entries!$E$2:$E$47,8),""))</f>
        <v>kborst13</v>
      </c>
      <c r="P65" s="29" t="str">
        <f>IF(N65="","","Tier6_Pick2")</f>
        <v>Tier6_Pick2</v>
      </c>
      <c r="Q65" s="29">
        <f t="shared" si="20"/>
        <v>6</v>
      </c>
      <c r="R65" s="29" t="str">
        <f t="array" ref="R65">IF(N65="","",IFERROR(INDEX(Entries!$P$2:$P$47,8),""))</f>
        <v>Estonia</v>
      </c>
      <c r="S65" s="29" t="str">
        <f t="array" ref="S65">IF(R65="","",IFERROR(XLOOKUP(R65,'Live Medal Table'!$B$2:$B$94,'Live Medal Table'!$C$2:$C$94,"???"),"???"))</f>
        <v>EST</v>
      </c>
      <c r="T65" s="29">
        <f t="array" ref="T65">IF(R65="",0,IFERROR(XLOOKUP(R65,'Live Medal Table'!$B$2:$B$94,'Live Medal Table'!$F$2:$F$94,0),0))</f>
        <v>20</v>
      </c>
      <c r="U65" s="29">
        <f t="array" ref="U65">IF(R65="",0,IFERROR(XLOOKUP(R65,'Live Medal Table'!$B$2:$B$94,'Live Medal Table'!$G$2:$G$94,0),0))</f>
        <v>0</v>
      </c>
      <c r="V65" s="29">
        <f t="array" ref="V65">IF(R65="",0,IFERROR(XLOOKUP(R65,'Live Medal Table'!$B$2:$B$94,'Live Medal Table'!$H$2:$H$94,0),0))</f>
        <v>1</v>
      </c>
      <c r="W65" s="29">
        <f t="array" ref="W65">IF(R65="",0,IFERROR(XLOOKUP(R65,'Live Medal Table'!$B$2:$B$94,'Live Medal Table'!$I$2:$I$94,0),0))</f>
        <v>0</v>
      </c>
      <c r="X65" s="29">
        <f t="shared" si="1"/>
        <v>0</v>
      </c>
      <c r="Y65" s="29">
        <f t="shared" si="2"/>
        <v>40</v>
      </c>
      <c r="Z65" s="29">
        <f t="shared" si="3"/>
        <v>0</v>
      </c>
      <c r="AA65" s="29">
        <f t="shared" si="4"/>
        <v>40</v>
      </c>
      <c r="AB65" s="29" t="b">
        <f t="array" ref="AB65">IF(R65="",FALSE,IFERROR(AND(ISNUMBER(MATCH(R65,'Live Medal Table'!$B$2:$B$94,0)),XLOOKUP(R65,'Live Medal Table'!$B$2:$B$94,Countries!$I$2:$I$72,FALSE)),FALSE))</f>
        <v>0</v>
      </c>
    </row>
    <row r="66" ht="15.75" hidden="1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29"/>
      <c r="M66" s="29"/>
      <c r="N66" s="29" t="str">
        <f t="array" ref="N66">IFERROR(IF(INDEX(Entries!$C$2:$C$47,9)="","",INDEX(Entries!$Q$2:$Q$47,9)),"")</f>
        <v>Sean_McAteer_SMAC</v>
      </c>
      <c r="O66" s="29" t="str">
        <f t="array" ref="O66">IF(N66="","",IFERROR(INDEX(Entries!$E$2:$E$47,9),""))</f>
        <v>SMAC</v>
      </c>
      <c r="P66" s="29" t="str">
        <f>IF(N66="","","Tier1_Pick1")</f>
        <v>Tier1_Pick1</v>
      </c>
      <c r="Q66" s="29">
        <f>IF(N66="","",1)</f>
        <v>1</v>
      </c>
      <c r="R66" s="29" t="str">
        <f t="array" ref="R66">IF(N66="","",IFERROR(INDEX(Entries!$F$2:$F$47,9),""))</f>
        <v>Norway</v>
      </c>
      <c r="S66" s="29" t="str">
        <f t="array" ref="S66">IF(R66="","",IFERROR(XLOOKUP(R66,'Live Medal Table'!$B$2:$B$94,'Live Medal Table'!$C$2:$C$94,"???"),"???"))</f>
        <v>NOR</v>
      </c>
      <c r="T66" s="29">
        <f t="array" ref="T66">IF(R66="",0,IFERROR(XLOOKUP(R66,'Live Medal Table'!$B$2:$B$94,'Live Medal Table'!$F$2:$F$94,0),0))</f>
        <v>1</v>
      </c>
      <c r="U66" s="29">
        <f t="array" ref="U66">IF(R66="",0,IFERROR(XLOOKUP(R66,'Live Medal Table'!$B$2:$B$94,'Live Medal Table'!$G$2:$G$94,0),0))</f>
        <v>18</v>
      </c>
      <c r="V66" s="29">
        <f t="array" ref="V66">IF(R66="",0,IFERROR(XLOOKUP(R66,'Live Medal Table'!$B$2:$B$94,'Live Medal Table'!$H$2:$H$94,0),0))</f>
        <v>12</v>
      </c>
      <c r="W66" s="29">
        <f t="array" ref="W66">IF(R66="",0,IFERROR(XLOOKUP(R66,'Live Medal Table'!$B$2:$B$94,'Live Medal Table'!$I$2:$I$94,0),0))</f>
        <v>11</v>
      </c>
      <c r="X66" s="29">
        <f t="shared" si="1"/>
        <v>54</v>
      </c>
      <c r="Y66" s="29">
        <f t="shared" si="2"/>
        <v>24</v>
      </c>
      <c r="Z66" s="29">
        <f t="shared" si="3"/>
        <v>11</v>
      </c>
      <c r="AA66" s="29">
        <f t="shared" si="4"/>
        <v>89</v>
      </c>
      <c r="AB66" s="29" t="b">
        <f t="array" ref="AB66">IF(R66="",FALSE,IFERROR(AND(ISNUMBER(MATCH(R66,'Live Medal Table'!$B$2:$B$94,0)),XLOOKUP(R66,'Live Medal Table'!$B$2:$B$94,Countries!$I$2:$I$72,FALSE)),FALSE))</f>
        <v>0</v>
      </c>
    </row>
    <row r="67" ht="15.75" hidden="1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29"/>
      <c r="M67" s="29"/>
      <c r="N67" s="29" t="str">
        <f t="array" ref="N67">IFERROR(IF(INDEX(Entries!$C$2:$C$47,9)="","",INDEX(Entries!$Q$2:$Q$47,9)),"")</f>
        <v>Sean_McAteer_SMAC</v>
      </c>
      <c r="O67" s="29" t="str">
        <f t="array" ref="O67">IF(N67="","",IFERROR(INDEX(Entries!$E$2:$E$47,9),""))</f>
        <v>SMAC</v>
      </c>
      <c r="P67" s="29" t="str">
        <f>IF(N67="","","Tier2_Pick1")</f>
        <v>Tier2_Pick1</v>
      </c>
      <c r="Q67" s="29">
        <f t="shared" ref="Q67:Q68" si="21">IF(N67="","",2)</f>
        <v>2</v>
      </c>
      <c r="R67" s="29" t="str">
        <f t="array" ref="R67">IF(N67="","",IFERROR(INDEX(Entries!$M$2:$M$47,9),""))</f>
        <v>Netherlands</v>
      </c>
      <c r="S67" s="29" t="str">
        <f t="array" ref="S67">IF(R67="","",IFERROR(XLOOKUP(R67,'Live Medal Table'!$B$2:$B$94,'Live Medal Table'!$C$2:$C$94,"???"),"???"))</f>
        <v>NED</v>
      </c>
      <c r="T67" s="29">
        <f t="array" ref="T67">IF(R67="",0,IFERROR(XLOOKUP(R67,'Live Medal Table'!$B$2:$B$94,'Live Medal Table'!$F$2:$F$94,0),0))</f>
        <v>2</v>
      </c>
      <c r="U67" s="29">
        <f t="array" ref="U67">IF(R67="",0,IFERROR(XLOOKUP(R67,'Live Medal Table'!$B$2:$B$94,'Live Medal Table'!$G$2:$G$94,0),0))</f>
        <v>10</v>
      </c>
      <c r="V67" s="29">
        <f t="array" ref="V67">IF(R67="",0,IFERROR(XLOOKUP(R67,'Live Medal Table'!$B$2:$B$94,'Live Medal Table'!$H$2:$H$94,0),0))</f>
        <v>7</v>
      </c>
      <c r="W67" s="29">
        <f t="array" ref="W67">IF(R67="",0,IFERROR(XLOOKUP(R67,'Live Medal Table'!$B$2:$B$94,'Live Medal Table'!$I$2:$I$94,0),0))</f>
        <v>3</v>
      </c>
      <c r="X67" s="29">
        <f t="shared" si="1"/>
        <v>60</v>
      </c>
      <c r="Y67" s="29">
        <f t="shared" si="2"/>
        <v>28</v>
      </c>
      <c r="Z67" s="29">
        <f t="shared" si="3"/>
        <v>6</v>
      </c>
      <c r="AA67" s="29">
        <f t="shared" si="4"/>
        <v>94</v>
      </c>
      <c r="AB67" s="29" t="b">
        <f t="array" ref="AB67">IF(R67="",FALSE,IFERROR(AND(ISNUMBER(MATCH(R67,'Live Medal Table'!$B$2:$B$94,0)),XLOOKUP(R67,'Live Medal Table'!$B$2:$B$94,Countries!$I$2:$I$72,FALSE)),FALSE))</f>
        <v>0</v>
      </c>
    </row>
    <row r="68" ht="15.75" hidden="1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29"/>
      <c r="M68" s="29"/>
      <c r="N68" s="29" t="str">
        <f t="array" ref="N68">IFERROR(IF(INDEX(Entries!$C$2:$C$47,9)="","",INDEX(Entries!$Q$2:$Q$47,9)),"")</f>
        <v>Sean_McAteer_SMAC</v>
      </c>
      <c r="O68" s="29" t="str">
        <f t="array" ref="O68">IF(N68="","",IFERROR(INDEX(Entries!$E$2:$E$47,9),""))</f>
        <v>SMAC</v>
      </c>
      <c r="P68" s="29" t="str">
        <f>IF(N68="","","Tier2_Pick2")</f>
        <v>Tier2_Pick2</v>
      </c>
      <c r="Q68" s="29">
        <f t="shared" si="21"/>
        <v>2</v>
      </c>
      <c r="R68" s="29" t="str">
        <f t="array" ref="R68">IF(N68="","",IFERROR(INDEX(Entries!$N$2:$N$47,9),""))</f>
        <v>Switzerland</v>
      </c>
      <c r="S68" s="29" t="str">
        <f t="array" ref="S68">IF(R68="","",IFERROR(XLOOKUP(R68,'Live Medal Table'!$B$2:$B$94,'Live Medal Table'!$C$2:$C$94,"???"),"???"))</f>
        <v>SUI</v>
      </c>
      <c r="T68" s="29">
        <f t="array" ref="T68">IF(R68="",0,IFERROR(XLOOKUP(R68,'Live Medal Table'!$B$2:$B$94,'Live Medal Table'!$F$2:$F$94,0),0))</f>
        <v>2</v>
      </c>
      <c r="U68" s="29">
        <f t="array" ref="U68">IF(R68="",0,IFERROR(XLOOKUP(R68,'Live Medal Table'!$B$2:$B$94,'Live Medal Table'!$G$2:$G$94,0),0))</f>
        <v>6</v>
      </c>
      <c r="V68" s="29">
        <f t="array" ref="V68">IF(R68="",0,IFERROR(XLOOKUP(R68,'Live Medal Table'!$B$2:$B$94,'Live Medal Table'!$H$2:$H$94,0),0))</f>
        <v>9</v>
      </c>
      <c r="W68" s="29">
        <f t="array" ref="W68">IF(R68="",0,IFERROR(XLOOKUP(R68,'Live Medal Table'!$B$2:$B$94,'Live Medal Table'!$I$2:$I$94,0),0))</f>
        <v>8</v>
      </c>
      <c r="X68" s="29">
        <f t="shared" si="1"/>
        <v>36</v>
      </c>
      <c r="Y68" s="29">
        <f t="shared" si="2"/>
        <v>36</v>
      </c>
      <c r="Z68" s="29">
        <f t="shared" si="3"/>
        <v>16</v>
      </c>
      <c r="AA68" s="29">
        <f t="shared" si="4"/>
        <v>88</v>
      </c>
      <c r="AB68" s="29" t="b">
        <f t="array" ref="AB68">IF(R68="",FALSE,IFERROR(AND(ISNUMBER(MATCH(R68,'Live Medal Table'!$B$2:$B$94,0)),XLOOKUP(R68,'Live Medal Table'!$B$2:$B$94,Countries!$I$2:$I$72,FALSE)),FALSE))</f>
        <v>0</v>
      </c>
    </row>
    <row r="69" ht="15.75" hidden="1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29"/>
      <c r="M69" s="29"/>
      <c r="N69" s="29" t="str">
        <f t="array" ref="N69">IFERROR(IF(INDEX(Entries!$C$2:$C$47,9)="","",INDEX(Entries!$Q$2:$Q$47,9)),"")</f>
        <v>Sean_McAteer_SMAC</v>
      </c>
      <c r="O69" s="29" t="str">
        <f t="array" ref="O69">IF(N69="","",IFERROR(INDEX(Entries!$E$2:$E$47,9),""))</f>
        <v>SMAC</v>
      </c>
      <c r="P69" s="29" t="str">
        <f>IF(N69="","","Tier3_Pick1")</f>
        <v>Tier3_Pick1</v>
      </c>
      <c r="Q69" s="29">
        <f>IF(N69="","",3)</f>
        <v>3</v>
      </c>
      <c r="R69" s="29" t="str">
        <f t="array" ref="R69">IF(N69="","",IFERROR(INDEX(Entries!$H$2:$H$47,9),""))</f>
        <v>Italy</v>
      </c>
      <c r="S69" s="29" t="str">
        <f t="array" ref="S69">IF(R69="","",IFERROR(XLOOKUP(R69,'Live Medal Table'!$B$2:$B$94,'Live Medal Table'!$C$2:$C$94,"???"),"???"))</f>
        <v>ITA</v>
      </c>
      <c r="T69" s="29">
        <f t="array" ref="T69">IF(R69="",0,IFERROR(XLOOKUP(R69,'Live Medal Table'!$B$2:$B$94,'Live Medal Table'!$F$2:$F$94,0),0))</f>
        <v>3</v>
      </c>
      <c r="U69" s="29">
        <f t="array" ref="U69">IF(R69="",0,IFERROR(XLOOKUP(R69,'Live Medal Table'!$B$2:$B$94,'Live Medal Table'!$G$2:$G$94,0),0))</f>
        <v>10</v>
      </c>
      <c r="V69" s="29">
        <f t="array" ref="V69">IF(R69="",0,IFERROR(XLOOKUP(R69,'Live Medal Table'!$B$2:$B$94,'Live Medal Table'!$H$2:$H$94,0),0))</f>
        <v>6</v>
      </c>
      <c r="W69" s="29">
        <f t="array" ref="W69">IF(R69="",0,IFERROR(XLOOKUP(R69,'Live Medal Table'!$B$2:$B$94,'Live Medal Table'!$I$2:$I$94,0),0))</f>
        <v>14</v>
      </c>
      <c r="X69" s="29">
        <f t="shared" si="1"/>
        <v>90</v>
      </c>
      <c r="Y69" s="29">
        <f t="shared" si="2"/>
        <v>36</v>
      </c>
      <c r="Z69" s="29">
        <f t="shared" si="3"/>
        <v>42</v>
      </c>
      <c r="AA69" s="29">
        <f t="shared" si="4"/>
        <v>168</v>
      </c>
      <c r="AB69" s="29" t="b">
        <f t="array" ref="AB69">IF(R69="",FALSE,IFERROR(AND(ISNUMBER(MATCH(R69,'Live Medal Table'!$B$2:$B$94,0)),XLOOKUP(R69,'Live Medal Table'!$B$2:$B$94,Countries!$I$2:$I$72,FALSE)),FALSE))</f>
        <v>0</v>
      </c>
    </row>
    <row r="70" ht="15.75" hidden="1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29"/>
      <c r="M70" s="29"/>
      <c r="N70" s="29" t="str">
        <f t="array" ref="N70">IFERROR(IF(INDEX(Entries!$C$2:$C$47,9)="","",INDEX(Entries!$Q$2:$Q$47,9)),"")</f>
        <v>Sean_McAteer_SMAC</v>
      </c>
      <c r="O70" s="29" t="str">
        <f t="array" ref="O70">IF(N70="","",IFERROR(INDEX(Entries!$E$2:$E$47,9),""))</f>
        <v>SMAC</v>
      </c>
      <c r="P70" s="29" t="str">
        <f>IF(N70="","","Tier4_Pick1")</f>
        <v>Tier4_Pick1</v>
      </c>
      <c r="Q70" s="29">
        <f>IF(N70="","",4)</f>
        <v>4</v>
      </c>
      <c r="R70" s="29" t="str">
        <f t="array" ref="R70">IF(N70="","",IFERROR(INDEX(Entries!$I$2:$I$47,9),""))</f>
        <v>Finland</v>
      </c>
      <c r="S70" s="29" t="str">
        <f t="array" ref="S70">IF(R70="","",IFERROR(XLOOKUP(R70,'Live Medal Table'!$B$2:$B$94,'Live Medal Table'!$C$2:$C$94,"???"),"???"))</f>
        <v>FIN</v>
      </c>
      <c r="T70" s="29">
        <f t="array" ref="T70">IF(R70="",0,IFERROR(XLOOKUP(R70,'Live Medal Table'!$B$2:$B$94,'Live Medal Table'!$F$2:$F$94,0),0))</f>
        <v>6</v>
      </c>
      <c r="U70" s="29">
        <f t="array" ref="U70">IF(R70="",0,IFERROR(XLOOKUP(R70,'Live Medal Table'!$B$2:$B$94,'Live Medal Table'!$G$2:$G$94,0),0))</f>
        <v>0</v>
      </c>
      <c r="V70" s="29">
        <f t="array" ref="V70">IF(R70="",0,IFERROR(XLOOKUP(R70,'Live Medal Table'!$B$2:$B$94,'Live Medal Table'!$H$2:$H$94,0),0))</f>
        <v>1</v>
      </c>
      <c r="W70" s="29">
        <f t="array" ref="W70">IF(R70="",0,IFERROR(XLOOKUP(R70,'Live Medal Table'!$B$2:$B$94,'Live Medal Table'!$I$2:$I$94,0),0))</f>
        <v>5</v>
      </c>
      <c r="X70" s="29">
        <f t="shared" si="1"/>
        <v>0</v>
      </c>
      <c r="Y70" s="29">
        <f t="shared" si="2"/>
        <v>12</v>
      </c>
      <c r="Z70" s="29">
        <f t="shared" si="3"/>
        <v>30</v>
      </c>
      <c r="AA70" s="29">
        <f t="shared" si="4"/>
        <v>42</v>
      </c>
      <c r="AB70" s="29" t="b">
        <f t="array" ref="AB70">IF(R70="",FALSE,IFERROR(AND(ISNUMBER(MATCH(R70,'Live Medal Table'!$B$2:$B$94,0)),XLOOKUP(R70,'Live Medal Table'!$B$2:$B$94,Countries!$I$2:$I$72,FALSE)),FALSE))</f>
        <v>0</v>
      </c>
    </row>
    <row r="71" ht="15.75" hidden="1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29"/>
      <c r="M71" s="29"/>
      <c r="N71" s="29" t="str">
        <f t="array" ref="N71">IFERROR(IF(INDEX(Entries!$C$2:$C$47,9)="","",INDEX(Entries!$Q$2:$Q$47,9)),"")</f>
        <v>Sean_McAteer_SMAC</v>
      </c>
      <c r="O71" s="29" t="str">
        <f t="array" ref="O71">IF(N71="","",IFERROR(INDEX(Entries!$E$2:$E$47,9),""))</f>
        <v>SMAC</v>
      </c>
      <c r="P71" s="29" t="str">
        <f>IF(N71="","","Tier5_Pick1")</f>
        <v>Tier5_Pick1</v>
      </c>
      <c r="Q71" s="29">
        <f>IF(N71="","",5)</f>
        <v>5</v>
      </c>
      <c r="R71" s="29" t="str">
        <f t="array" ref="R71">IF(N71="","",IFERROR(INDEX(Entries!$J$2:$J$47,9),""))</f>
        <v>Poland</v>
      </c>
      <c r="S71" s="29" t="str">
        <f t="array" ref="S71">IF(R71="","",IFERROR(XLOOKUP(R71,'Live Medal Table'!$B$2:$B$94,'Live Medal Table'!$C$2:$C$94,"???"),"???"))</f>
        <v>POL</v>
      </c>
      <c r="T71" s="29">
        <f t="array" ref="T71">IF(R71="",0,IFERROR(XLOOKUP(R71,'Live Medal Table'!$B$2:$B$94,'Live Medal Table'!$F$2:$F$94,0),0))</f>
        <v>10</v>
      </c>
      <c r="U71" s="29">
        <f t="array" ref="U71">IF(R71="",0,IFERROR(XLOOKUP(R71,'Live Medal Table'!$B$2:$B$94,'Live Medal Table'!$G$2:$G$94,0),0))</f>
        <v>0</v>
      </c>
      <c r="V71" s="29">
        <f t="array" ref="V71">IF(R71="",0,IFERROR(XLOOKUP(R71,'Live Medal Table'!$B$2:$B$94,'Live Medal Table'!$H$2:$H$94,0),0))</f>
        <v>3</v>
      </c>
      <c r="W71" s="29">
        <f t="array" ref="W71">IF(R71="",0,IFERROR(XLOOKUP(R71,'Live Medal Table'!$B$2:$B$94,'Live Medal Table'!$I$2:$I$94,0),0))</f>
        <v>1</v>
      </c>
      <c r="X71" s="29">
        <f t="shared" si="1"/>
        <v>0</v>
      </c>
      <c r="Y71" s="29">
        <f t="shared" si="2"/>
        <v>60</v>
      </c>
      <c r="Z71" s="29">
        <f t="shared" si="3"/>
        <v>10</v>
      </c>
      <c r="AA71" s="29">
        <f t="shared" si="4"/>
        <v>70</v>
      </c>
      <c r="AB71" s="29" t="b">
        <f t="array" ref="AB71">IF(R71="",FALSE,IFERROR(AND(ISNUMBER(MATCH(R71,'Live Medal Table'!$B$2:$B$94,0)),XLOOKUP(R71,'Live Medal Table'!$B$2:$B$94,Countries!$I$2:$I$72,FALSE)),FALSE))</f>
        <v>0</v>
      </c>
    </row>
    <row r="72" ht="15.75" hidden="1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29"/>
      <c r="M72" s="29"/>
      <c r="N72" s="29" t="str">
        <f t="array" ref="N72">IFERROR(IF(INDEX(Entries!$C$2:$C$47,9)="","",INDEX(Entries!$Q$2:$Q$47,9)),"")</f>
        <v>Sean_McAteer_SMAC</v>
      </c>
      <c r="O72" s="29" t="str">
        <f t="array" ref="O72">IF(N72="","",IFERROR(INDEX(Entries!$E$2:$E$47,9),""))</f>
        <v>SMAC</v>
      </c>
      <c r="P72" s="29" t="str">
        <f>IF(N72="","","Tier6_Pick1")</f>
        <v>Tier6_Pick1</v>
      </c>
      <c r="Q72" s="29">
        <f t="shared" ref="Q72:Q73" si="22">IF(N72="","",6)</f>
        <v>6</v>
      </c>
      <c r="R72" s="29" t="str">
        <f t="array" ref="R72">IF(N72="","",IFERROR(INDEX(Entries!$O$2:$O$47,9),""))</f>
        <v>Spain</v>
      </c>
      <c r="S72" s="29" t="str">
        <f t="array" ref="S72">IF(R72="","",IFERROR(XLOOKUP(R72,'Live Medal Table'!$B$2:$B$94,'Live Medal Table'!$C$2:$C$94,"???"),"???"))</f>
        <v>ESP</v>
      </c>
      <c r="T72" s="29">
        <f t="array" ref="T72">IF(R72="",0,IFERROR(XLOOKUP(R72,'Live Medal Table'!$B$2:$B$94,'Live Medal Table'!$F$2:$F$94,0),0))</f>
        <v>20</v>
      </c>
      <c r="U72" s="29">
        <f t="array" ref="U72">IF(R72="",0,IFERROR(XLOOKUP(R72,'Live Medal Table'!$B$2:$B$94,'Live Medal Table'!$G$2:$G$94,0),0))</f>
        <v>1</v>
      </c>
      <c r="V72" s="29">
        <f t="array" ref="V72">IF(R72="",0,IFERROR(XLOOKUP(R72,'Live Medal Table'!$B$2:$B$94,'Live Medal Table'!$H$2:$H$94,0),0))</f>
        <v>0</v>
      </c>
      <c r="W72" s="29">
        <f t="array" ref="W72">IF(R72="",0,IFERROR(XLOOKUP(R72,'Live Medal Table'!$B$2:$B$94,'Live Medal Table'!$I$2:$I$94,0),0))</f>
        <v>2</v>
      </c>
      <c r="X72" s="29">
        <f t="shared" si="1"/>
        <v>60</v>
      </c>
      <c r="Y72" s="29">
        <f t="shared" si="2"/>
        <v>0</v>
      </c>
      <c r="Z72" s="29">
        <f t="shared" si="3"/>
        <v>40</v>
      </c>
      <c r="AA72" s="29">
        <f t="shared" si="4"/>
        <v>100</v>
      </c>
      <c r="AB72" s="29" t="b">
        <f t="array" ref="AB72">IF(R72="",FALSE,IFERROR(AND(ISNUMBER(MATCH(R72,'Live Medal Table'!$B$2:$B$94,0)),XLOOKUP(R72,'Live Medal Table'!$B$2:$B$94,Countries!$I$2:$I$72,FALSE)),FALSE))</f>
        <v>0</v>
      </c>
    </row>
    <row r="73" ht="15.75" hidden="1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29"/>
      <c r="M73" s="29"/>
      <c r="N73" s="29" t="str">
        <f t="array" ref="N73">IFERROR(IF(INDEX(Entries!$C$2:$C$47,9)="","",INDEX(Entries!$Q$2:$Q$47,9)),"")</f>
        <v>Sean_McAteer_SMAC</v>
      </c>
      <c r="O73" s="29" t="str">
        <f t="array" ref="O73">IF(N73="","",IFERROR(INDEX(Entries!$E$2:$E$47,9),""))</f>
        <v>SMAC</v>
      </c>
      <c r="P73" s="29" t="str">
        <f>IF(N73="","","Tier6_Pick2")</f>
        <v>Tier6_Pick2</v>
      </c>
      <c r="Q73" s="29">
        <f t="shared" si="22"/>
        <v>6</v>
      </c>
      <c r="R73" s="29" t="str">
        <f t="array" ref="R73">IF(N73="","",IFERROR(INDEX(Entries!$P$2:$P$47,9),""))</f>
        <v>Ukraine</v>
      </c>
      <c r="S73" s="29" t="str">
        <f t="array" ref="S73">IF(R73="","",IFERROR(XLOOKUP(R73,'Live Medal Table'!$B$2:$B$94,'Live Medal Table'!$C$2:$C$94,"???"),"???"))</f>
        <v>UKR</v>
      </c>
      <c r="T73" s="29">
        <f t="array" ref="T73">IF(R73="",0,IFERROR(XLOOKUP(R73,'Live Medal Table'!$B$2:$B$94,'Live Medal Table'!$F$2:$F$94,0),0))</f>
        <v>20</v>
      </c>
      <c r="U73" s="29">
        <f t="array" ref="U73">IF(R73="",0,IFERROR(XLOOKUP(R73,'Live Medal Table'!$B$2:$B$94,'Live Medal Table'!$G$2:$G$94,0),0))</f>
        <v>0</v>
      </c>
      <c r="V73" s="29">
        <f t="array" ref="V73">IF(R73="",0,IFERROR(XLOOKUP(R73,'Live Medal Table'!$B$2:$B$94,'Live Medal Table'!$H$2:$H$94,0),0))</f>
        <v>0</v>
      </c>
      <c r="W73" s="29">
        <f t="array" ref="W73">IF(R73="",0,IFERROR(XLOOKUP(R73,'Live Medal Table'!$B$2:$B$94,'Live Medal Table'!$I$2:$I$94,0),0))</f>
        <v>0</v>
      </c>
      <c r="X73" s="29">
        <f t="shared" si="1"/>
        <v>0</v>
      </c>
      <c r="Y73" s="29">
        <f t="shared" si="2"/>
        <v>0</v>
      </c>
      <c r="Z73" s="29">
        <f t="shared" si="3"/>
        <v>0</v>
      </c>
      <c r="AA73" s="29">
        <f t="shared" si="4"/>
        <v>0</v>
      </c>
      <c r="AB73" s="29" t="b">
        <f t="array" ref="AB73">IF(R73="",FALSE,IFERROR(AND(ISNUMBER(MATCH(R73,'Live Medal Table'!$B$2:$B$94,0)),XLOOKUP(R73,'Live Medal Table'!$B$2:$B$94,Countries!$I$2:$I$72,FALSE)),FALSE))</f>
        <v>0</v>
      </c>
    </row>
    <row r="74" ht="15.75" hidden="1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29"/>
      <c r="M74" s="29"/>
      <c r="N74" s="29" t="str">
        <f t="array" ref="N74">IFERROR(IF(INDEX(Entries!$C$2:$C$47,10)="","",INDEX(Entries!$Q$2:$Q$47,10)),"")</f>
        <v>Patrick_Doherty_Pat Doherty</v>
      </c>
      <c r="O74" s="29" t="str">
        <f t="array" ref="O74">IF(N74="","",IFERROR(INDEX(Entries!$E$2:$E$47,10),""))</f>
        <v>Pat Doherty</v>
      </c>
      <c r="P74" s="29" t="str">
        <f>IF(N74="","","Tier1_Pick1")</f>
        <v>Tier1_Pick1</v>
      </c>
      <c r="Q74" s="29">
        <f>IF(N74="","",1)</f>
        <v>1</v>
      </c>
      <c r="R74" s="29" t="str">
        <f t="array" ref="R74">IF(N74="","",IFERROR(INDEX(Entries!$F$2:$F$47,10),""))</f>
        <v>Norway</v>
      </c>
      <c r="S74" s="29" t="str">
        <f t="array" ref="S74">IF(R74="","",IFERROR(XLOOKUP(R74,'Live Medal Table'!$B$2:$B$94,'Live Medal Table'!$C$2:$C$94,"???"),"???"))</f>
        <v>NOR</v>
      </c>
      <c r="T74" s="29">
        <f t="array" ref="T74">IF(R74="",0,IFERROR(XLOOKUP(R74,'Live Medal Table'!$B$2:$B$94,'Live Medal Table'!$F$2:$F$94,0),0))</f>
        <v>1</v>
      </c>
      <c r="U74" s="29">
        <f t="array" ref="U74">IF(R74="",0,IFERROR(XLOOKUP(R74,'Live Medal Table'!$B$2:$B$94,'Live Medal Table'!$G$2:$G$94,0),0))</f>
        <v>18</v>
      </c>
      <c r="V74" s="29">
        <f t="array" ref="V74">IF(R74="",0,IFERROR(XLOOKUP(R74,'Live Medal Table'!$B$2:$B$94,'Live Medal Table'!$H$2:$H$94,0),0))</f>
        <v>12</v>
      </c>
      <c r="W74" s="29">
        <f t="array" ref="W74">IF(R74="",0,IFERROR(XLOOKUP(R74,'Live Medal Table'!$B$2:$B$94,'Live Medal Table'!$I$2:$I$94,0),0))</f>
        <v>11</v>
      </c>
      <c r="X74" s="29">
        <f t="shared" si="1"/>
        <v>54</v>
      </c>
      <c r="Y74" s="29">
        <f t="shared" si="2"/>
        <v>24</v>
      </c>
      <c r="Z74" s="29">
        <f t="shared" si="3"/>
        <v>11</v>
      </c>
      <c r="AA74" s="29">
        <f t="shared" si="4"/>
        <v>89</v>
      </c>
      <c r="AB74" s="29" t="b">
        <f t="array" ref="AB74">IF(R74="",FALSE,IFERROR(AND(ISNUMBER(MATCH(R74,'Live Medal Table'!$B$2:$B$94,0)),XLOOKUP(R74,'Live Medal Table'!$B$2:$B$94,Countries!$I$2:$I$72,FALSE)),FALSE))</f>
        <v>0</v>
      </c>
    </row>
    <row r="75" ht="15.75" hidden="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29"/>
      <c r="M75" s="29"/>
      <c r="N75" s="29" t="str">
        <f t="array" ref="N75">IFERROR(IF(INDEX(Entries!$C$2:$C$47,10)="","",INDEX(Entries!$Q$2:$Q$47,10)),"")</f>
        <v>Patrick_Doherty_Pat Doherty</v>
      </c>
      <c r="O75" s="29" t="str">
        <f t="array" ref="O75">IF(N75="","",IFERROR(INDEX(Entries!$E$2:$E$47,10),""))</f>
        <v>Pat Doherty</v>
      </c>
      <c r="P75" s="29" t="str">
        <f>IF(N75="","","Tier2_Pick1")</f>
        <v>Tier2_Pick1</v>
      </c>
      <c r="Q75" s="29">
        <f t="shared" ref="Q75:Q76" si="23">IF(N75="","",2)</f>
        <v>2</v>
      </c>
      <c r="R75" s="29" t="str">
        <f t="array" ref="R75">IF(N75="","",IFERROR(INDEX(Entries!$M$2:$M$47,10),""))</f>
        <v>Netherlands</v>
      </c>
      <c r="S75" s="29" t="str">
        <f t="array" ref="S75">IF(R75="","",IFERROR(XLOOKUP(R75,'Live Medal Table'!$B$2:$B$94,'Live Medal Table'!$C$2:$C$94,"???"),"???"))</f>
        <v>NED</v>
      </c>
      <c r="T75" s="29">
        <f t="array" ref="T75">IF(R75="",0,IFERROR(XLOOKUP(R75,'Live Medal Table'!$B$2:$B$94,'Live Medal Table'!$F$2:$F$94,0),0))</f>
        <v>2</v>
      </c>
      <c r="U75" s="29">
        <f t="array" ref="U75">IF(R75="",0,IFERROR(XLOOKUP(R75,'Live Medal Table'!$B$2:$B$94,'Live Medal Table'!$G$2:$G$94,0),0))</f>
        <v>10</v>
      </c>
      <c r="V75" s="29">
        <f t="array" ref="V75">IF(R75="",0,IFERROR(XLOOKUP(R75,'Live Medal Table'!$B$2:$B$94,'Live Medal Table'!$H$2:$H$94,0),0))</f>
        <v>7</v>
      </c>
      <c r="W75" s="29">
        <f t="array" ref="W75">IF(R75="",0,IFERROR(XLOOKUP(R75,'Live Medal Table'!$B$2:$B$94,'Live Medal Table'!$I$2:$I$94,0),0))</f>
        <v>3</v>
      </c>
      <c r="X75" s="29">
        <f t="shared" si="1"/>
        <v>60</v>
      </c>
      <c r="Y75" s="29">
        <f t="shared" si="2"/>
        <v>28</v>
      </c>
      <c r="Z75" s="29">
        <f t="shared" si="3"/>
        <v>6</v>
      </c>
      <c r="AA75" s="29">
        <f t="shared" si="4"/>
        <v>94</v>
      </c>
      <c r="AB75" s="29" t="b">
        <f t="array" ref="AB75">IF(R75="",FALSE,IFERROR(AND(ISNUMBER(MATCH(R75,'Live Medal Table'!$B$2:$B$94,0)),XLOOKUP(R75,'Live Medal Table'!$B$2:$B$94,Countries!$I$2:$I$72,FALSE)),FALSE))</f>
        <v>0</v>
      </c>
    </row>
    <row r="76" ht="15.75" hidden="1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29"/>
      <c r="M76" s="29"/>
      <c r="N76" s="29" t="str">
        <f t="array" ref="N76">IFERROR(IF(INDEX(Entries!$C$2:$C$47,10)="","",INDEX(Entries!$Q$2:$Q$47,10)),"")</f>
        <v>Patrick_Doherty_Pat Doherty</v>
      </c>
      <c r="O76" s="29" t="str">
        <f t="array" ref="O76">IF(N76="","",IFERROR(INDEX(Entries!$E$2:$E$47,10),""))</f>
        <v>Pat Doherty</v>
      </c>
      <c r="P76" s="29" t="str">
        <f>IF(N76="","","Tier2_Pick2")</f>
        <v>Tier2_Pick2</v>
      </c>
      <c r="Q76" s="29">
        <f t="shared" si="23"/>
        <v>2</v>
      </c>
      <c r="R76" s="29" t="str">
        <f t="array" ref="R76">IF(N76="","",IFERROR(INDEX(Entries!$N$2:$N$47,10),""))</f>
        <v>Switzerland</v>
      </c>
      <c r="S76" s="29" t="str">
        <f t="array" ref="S76">IF(R76="","",IFERROR(XLOOKUP(R76,'Live Medal Table'!$B$2:$B$94,'Live Medal Table'!$C$2:$C$94,"???"),"???"))</f>
        <v>SUI</v>
      </c>
      <c r="T76" s="29">
        <f t="array" ref="T76">IF(R76="",0,IFERROR(XLOOKUP(R76,'Live Medal Table'!$B$2:$B$94,'Live Medal Table'!$F$2:$F$94,0),0))</f>
        <v>2</v>
      </c>
      <c r="U76" s="29">
        <f t="array" ref="U76">IF(R76="",0,IFERROR(XLOOKUP(R76,'Live Medal Table'!$B$2:$B$94,'Live Medal Table'!$G$2:$G$94,0),0))</f>
        <v>6</v>
      </c>
      <c r="V76" s="29">
        <f t="array" ref="V76">IF(R76="",0,IFERROR(XLOOKUP(R76,'Live Medal Table'!$B$2:$B$94,'Live Medal Table'!$H$2:$H$94,0),0))</f>
        <v>9</v>
      </c>
      <c r="W76" s="29">
        <f t="array" ref="W76">IF(R76="",0,IFERROR(XLOOKUP(R76,'Live Medal Table'!$B$2:$B$94,'Live Medal Table'!$I$2:$I$94,0),0))</f>
        <v>8</v>
      </c>
      <c r="X76" s="29">
        <f t="shared" si="1"/>
        <v>36</v>
      </c>
      <c r="Y76" s="29">
        <f t="shared" si="2"/>
        <v>36</v>
      </c>
      <c r="Z76" s="29">
        <f t="shared" si="3"/>
        <v>16</v>
      </c>
      <c r="AA76" s="29">
        <f t="shared" si="4"/>
        <v>88</v>
      </c>
      <c r="AB76" s="29" t="b">
        <f t="array" ref="AB76">IF(R76="",FALSE,IFERROR(AND(ISNUMBER(MATCH(R76,'Live Medal Table'!$B$2:$B$94,0)),XLOOKUP(R76,'Live Medal Table'!$B$2:$B$94,Countries!$I$2:$I$72,FALSE)),FALSE))</f>
        <v>0</v>
      </c>
    </row>
    <row r="77" ht="15.75" hidden="1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29"/>
      <c r="M77" s="29"/>
      <c r="N77" s="29" t="str">
        <f t="array" ref="N77">IFERROR(IF(INDEX(Entries!$C$2:$C$47,10)="","",INDEX(Entries!$Q$2:$Q$47,10)),"")</f>
        <v>Patrick_Doherty_Pat Doherty</v>
      </c>
      <c r="O77" s="29" t="str">
        <f t="array" ref="O77">IF(N77="","",IFERROR(INDEX(Entries!$E$2:$E$47,10),""))</f>
        <v>Pat Doherty</v>
      </c>
      <c r="P77" s="29" t="str">
        <f>IF(N77="","","Tier3_Pick1")</f>
        <v>Tier3_Pick1</v>
      </c>
      <c r="Q77" s="29">
        <f>IF(N77="","",3)</f>
        <v>3</v>
      </c>
      <c r="R77" s="29" t="str">
        <f t="array" ref="R77">IF(N77="","",IFERROR(INDEX(Entries!$H$2:$H$47,10),""))</f>
        <v>Italy</v>
      </c>
      <c r="S77" s="29" t="str">
        <f t="array" ref="S77">IF(R77="","",IFERROR(XLOOKUP(R77,'Live Medal Table'!$B$2:$B$94,'Live Medal Table'!$C$2:$C$94,"???"),"???"))</f>
        <v>ITA</v>
      </c>
      <c r="T77" s="29">
        <f t="array" ref="T77">IF(R77="",0,IFERROR(XLOOKUP(R77,'Live Medal Table'!$B$2:$B$94,'Live Medal Table'!$F$2:$F$94,0),0))</f>
        <v>3</v>
      </c>
      <c r="U77" s="29">
        <f t="array" ref="U77">IF(R77="",0,IFERROR(XLOOKUP(R77,'Live Medal Table'!$B$2:$B$94,'Live Medal Table'!$G$2:$G$94,0),0))</f>
        <v>10</v>
      </c>
      <c r="V77" s="29">
        <f t="array" ref="V77">IF(R77="",0,IFERROR(XLOOKUP(R77,'Live Medal Table'!$B$2:$B$94,'Live Medal Table'!$H$2:$H$94,0),0))</f>
        <v>6</v>
      </c>
      <c r="W77" s="29">
        <f t="array" ref="W77">IF(R77="",0,IFERROR(XLOOKUP(R77,'Live Medal Table'!$B$2:$B$94,'Live Medal Table'!$I$2:$I$94,0),0))</f>
        <v>14</v>
      </c>
      <c r="X77" s="29">
        <f t="shared" si="1"/>
        <v>90</v>
      </c>
      <c r="Y77" s="29">
        <f t="shared" si="2"/>
        <v>36</v>
      </c>
      <c r="Z77" s="29">
        <f t="shared" si="3"/>
        <v>42</v>
      </c>
      <c r="AA77" s="29">
        <f t="shared" si="4"/>
        <v>168</v>
      </c>
      <c r="AB77" s="29" t="b">
        <f t="array" ref="AB77">IF(R77="",FALSE,IFERROR(AND(ISNUMBER(MATCH(R77,'Live Medal Table'!$B$2:$B$94,0)),XLOOKUP(R77,'Live Medal Table'!$B$2:$B$94,Countries!$I$2:$I$72,FALSE)),FALSE))</f>
        <v>0</v>
      </c>
    </row>
    <row r="78" ht="15.75" hidden="1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29"/>
      <c r="M78" s="29"/>
      <c r="N78" s="29" t="str">
        <f t="array" ref="N78">IFERROR(IF(INDEX(Entries!$C$2:$C$47,10)="","",INDEX(Entries!$Q$2:$Q$47,10)),"")</f>
        <v>Patrick_Doherty_Pat Doherty</v>
      </c>
      <c r="O78" s="29" t="str">
        <f t="array" ref="O78">IF(N78="","",IFERROR(INDEX(Entries!$E$2:$E$47,10),""))</f>
        <v>Pat Doherty</v>
      </c>
      <c r="P78" s="29" t="str">
        <f>IF(N78="","","Tier4_Pick1")</f>
        <v>Tier4_Pick1</v>
      </c>
      <c r="Q78" s="29">
        <f>IF(N78="","",4)</f>
        <v>4</v>
      </c>
      <c r="R78" s="29" t="str">
        <f t="array" ref="R78">IF(N78="","",IFERROR(INDEX(Entries!$I$2:$I$47,10),""))</f>
        <v>Finland</v>
      </c>
      <c r="S78" s="29" t="str">
        <f t="array" ref="S78">IF(R78="","",IFERROR(XLOOKUP(R78,'Live Medal Table'!$B$2:$B$94,'Live Medal Table'!$C$2:$C$94,"???"),"???"))</f>
        <v>FIN</v>
      </c>
      <c r="T78" s="29">
        <f t="array" ref="T78">IF(R78="",0,IFERROR(XLOOKUP(R78,'Live Medal Table'!$B$2:$B$94,'Live Medal Table'!$F$2:$F$94,0),0))</f>
        <v>6</v>
      </c>
      <c r="U78" s="29">
        <f t="array" ref="U78">IF(R78="",0,IFERROR(XLOOKUP(R78,'Live Medal Table'!$B$2:$B$94,'Live Medal Table'!$G$2:$G$94,0),0))</f>
        <v>0</v>
      </c>
      <c r="V78" s="29">
        <f t="array" ref="V78">IF(R78="",0,IFERROR(XLOOKUP(R78,'Live Medal Table'!$B$2:$B$94,'Live Medal Table'!$H$2:$H$94,0),0))</f>
        <v>1</v>
      </c>
      <c r="W78" s="29">
        <f t="array" ref="W78">IF(R78="",0,IFERROR(XLOOKUP(R78,'Live Medal Table'!$B$2:$B$94,'Live Medal Table'!$I$2:$I$94,0),0))</f>
        <v>5</v>
      </c>
      <c r="X78" s="29">
        <f t="shared" si="1"/>
        <v>0</v>
      </c>
      <c r="Y78" s="29">
        <f t="shared" si="2"/>
        <v>12</v>
      </c>
      <c r="Z78" s="29">
        <f t="shared" si="3"/>
        <v>30</v>
      </c>
      <c r="AA78" s="29">
        <f t="shared" si="4"/>
        <v>42</v>
      </c>
      <c r="AB78" s="29" t="b">
        <f t="array" ref="AB78">IF(R78="",FALSE,IFERROR(AND(ISNUMBER(MATCH(R78,'Live Medal Table'!$B$2:$B$94,0)),XLOOKUP(R78,'Live Medal Table'!$B$2:$B$94,Countries!$I$2:$I$72,FALSE)),FALSE))</f>
        <v>0</v>
      </c>
    </row>
    <row r="79" ht="15.75" hidden="1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29"/>
      <c r="M79" s="29"/>
      <c r="N79" s="29" t="str">
        <f t="array" ref="N79">IFERROR(IF(INDEX(Entries!$C$2:$C$47,10)="","",INDEX(Entries!$Q$2:$Q$47,10)),"")</f>
        <v>Patrick_Doherty_Pat Doherty</v>
      </c>
      <c r="O79" s="29" t="str">
        <f t="array" ref="O79">IF(N79="","",IFERROR(INDEX(Entries!$E$2:$E$47,10),""))</f>
        <v>Pat Doherty</v>
      </c>
      <c r="P79" s="29" t="str">
        <f>IF(N79="","","Tier5_Pick1")</f>
        <v>Tier5_Pick1</v>
      </c>
      <c r="Q79" s="29">
        <f>IF(N79="","",5)</f>
        <v>5</v>
      </c>
      <c r="R79" s="29" t="str">
        <f t="array" ref="R79">IF(N79="","",IFERROR(INDEX(Entries!$J$2:$J$47,10),""))</f>
        <v>Great Britain</v>
      </c>
      <c r="S79" s="29" t="str">
        <f t="array" ref="S79">IF(R79="","",IFERROR(XLOOKUP(R79,'Live Medal Table'!$B$2:$B$94,'Live Medal Table'!$C$2:$C$94,"???"),"???"))</f>
        <v>GBR</v>
      </c>
      <c r="T79" s="29">
        <f t="array" ref="T79">IF(R79="",0,IFERROR(XLOOKUP(R79,'Live Medal Table'!$B$2:$B$94,'Live Medal Table'!$F$2:$F$94,0),0))</f>
        <v>10</v>
      </c>
      <c r="U79" s="29">
        <f t="array" ref="U79">IF(R79="",0,IFERROR(XLOOKUP(R79,'Live Medal Table'!$B$2:$B$94,'Live Medal Table'!$G$2:$G$94,0),0))</f>
        <v>3</v>
      </c>
      <c r="V79" s="29">
        <f t="array" ref="V79">IF(R79="",0,IFERROR(XLOOKUP(R79,'Live Medal Table'!$B$2:$B$94,'Live Medal Table'!$H$2:$H$94,0),0))</f>
        <v>1</v>
      </c>
      <c r="W79" s="29">
        <f t="array" ref="W79">IF(R79="",0,IFERROR(XLOOKUP(R79,'Live Medal Table'!$B$2:$B$94,'Live Medal Table'!$I$2:$I$94,0),0))</f>
        <v>1</v>
      </c>
      <c r="X79" s="29">
        <f t="shared" si="1"/>
        <v>90</v>
      </c>
      <c r="Y79" s="29">
        <f t="shared" si="2"/>
        <v>20</v>
      </c>
      <c r="Z79" s="29">
        <f t="shared" si="3"/>
        <v>10</v>
      </c>
      <c r="AA79" s="29">
        <f t="shared" si="4"/>
        <v>120</v>
      </c>
      <c r="AB79" s="29" t="b">
        <f t="array" ref="AB79">IF(R79="",FALSE,IFERROR(AND(ISNUMBER(MATCH(R79,'Live Medal Table'!$B$2:$B$94,0)),XLOOKUP(R79,'Live Medal Table'!$B$2:$B$94,Countries!$I$2:$I$72,FALSE)),FALSE))</f>
        <v>0</v>
      </c>
    </row>
    <row r="80" ht="15.75" hidden="1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29"/>
      <c r="M80" s="29"/>
      <c r="N80" s="29" t="str">
        <f t="array" ref="N80">IFERROR(IF(INDEX(Entries!$C$2:$C$47,10)="","",INDEX(Entries!$Q$2:$Q$47,10)),"")</f>
        <v>Patrick_Doherty_Pat Doherty</v>
      </c>
      <c r="O80" s="29" t="str">
        <f t="array" ref="O80">IF(N80="","",IFERROR(INDEX(Entries!$E$2:$E$47,10),""))</f>
        <v>Pat Doherty</v>
      </c>
      <c r="P80" s="29" t="str">
        <f>IF(N80="","","Tier6_Pick1")</f>
        <v>Tier6_Pick1</v>
      </c>
      <c r="Q80" s="29">
        <f t="shared" ref="Q80:Q81" si="24">IF(N80="","",6)</f>
        <v>6</v>
      </c>
      <c r="R80" s="29" t="str">
        <f t="array" ref="R80">IF(N80="","",IFERROR(INDEX(Entries!$O$2:$O$47,10),""))</f>
        <v>Belgium</v>
      </c>
      <c r="S80" s="29" t="str">
        <f t="array" ref="S80">IF(R80="","",IFERROR(XLOOKUP(R80,'Live Medal Table'!$B$2:$B$94,'Live Medal Table'!$C$2:$C$94,"???"),"???"))</f>
        <v>BEL</v>
      </c>
      <c r="T80" s="29">
        <f t="array" ref="T80">IF(R80="",0,IFERROR(XLOOKUP(R80,'Live Medal Table'!$B$2:$B$94,'Live Medal Table'!$F$2:$F$94,0),0))</f>
        <v>20</v>
      </c>
      <c r="U80" s="29">
        <f t="array" ref="U80">IF(R80="",0,IFERROR(XLOOKUP(R80,'Live Medal Table'!$B$2:$B$94,'Live Medal Table'!$G$2:$G$94,0),0))</f>
        <v>0</v>
      </c>
      <c r="V80" s="29">
        <f t="array" ref="V80">IF(R80="",0,IFERROR(XLOOKUP(R80,'Live Medal Table'!$B$2:$B$94,'Live Medal Table'!$H$2:$H$94,0),0))</f>
        <v>0</v>
      </c>
      <c r="W80" s="29">
        <f t="array" ref="W80">IF(R80="",0,IFERROR(XLOOKUP(R80,'Live Medal Table'!$B$2:$B$94,'Live Medal Table'!$I$2:$I$94,0),0))</f>
        <v>1</v>
      </c>
      <c r="X80" s="29">
        <f t="shared" si="1"/>
        <v>0</v>
      </c>
      <c r="Y80" s="29">
        <f t="shared" si="2"/>
        <v>0</v>
      </c>
      <c r="Z80" s="29">
        <f t="shared" si="3"/>
        <v>20</v>
      </c>
      <c r="AA80" s="29">
        <f t="shared" si="4"/>
        <v>20</v>
      </c>
      <c r="AB80" s="29" t="b">
        <f t="array" ref="AB80">IF(R80="",FALSE,IFERROR(AND(ISNUMBER(MATCH(R80,'Live Medal Table'!$B$2:$B$94,0)),XLOOKUP(R80,'Live Medal Table'!$B$2:$B$94,Countries!$I$2:$I$72,FALSE)),FALSE))</f>
        <v>0</v>
      </c>
    </row>
    <row r="81" ht="15.75" hidden="1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29"/>
      <c r="M81" s="29"/>
      <c r="N81" s="29" t="str">
        <f t="array" ref="N81">IFERROR(IF(INDEX(Entries!$C$2:$C$47,10)="","",INDEX(Entries!$Q$2:$Q$47,10)),"")</f>
        <v>Patrick_Doherty_Pat Doherty</v>
      </c>
      <c r="O81" s="29" t="str">
        <f t="array" ref="O81">IF(N81="","",IFERROR(INDEX(Entries!$E$2:$E$47,10),""))</f>
        <v>Pat Doherty</v>
      </c>
      <c r="P81" s="29" t="str">
        <f>IF(N81="","","Tier6_Pick2")</f>
        <v>Tier6_Pick2</v>
      </c>
      <c r="Q81" s="29">
        <f t="shared" si="24"/>
        <v>6</v>
      </c>
      <c r="R81" s="29" t="str">
        <f t="array" ref="R81">IF(N81="","",IFERROR(INDEX(Entries!$P$2:$P$47,10),""))</f>
        <v>Hungary</v>
      </c>
      <c r="S81" s="29" t="str">
        <f t="array" ref="S81">IF(R81="","",IFERROR(XLOOKUP(R81,'Live Medal Table'!$B$2:$B$94,'Live Medal Table'!$C$2:$C$94,"???"),"???"))</f>
        <v>HUN</v>
      </c>
      <c r="T81" s="29">
        <f t="array" ref="T81">IF(R81="",0,IFERROR(XLOOKUP(R81,'Live Medal Table'!$B$2:$B$94,'Live Medal Table'!$F$2:$F$94,0),0))</f>
        <v>20</v>
      </c>
      <c r="U81" s="29">
        <f t="array" ref="U81">IF(R81="",0,IFERROR(XLOOKUP(R81,'Live Medal Table'!$B$2:$B$94,'Live Medal Table'!$G$2:$G$94,0),0))</f>
        <v>0</v>
      </c>
      <c r="V81" s="29">
        <f t="array" ref="V81">IF(R81="",0,IFERROR(XLOOKUP(R81,'Live Medal Table'!$B$2:$B$94,'Live Medal Table'!$H$2:$H$94,0),0))</f>
        <v>0</v>
      </c>
      <c r="W81" s="29">
        <f t="array" ref="W81">IF(R81="",0,IFERROR(XLOOKUP(R81,'Live Medal Table'!$B$2:$B$94,'Live Medal Table'!$I$2:$I$94,0),0))</f>
        <v>0</v>
      </c>
      <c r="X81" s="29">
        <f t="shared" si="1"/>
        <v>0</v>
      </c>
      <c r="Y81" s="29">
        <f t="shared" si="2"/>
        <v>0</v>
      </c>
      <c r="Z81" s="29">
        <f t="shared" si="3"/>
        <v>0</v>
      </c>
      <c r="AA81" s="29">
        <f t="shared" si="4"/>
        <v>0</v>
      </c>
      <c r="AB81" s="29" t="b">
        <f t="array" ref="AB81">IF(R81="",FALSE,IFERROR(AND(ISNUMBER(MATCH(R81,'Live Medal Table'!$B$2:$B$94,0)),XLOOKUP(R81,'Live Medal Table'!$B$2:$B$94,Countries!$I$2:$I$72,FALSE)),FALSE))</f>
        <v>0</v>
      </c>
    </row>
    <row r="82" ht="15.75" hidden="1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29"/>
      <c r="M82" s="29"/>
      <c r="N82" s="29" t="str">
        <f t="array" ref="N82">IFERROR(IF(INDEX(Entries!$C$2:$C$47,11)="","",INDEX(Entries!$Q$2:$Q$47,11)),"")</f>
        <v>Jack_Rebman_Reb</v>
      </c>
      <c r="O82" s="29" t="str">
        <f t="array" ref="O82">IF(N82="","",IFERROR(INDEX(Entries!$E$2:$E$47,11),""))</f>
        <v>Reb</v>
      </c>
      <c r="P82" s="29" t="str">
        <f>IF(N82="","","Tier1_Pick1")</f>
        <v>Tier1_Pick1</v>
      </c>
      <c r="Q82" s="29">
        <f>IF(N82="","",1)</f>
        <v>1</v>
      </c>
      <c r="R82" s="29" t="str">
        <f t="array" ref="R82">IF(N82="","",IFERROR(INDEX(Entries!$F$2:$F$47,11),""))</f>
        <v>Germany</v>
      </c>
      <c r="S82" s="29" t="str">
        <f t="array" ref="S82">IF(R82="","",IFERROR(XLOOKUP(R82,'Live Medal Table'!$B$2:$B$94,'Live Medal Table'!$C$2:$C$94,"???"),"???"))</f>
        <v>GER</v>
      </c>
      <c r="T82" s="29">
        <f t="array" ref="T82">IF(R82="",0,IFERROR(XLOOKUP(R82,'Live Medal Table'!$B$2:$B$94,'Live Medal Table'!$F$2:$F$94,0),0))</f>
        <v>1</v>
      </c>
      <c r="U82" s="29">
        <f t="array" ref="U82">IF(R82="",0,IFERROR(XLOOKUP(R82,'Live Medal Table'!$B$2:$B$94,'Live Medal Table'!$G$2:$G$94,0),0))</f>
        <v>8</v>
      </c>
      <c r="V82" s="29">
        <f t="array" ref="V82">IF(R82="",0,IFERROR(XLOOKUP(R82,'Live Medal Table'!$B$2:$B$94,'Live Medal Table'!$H$2:$H$94,0),0))</f>
        <v>10</v>
      </c>
      <c r="W82" s="29">
        <f t="array" ref="W82">IF(R82="",0,IFERROR(XLOOKUP(R82,'Live Medal Table'!$B$2:$B$94,'Live Medal Table'!$I$2:$I$94,0),0))</f>
        <v>8</v>
      </c>
      <c r="X82" s="29">
        <f t="shared" si="1"/>
        <v>24</v>
      </c>
      <c r="Y82" s="29">
        <f t="shared" si="2"/>
        <v>20</v>
      </c>
      <c r="Z82" s="29">
        <f t="shared" si="3"/>
        <v>8</v>
      </c>
      <c r="AA82" s="29">
        <f t="shared" si="4"/>
        <v>52</v>
      </c>
      <c r="AB82" s="29" t="b">
        <f t="array" ref="AB82">IF(R82="",FALSE,IFERROR(AND(ISNUMBER(MATCH(R82,'Live Medal Table'!$B$2:$B$94,0)),XLOOKUP(R82,'Live Medal Table'!$B$2:$B$94,Countries!$I$2:$I$72,FALSE)),FALSE))</f>
        <v>0</v>
      </c>
    </row>
    <row r="83" ht="15.75" hidden="1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29"/>
      <c r="M83" s="29"/>
      <c r="N83" s="29" t="str">
        <f t="array" ref="N83">IFERROR(IF(INDEX(Entries!$C$2:$C$47,11)="","",INDEX(Entries!$Q$2:$Q$47,11)),"")</f>
        <v>Jack_Rebman_Reb</v>
      </c>
      <c r="O83" s="29" t="str">
        <f t="array" ref="O83">IF(N83="","",IFERROR(INDEX(Entries!$E$2:$E$47,11),""))</f>
        <v>Reb</v>
      </c>
      <c r="P83" s="29" t="str">
        <f>IF(N83="","","Tier2_Pick1")</f>
        <v>Tier2_Pick1</v>
      </c>
      <c r="Q83" s="29">
        <f t="shared" ref="Q83:Q84" si="25">IF(N83="","",2)</f>
        <v>2</v>
      </c>
      <c r="R83" s="29" t="str">
        <f t="array" ref="R83">IF(N83="","",IFERROR(INDEX(Entries!$M$2:$M$47,11),""))</f>
        <v>Netherlands</v>
      </c>
      <c r="S83" s="29" t="str">
        <f t="array" ref="S83">IF(R83="","",IFERROR(XLOOKUP(R83,'Live Medal Table'!$B$2:$B$94,'Live Medal Table'!$C$2:$C$94,"???"),"???"))</f>
        <v>NED</v>
      </c>
      <c r="T83" s="29">
        <f t="array" ref="T83">IF(R83="",0,IFERROR(XLOOKUP(R83,'Live Medal Table'!$B$2:$B$94,'Live Medal Table'!$F$2:$F$94,0),0))</f>
        <v>2</v>
      </c>
      <c r="U83" s="29">
        <f t="array" ref="U83">IF(R83="",0,IFERROR(XLOOKUP(R83,'Live Medal Table'!$B$2:$B$94,'Live Medal Table'!$G$2:$G$94,0),0))</f>
        <v>10</v>
      </c>
      <c r="V83" s="29">
        <f t="array" ref="V83">IF(R83="",0,IFERROR(XLOOKUP(R83,'Live Medal Table'!$B$2:$B$94,'Live Medal Table'!$H$2:$H$94,0),0))</f>
        <v>7</v>
      </c>
      <c r="W83" s="29">
        <f t="array" ref="W83">IF(R83="",0,IFERROR(XLOOKUP(R83,'Live Medal Table'!$B$2:$B$94,'Live Medal Table'!$I$2:$I$94,0),0))</f>
        <v>3</v>
      </c>
      <c r="X83" s="29">
        <f t="shared" si="1"/>
        <v>60</v>
      </c>
      <c r="Y83" s="29">
        <f t="shared" si="2"/>
        <v>28</v>
      </c>
      <c r="Z83" s="29">
        <f t="shared" si="3"/>
        <v>6</v>
      </c>
      <c r="AA83" s="29">
        <f t="shared" si="4"/>
        <v>94</v>
      </c>
      <c r="AB83" s="29" t="b">
        <f t="array" ref="AB83">IF(R83="",FALSE,IFERROR(AND(ISNUMBER(MATCH(R83,'Live Medal Table'!$B$2:$B$94,0)),XLOOKUP(R83,'Live Medal Table'!$B$2:$B$94,Countries!$I$2:$I$72,FALSE)),FALSE))</f>
        <v>0</v>
      </c>
    </row>
    <row r="84" ht="15.75" hidden="1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29"/>
      <c r="M84" s="29"/>
      <c r="N84" s="29" t="str">
        <f t="array" ref="N84">IFERROR(IF(INDEX(Entries!$C$2:$C$47,11)="","",INDEX(Entries!$Q$2:$Q$47,11)),"")</f>
        <v>Jack_Rebman_Reb</v>
      </c>
      <c r="O84" s="29" t="str">
        <f t="array" ref="O84">IF(N84="","",IFERROR(INDEX(Entries!$E$2:$E$47,11),""))</f>
        <v>Reb</v>
      </c>
      <c r="P84" s="29" t="str">
        <f>IF(N84="","","Tier2_Pick2")</f>
        <v>Tier2_Pick2</v>
      </c>
      <c r="Q84" s="29">
        <f t="shared" si="25"/>
        <v>2</v>
      </c>
      <c r="R84" s="29" t="str">
        <f t="array" ref="R84">IF(N84="","",IFERROR(INDEX(Entries!$N$2:$N$47,11),""))</f>
        <v>Sweden</v>
      </c>
      <c r="S84" s="29" t="str">
        <f t="array" ref="S84">IF(R84="","",IFERROR(XLOOKUP(R84,'Live Medal Table'!$B$2:$B$94,'Live Medal Table'!$C$2:$C$94,"???"),"???"))</f>
        <v>SWE</v>
      </c>
      <c r="T84" s="29">
        <f t="array" ref="T84">IF(R84="",0,IFERROR(XLOOKUP(R84,'Live Medal Table'!$B$2:$B$94,'Live Medal Table'!$F$2:$F$94,0),0))</f>
        <v>2</v>
      </c>
      <c r="U84" s="29">
        <f t="array" ref="U84">IF(R84="",0,IFERROR(XLOOKUP(R84,'Live Medal Table'!$B$2:$B$94,'Live Medal Table'!$G$2:$G$94,0),0))</f>
        <v>8</v>
      </c>
      <c r="V84" s="29">
        <f t="array" ref="V84">IF(R84="",0,IFERROR(XLOOKUP(R84,'Live Medal Table'!$B$2:$B$94,'Live Medal Table'!$H$2:$H$94,0),0))</f>
        <v>6</v>
      </c>
      <c r="W84" s="29">
        <f t="array" ref="W84">IF(R84="",0,IFERROR(XLOOKUP(R84,'Live Medal Table'!$B$2:$B$94,'Live Medal Table'!$I$2:$I$94,0),0))</f>
        <v>4</v>
      </c>
      <c r="X84" s="29">
        <f t="shared" si="1"/>
        <v>48</v>
      </c>
      <c r="Y84" s="29">
        <f t="shared" si="2"/>
        <v>24</v>
      </c>
      <c r="Z84" s="29">
        <f t="shared" si="3"/>
        <v>8</v>
      </c>
      <c r="AA84" s="29">
        <f t="shared" si="4"/>
        <v>80</v>
      </c>
      <c r="AB84" s="29" t="b">
        <f t="array" ref="AB84">IF(R84="",FALSE,IFERROR(AND(ISNUMBER(MATCH(R84,'Live Medal Table'!$B$2:$B$94,0)),XLOOKUP(R84,'Live Medal Table'!$B$2:$B$94,Countries!$I$2:$I$72,FALSE)),FALSE))</f>
        <v>0</v>
      </c>
    </row>
    <row r="85" ht="15.75" hidden="1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29"/>
      <c r="M85" s="29"/>
      <c r="N85" s="29" t="str">
        <f t="array" ref="N85">IFERROR(IF(INDEX(Entries!$C$2:$C$47,11)="","",INDEX(Entries!$Q$2:$Q$47,11)),"")</f>
        <v>Jack_Rebman_Reb</v>
      </c>
      <c r="O85" s="29" t="str">
        <f t="array" ref="O85">IF(N85="","",IFERROR(INDEX(Entries!$E$2:$E$47,11),""))</f>
        <v>Reb</v>
      </c>
      <c r="P85" s="29" t="str">
        <f>IF(N85="","","Tier3_Pick1")</f>
        <v>Tier3_Pick1</v>
      </c>
      <c r="Q85" s="29">
        <f>IF(N85="","",3)</f>
        <v>3</v>
      </c>
      <c r="R85" s="29" t="str">
        <f t="array" ref="R85">IF(N85="","",IFERROR(INDEX(Entries!$H$2:$H$47,11),""))</f>
        <v>Italy</v>
      </c>
      <c r="S85" s="29" t="str">
        <f t="array" ref="S85">IF(R85="","",IFERROR(XLOOKUP(R85,'Live Medal Table'!$B$2:$B$94,'Live Medal Table'!$C$2:$C$94,"???"),"???"))</f>
        <v>ITA</v>
      </c>
      <c r="T85" s="29">
        <f t="array" ref="T85">IF(R85="",0,IFERROR(XLOOKUP(R85,'Live Medal Table'!$B$2:$B$94,'Live Medal Table'!$F$2:$F$94,0),0))</f>
        <v>3</v>
      </c>
      <c r="U85" s="29">
        <f t="array" ref="U85">IF(R85="",0,IFERROR(XLOOKUP(R85,'Live Medal Table'!$B$2:$B$94,'Live Medal Table'!$G$2:$G$94,0),0))</f>
        <v>10</v>
      </c>
      <c r="V85" s="29">
        <f t="array" ref="V85">IF(R85="",0,IFERROR(XLOOKUP(R85,'Live Medal Table'!$B$2:$B$94,'Live Medal Table'!$H$2:$H$94,0),0))</f>
        <v>6</v>
      </c>
      <c r="W85" s="29">
        <f t="array" ref="W85">IF(R85="",0,IFERROR(XLOOKUP(R85,'Live Medal Table'!$B$2:$B$94,'Live Medal Table'!$I$2:$I$94,0),0))</f>
        <v>14</v>
      </c>
      <c r="X85" s="29">
        <f t="shared" si="1"/>
        <v>90</v>
      </c>
      <c r="Y85" s="29">
        <f t="shared" si="2"/>
        <v>36</v>
      </c>
      <c r="Z85" s="29">
        <f t="shared" si="3"/>
        <v>42</v>
      </c>
      <c r="AA85" s="29">
        <f t="shared" si="4"/>
        <v>168</v>
      </c>
      <c r="AB85" s="29" t="b">
        <f t="array" ref="AB85">IF(R85="",FALSE,IFERROR(AND(ISNUMBER(MATCH(R85,'Live Medal Table'!$B$2:$B$94,0)),XLOOKUP(R85,'Live Medal Table'!$B$2:$B$94,Countries!$I$2:$I$72,FALSE)),FALSE))</f>
        <v>0</v>
      </c>
    </row>
    <row r="86" ht="15.75" hidden="1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29"/>
      <c r="M86" s="29"/>
      <c r="N86" s="29" t="str">
        <f t="array" ref="N86">IFERROR(IF(INDEX(Entries!$C$2:$C$47,11)="","",INDEX(Entries!$Q$2:$Q$47,11)),"")</f>
        <v>Jack_Rebman_Reb</v>
      </c>
      <c r="O86" s="29" t="str">
        <f t="array" ref="O86">IF(N86="","",IFERROR(INDEX(Entries!$E$2:$E$47,11),""))</f>
        <v>Reb</v>
      </c>
      <c r="P86" s="29" t="str">
        <f>IF(N86="","","Tier4_Pick1")</f>
        <v>Tier4_Pick1</v>
      </c>
      <c r="Q86" s="29">
        <f>IF(N86="","",4)</f>
        <v>4</v>
      </c>
      <c r="R86" s="29" t="str">
        <f t="array" ref="R86">IF(N86="","",IFERROR(INDEX(Entries!$I$2:$I$47,11),""))</f>
        <v>Czech Republic</v>
      </c>
      <c r="S86" s="29" t="str">
        <f t="array" ref="S86">IF(R86="","",IFERROR(XLOOKUP(R86,'Live Medal Table'!$B$2:$B$94,'Live Medal Table'!$C$2:$C$94,"???"),"???"))</f>
        <v>CZE</v>
      </c>
      <c r="T86" s="29">
        <f t="array" ref="T86">IF(R86="",0,IFERROR(XLOOKUP(R86,'Live Medal Table'!$B$2:$B$94,'Live Medal Table'!$F$2:$F$94,0),0))</f>
        <v>6</v>
      </c>
      <c r="U86" s="29">
        <f t="array" ref="U86">IF(R86="",0,IFERROR(XLOOKUP(R86,'Live Medal Table'!$B$2:$B$94,'Live Medal Table'!$G$2:$G$94,0),0))</f>
        <v>2</v>
      </c>
      <c r="V86" s="29">
        <f t="array" ref="V86">IF(R86="",0,IFERROR(XLOOKUP(R86,'Live Medal Table'!$B$2:$B$94,'Live Medal Table'!$H$2:$H$94,0),0))</f>
        <v>2</v>
      </c>
      <c r="W86" s="29">
        <f t="array" ref="W86">IF(R86="",0,IFERROR(XLOOKUP(R86,'Live Medal Table'!$B$2:$B$94,'Live Medal Table'!$I$2:$I$94,0),0))</f>
        <v>1</v>
      </c>
      <c r="X86" s="29">
        <f t="shared" si="1"/>
        <v>36</v>
      </c>
      <c r="Y86" s="29">
        <f t="shared" si="2"/>
        <v>24</v>
      </c>
      <c r="Z86" s="29">
        <f t="shared" si="3"/>
        <v>6</v>
      </c>
      <c r="AA86" s="29">
        <f t="shared" si="4"/>
        <v>66</v>
      </c>
      <c r="AB86" s="29" t="b">
        <f t="array" ref="AB86">IF(R86="",FALSE,IFERROR(AND(ISNUMBER(MATCH(R86,'Live Medal Table'!$B$2:$B$94,0)),XLOOKUP(R86,'Live Medal Table'!$B$2:$B$94,Countries!$I$2:$I$72,FALSE)),FALSE))</f>
        <v>0</v>
      </c>
    </row>
    <row r="87" ht="15.75" hidden="1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29"/>
      <c r="M87" s="29"/>
      <c r="N87" s="29" t="str">
        <f t="array" ref="N87">IFERROR(IF(INDEX(Entries!$C$2:$C$47,11)="","",INDEX(Entries!$Q$2:$Q$47,11)),"")</f>
        <v>Jack_Rebman_Reb</v>
      </c>
      <c r="O87" s="29" t="str">
        <f t="array" ref="O87">IF(N87="","",IFERROR(INDEX(Entries!$E$2:$E$47,11),""))</f>
        <v>Reb</v>
      </c>
      <c r="P87" s="29" t="str">
        <f>IF(N87="","","Tier5_Pick1")</f>
        <v>Tier5_Pick1</v>
      </c>
      <c r="Q87" s="29">
        <f>IF(N87="","",5)</f>
        <v>5</v>
      </c>
      <c r="R87" s="29" t="str">
        <f t="array" ref="R87">IF(N87="","",IFERROR(INDEX(Entries!$J$2:$J$47,11),""))</f>
        <v>Great Britain</v>
      </c>
      <c r="S87" s="29" t="str">
        <f t="array" ref="S87">IF(R87="","",IFERROR(XLOOKUP(R87,'Live Medal Table'!$B$2:$B$94,'Live Medal Table'!$C$2:$C$94,"???"),"???"))</f>
        <v>GBR</v>
      </c>
      <c r="T87" s="29">
        <f t="array" ref="T87">IF(R87="",0,IFERROR(XLOOKUP(R87,'Live Medal Table'!$B$2:$B$94,'Live Medal Table'!$F$2:$F$94,0),0))</f>
        <v>10</v>
      </c>
      <c r="U87" s="29">
        <f t="array" ref="U87">IF(R87="",0,IFERROR(XLOOKUP(R87,'Live Medal Table'!$B$2:$B$94,'Live Medal Table'!$G$2:$G$94,0),0))</f>
        <v>3</v>
      </c>
      <c r="V87" s="29">
        <f t="array" ref="V87">IF(R87="",0,IFERROR(XLOOKUP(R87,'Live Medal Table'!$B$2:$B$94,'Live Medal Table'!$H$2:$H$94,0),0))</f>
        <v>1</v>
      </c>
      <c r="W87" s="29">
        <f t="array" ref="W87">IF(R87="",0,IFERROR(XLOOKUP(R87,'Live Medal Table'!$B$2:$B$94,'Live Medal Table'!$I$2:$I$94,0),0))</f>
        <v>1</v>
      </c>
      <c r="X87" s="29">
        <f t="shared" si="1"/>
        <v>90</v>
      </c>
      <c r="Y87" s="29">
        <f t="shared" si="2"/>
        <v>20</v>
      </c>
      <c r="Z87" s="29">
        <f t="shared" si="3"/>
        <v>10</v>
      </c>
      <c r="AA87" s="29">
        <f t="shared" si="4"/>
        <v>120</v>
      </c>
      <c r="AB87" s="29" t="b">
        <f t="array" ref="AB87">IF(R87="",FALSE,IFERROR(AND(ISNUMBER(MATCH(R87,'Live Medal Table'!$B$2:$B$94,0)),XLOOKUP(R87,'Live Medal Table'!$B$2:$B$94,Countries!$I$2:$I$72,FALSE)),FALSE))</f>
        <v>0</v>
      </c>
    </row>
    <row r="88" ht="15.75" hidden="1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29"/>
      <c r="M88" s="29"/>
      <c r="N88" s="29" t="str">
        <f t="array" ref="N88">IFERROR(IF(INDEX(Entries!$C$2:$C$47,11)="","",INDEX(Entries!$Q$2:$Q$47,11)),"")</f>
        <v>Jack_Rebman_Reb</v>
      </c>
      <c r="O88" s="29" t="str">
        <f t="array" ref="O88">IF(N88="","",IFERROR(INDEX(Entries!$E$2:$E$47,11),""))</f>
        <v>Reb</v>
      </c>
      <c r="P88" s="29" t="str">
        <f>IF(N88="","","Tier6_Pick1")</f>
        <v>Tier6_Pick1</v>
      </c>
      <c r="Q88" s="29">
        <f t="shared" ref="Q88:Q89" si="26">IF(N88="","",6)</f>
        <v>6</v>
      </c>
      <c r="R88" s="29" t="str">
        <f t="array" ref="R88">IF(N88="","",IFERROR(INDEX(Entries!$O$2:$O$47,11),""))</f>
        <v>Denmark</v>
      </c>
      <c r="S88" s="29" t="str">
        <f t="array" ref="S88">IF(R88="","",IFERROR(XLOOKUP(R88,'Live Medal Table'!$B$2:$B$94,'Live Medal Table'!$C$2:$C$94,"???"),"???"))</f>
        <v>DEN</v>
      </c>
      <c r="T88" s="29">
        <f t="array" ref="T88">IF(R88="",0,IFERROR(XLOOKUP(R88,'Live Medal Table'!$B$2:$B$94,'Live Medal Table'!$F$2:$F$94,0),0))</f>
        <v>20</v>
      </c>
      <c r="U88" s="29">
        <f t="array" ref="U88">IF(R88="",0,IFERROR(XLOOKUP(R88,'Live Medal Table'!$B$2:$B$94,'Live Medal Table'!$G$2:$G$94,0),0))</f>
        <v>0</v>
      </c>
      <c r="V88" s="29">
        <f t="array" ref="V88">IF(R88="",0,IFERROR(XLOOKUP(R88,'Live Medal Table'!$B$2:$B$94,'Live Medal Table'!$H$2:$H$94,0),0))</f>
        <v>1</v>
      </c>
      <c r="W88" s="29">
        <f t="array" ref="W88">IF(R88="",0,IFERROR(XLOOKUP(R88,'Live Medal Table'!$B$2:$B$94,'Live Medal Table'!$I$2:$I$94,0),0))</f>
        <v>0</v>
      </c>
      <c r="X88" s="29">
        <f t="shared" si="1"/>
        <v>0</v>
      </c>
      <c r="Y88" s="29">
        <f t="shared" si="2"/>
        <v>40</v>
      </c>
      <c r="Z88" s="29">
        <f t="shared" si="3"/>
        <v>0</v>
      </c>
      <c r="AA88" s="29">
        <f t="shared" si="4"/>
        <v>40</v>
      </c>
      <c r="AB88" s="29" t="b">
        <f t="array" ref="AB88">IF(R88="",FALSE,IFERROR(AND(ISNUMBER(MATCH(R88,'Live Medal Table'!$B$2:$B$94,0)),XLOOKUP(R88,'Live Medal Table'!$B$2:$B$94,Countries!$I$2:$I$72,FALSE)),FALSE))</f>
        <v>0</v>
      </c>
    </row>
    <row r="89" ht="15.75" hidden="1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29"/>
      <c r="M89" s="29"/>
      <c r="N89" s="29" t="str">
        <f t="array" ref="N89">IFERROR(IF(INDEX(Entries!$C$2:$C$47,11)="","",INDEX(Entries!$Q$2:$Q$47,11)),"")</f>
        <v>Jack_Rebman_Reb</v>
      </c>
      <c r="O89" s="29" t="str">
        <f t="array" ref="O89">IF(N89="","",IFERROR(INDEX(Entries!$E$2:$E$47,11),""))</f>
        <v>Reb</v>
      </c>
      <c r="P89" s="29" t="str">
        <f>IF(N89="","","Tier6_Pick2")</f>
        <v>Tier6_Pick2</v>
      </c>
      <c r="Q89" s="29">
        <f t="shared" si="26"/>
        <v>6</v>
      </c>
      <c r="R89" s="29" t="str">
        <f t="array" ref="R89">IF(N89="","",IFERROR(INDEX(Entries!$P$2:$P$47,11),""))</f>
        <v>Kazakhstan</v>
      </c>
      <c r="S89" s="29" t="str">
        <f t="array" ref="S89">IF(R89="","",IFERROR(XLOOKUP(R89,'Live Medal Table'!$B$2:$B$94,'Live Medal Table'!$C$2:$C$94,"???"),"???"))</f>
        <v>KAZ</v>
      </c>
      <c r="T89" s="29">
        <f t="array" ref="T89">IF(R89="",0,IFERROR(XLOOKUP(R89,'Live Medal Table'!$B$2:$B$94,'Live Medal Table'!$F$2:$F$94,0),0))</f>
        <v>20</v>
      </c>
      <c r="U89" s="29">
        <f t="array" ref="U89">IF(R89="",0,IFERROR(XLOOKUP(R89,'Live Medal Table'!$B$2:$B$94,'Live Medal Table'!$G$2:$G$94,0),0))</f>
        <v>1</v>
      </c>
      <c r="V89" s="29">
        <f t="array" ref="V89">IF(R89="",0,IFERROR(XLOOKUP(R89,'Live Medal Table'!$B$2:$B$94,'Live Medal Table'!$H$2:$H$94,0),0))</f>
        <v>0</v>
      </c>
      <c r="W89" s="29">
        <f t="array" ref="W89">IF(R89="",0,IFERROR(XLOOKUP(R89,'Live Medal Table'!$B$2:$B$94,'Live Medal Table'!$I$2:$I$94,0),0))</f>
        <v>0</v>
      </c>
      <c r="X89" s="29">
        <f t="shared" si="1"/>
        <v>60</v>
      </c>
      <c r="Y89" s="29">
        <f t="shared" si="2"/>
        <v>0</v>
      </c>
      <c r="Z89" s="29">
        <f t="shared" si="3"/>
        <v>0</v>
      </c>
      <c r="AA89" s="29">
        <f t="shared" si="4"/>
        <v>60</v>
      </c>
      <c r="AB89" s="29" t="b">
        <f t="array" ref="AB89">IF(R89="",FALSE,IFERROR(AND(ISNUMBER(MATCH(R89,'Live Medal Table'!$B$2:$B$94,0)),XLOOKUP(R89,'Live Medal Table'!$B$2:$B$94,Countries!$I$2:$I$72,FALSE)),FALSE))</f>
        <v>0</v>
      </c>
    </row>
    <row r="90" ht="15.75" hidden="1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29"/>
      <c r="M90" s="29"/>
      <c r="N90" s="29" t="str">
        <f t="array" ref="N90">IFERROR(IF(INDEX(Entries!$C$2:$C$47,12)="","",INDEX(Entries!$Q$2:$Q$47,12)),"")</f>
        <v>Max_Sirianni_Siri</v>
      </c>
      <c r="O90" s="29" t="str">
        <f t="array" ref="O90">IF(N90="","",IFERROR(INDEX(Entries!$E$2:$E$47,12),""))</f>
        <v>Siri</v>
      </c>
      <c r="P90" s="29" t="str">
        <f>IF(N90="","","Tier1_Pick1")</f>
        <v>Tier1_Pick1</v>
      </c>
      <c r="Q90" s="29">
        <f>IF(N90="","",1)</f>
        <v>1</v>
      </c>
      <c r="R90" s="29" t="str">
        <f t="array" ref="R90">IF(N90="","",IFERROR(INDEX(Entries!$F$2:$F$47,12),""))</f>
        <v>United States</v>
      </c>
      <c r="S90" s="29" t="str">
        <f t="array" ref="S90">IF(R90="","",IFERROR(XLOOKUP(R90,'Live Medal Table'!$B$2:$B$94,'Live Medal Table'!$C$2:$C$94,"???"),"???"))</f>
        <v>USA</v>
      </c>
      <c r="T90" s="29">
        <f t="array" ref="T90">IF(R90="",0,IFERROR(XLOOKUP(R90,'Live Medal Table'!$B$2:$B$94,'Live Medal Table'!$F$2:$F$94,0),0))</f>
        <v>1</v>
      </c>
      <c r="U90" s="29">
        <f t="array" ref="U90">IF(R90="",0,IFERROR(XLOOKUP(R90,'Live Medal Table'!$B$2:$B$94,'Live Medal Table'!$G$2:$G$94,0),0))</f>
        <v>12</v>
      </c>
      <c r="V90" s="29">
        <f t="array" ref="V90">IF(R90="",0,IFERROR(XLOOKUP(R90,'Live Medal Table'!$B$2:$B$94,'Live Medal Table'!$H$2:$H$94,0),0))</f>
        <v>12</v>
      </c>
      <c r="W90" s="29">
        <f t="array" ref="W90">IF(R90="",0,IFERROR(XLOOKUP(R90,'Live Medal Table'!$B$2:$B$94,'Live Medal Table'!$I$2:$I$94,0),0))</f>
        <v>9</v>
      </c>
      <c r="X90" s="29">
        <f t="shared" si="1"/>
        <v>36</v>
      </c>
      <c r="Y90" s="29">
        <f t="shared" si="2"/>
        <v>24</v>
      </c>
      <c r="Z90" s="29">
        <f t="shared" si="3"/>
        <v>9</v>
      </c>
      <c r="AA90" s="29">
        <f t="shared" si="4"/>
        <v>69</v>
      </c>
      <c r="AB90" s="29" t="b">
        <f t="array" ref="AB90">IF(R90="",FALSE,IFERROR(AND(ISNUMBER(MATCH(R90,'Live Medal Table'!$B$2:$B$94,0)),XLOOKUP(R90,'Live Medal Table'!$B$2:$B$94,Countries!$I$2:$I$72,FALSE)),FALSE))</f>
        <v>0</v>
      </c>
    </row>
    <row r="91" ht="15.75" hidden="1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29"/>
      <c r="M91" s="29"/>
      <c r="N91" s="29" t="str">
        <f t="array" ref="N91">IFERROR(IF(INDEX(Entries!$C$2:$C$47,12)="","",INDEX(Entries!$Q$2:$Q$47,12)),"")</f>
        <v>Max_Sirianni_Siri</v>
      </c>
      <c r="O91" s="29" t="str">
        <f t="array" ref="O91">IF(N91="","",IFERROR(INDEX(Entries!$E$2:$E$47,12),""))</f>
        <v>Siri</v>
      </c>
      <c r="P91" s="29" t="str">
        <f>IF(N91="","","Tier2_Pick1")</f>
        <v>Tier2_Pick1</v>
      </c>
      <c r="Q91" s="29">
        <f t="shared" ref="Q91:Q92" si="27">IF(N91="","",2)</f>
        <v>2</v>
      </c>
      <c r="R91" s="29" t="str">
        <f t="array" ref="R91">IF(N91="","",IFERROR(INDEX(Entries!$M$2:$M$47,12),""))</f>
        <v>Netherlands</v>
      </c>
      <c r="S91" s="29" t="str">
        <f t="array" ref="S91">IF(R91="","",IFERROR(XLOOKUP(R91,'Live Medal Table'!$B$2:$B$94,'Live Medal Table'!$C$2:$C$94,"???"),"???"))</f>
        <v>NED</v>
      </c>
      <c r="T91" s="29">
        <f t="array" ref="T91">IF(R91="",0,IFERROR(XLOOKUP(R91,'Live Medal Table'!$B$2:$B$94,'Live Medal Table'!$F$2:$F$94,0),0))</f>
        <v>2</v>
      </c>
      <c r="U91" s="29">
        <f t="array" ref="U91">IF(R91="",0,IFERROR(XLOOKUP(R91,'Live Medal Table'!$B$2:$B$94,'Live Medal Table'!$G$2:$G$94,0),0))</f>
        <v>10</v>
      </c>
      <c r="V91" s="29">
        <f t="array" ref="V91">IF(R91="",0,IFERROR(XLOOKUP(R91,'Live Medal Table'!$B$2:$B$94,'Live Medal Table'!$H$2:$H$94,0),0))</f>
        <v>7</v>
      </c>
      <c r="W91" s="29">
        <f t="array" ref="W91">IF(R91="",0,IFERROR(XLOOKUP(R91,'Live Medal Table'!$B$2:$B$94,'Live Medal Table'!$I$2:$I$94,0),0))</f>
        <v>3</v>
      </c>
      <c r="X91" s="29">
        <f t="shared" si="1"/>
        <v>60</v>
      </c>
      <c r="Y91" s="29">
        <f t="shared" si="2"/>
        <v>28</v>
      </c>
      <c r="Z91" s="29">
        <f t="shared" si="3"/>
        <v>6</v>
      </c>
      <c r="AA91" s="29">
        <f t="shared" si="4"/>
        <v>94</v>
      </c>
      <c r="AB91" s="29" t="b">
        <f t="array" ref="AB91">IF(R91="",FALSE,IFERROR(AND(ISNUMBER(MATCH(R91,'Live Medal Table'!$B$2:$B$94,0)),XLOOKUP(R91,'Live Medal Table'!$B$2:$B$94,Countries!$I$2:$I$72,FALSE)),FALSE))</f>
        <v>0</v>
      </c>
    </row>
    <row r="92" ht="15.75" hidden="1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29"/>
      <c r="M92" s="29"/>
      <c r="N92" s="29" t="str">
        <f t="array" ref="N92">IFERROR(IF(INDEX(Entries!$C$2:$C$47,12)="","",INDEX(Entries!$Q$2:$Q$47,12)),"")</f>
        <v>Max_Sirianni_Siri</v>
      </c>
      <c r="O92" s="29" t="str">
        <f t="array" ref="O92">IF(N92="","",IFERROR(INDEX(Entries!$E$2:$E$47,12),""))</f>
        <v>Siri</v>
      </c>
      <c r="P92" s="29" t="str">
        <f>IF(N92="","","Tier2_Pick2")</f>
        <v>Tier2_Pick2</v>
      </c>
      <c r="Q92" s="29">
        <f t="shared" si="27"/>
        <v>2</v>
      </c>
      <c r="R92" s="29" t="str">
        <f t="array" ref="R92">IF(N92="","",IFERROR(INDEX(Entries!$N$2:$N$47,12),""))</f>
        <v>Switzerland</v>
      </c>
      <c r="S92" s="29" t="str">
        <f t="array" ref="S92">IF(R92="","",IFERROR(XLOOKUP(R92,'Live Medal Table'!$B$2:$B$94,'Live Medal Table'!$C$2:$C$94,"???"),"???"))</f>
        <v>SUI</v>
      </c>
      <c r="T92" s="29">
        <f t="array" ref="T92">IF(R92="",0,IFERROR(XLOOKUP(R92,'Live Medal Table'!$B$2:$B$94,'Live Medal Table'!$F$2:$F$94,0),0))</f>
        <v>2</v>
      </c>
      <c r="U92" s="29">
        <f t="array" ref="U92">IF(R92="",0,IFERROR(XLOOKUP(R92,'Live Medal Table'!$B$2:$B$94,'Live Medal Table'!$G$2:$G$94,0),0))</f>
        <v>6</v>
      </c>
      <c r="V92" s="29">
        <f t="array" ref="V92">IF(R92="",0,IFERROR(XLOOKUP(R92,'Live Medal Table'!$B$2:$B$94,'Live Medal Table'!$H$2:$H$94,0),0))</f>
        <v>9</v>
      </c>
      <c r="W92" s="29">
        <f t="array" ref="W92">IF(R92="",0,IFERROR(XLOOKUP(R92,'Live Medal Table'!$B$2:$B$94,'Live Medal Table'!$I$2:$I$94,0),0))</f>
        <v>8</v>
      </c>
      <c r="X92" s="29">
        <f t="shared" si="1"/>
        <v>36</v>
      </c>
      <c r="Y92" s="29">
        <f t="shared" si="2"/>
        <v>36</v>
      </c>
      <c r="Z92" s="29">
        <f t="shared" si="3"/>
        <v>16</v>
      </c>
      <c r="AA92" s="29">
        <f t="shared" si="4"/>
        <v>88</v>
      </c>
      <c r="AB92" s="29" t="b">
        <f t="array" ref="AB92">IF(R92="",FALSE,IFERROR(AND(ISNUMBER(MATCH(R92,'Live Medal Table'!$B$2:$B$94,0)),XLOOKUP(R92,'Live Medal Table'!$B$2:$B$94,Countries!$I$2:$I$72,FALSE)),FALSE))</f>
        <v>0</v>
      </c>
    </row>
    <row r="93" ht="15.75" hidden="1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29"/>
      <c r="M93" s="29"/>
      <c r="N93" s="29" t="str">
        <f t="array" ref="N93">IFERROR(IF(INDEX(Entries!$C$2:$C$47,12)="","",INDEX(Entries!$Q$2:$Q$47,12)),"")</f>
        <v>Max_Sirianni_Siri</v>
      </c>
      <c r="O93" s="29" t="str">
        <f t="array" ref="O93">IF(N93="","",IFERROR(INDEX(Entries!$E$2:$E$47,12),""))</f>
        <v>Siri</v>
      </c>
      <c r="P93" s="29" t="str">
        <f>IF(N93="","","Tier3_Pick1")</f>
        <v>Tier3_Pick1</v>
      </c>
      <c r="Q93" s="29">
        <f>IF(N93="","",3)</f>
        <v>3</v>
      </c>
      <c r="R93" s="29" t="str">
        <f t="array" ref="R93">IF(N93="","",IFERROR(INDEX(Entries!$H$2:$H$47,12),""))</f>
        <v>China</v>
      </c>
      <c r="S93" s="29" t="str">
        <f t="array" ref="S93">IF(R93="","",IFERROR(XLOOKUP(R93,'Live Medal Table'!$B$2:$B$94,'Live Medal Table'!$C$2:$C$94,"???"),"???"))</f>
        <v>CHN</v>
      </c>
      <c r="T93" s="29">
        <f t="array" ref="T93">IF(R93="",0,IFERROR(XLOOKUP(R93,'Live Medal Table'!$B$2:$B$94,'Live Medal Table'!$F$2:$F$94,0),0))</f>
        <v>3</v>
      </c>
      <c r="U93" s="29">
        <f t="array" ref="U93">IF(R93="",0,IFERROR(XLOOKUP(R93,'Live Medal Table'!$B$2:$B$94,'Live Medal Table'!$G$2:$G$94,0),0))</f>
        <v>5</v>
      </c>
      <c r="V93" s="29">
        <f t="array" ref="V93">IF(R93="",0,IFERROR(XLOOKUP(R93,'Live Medal Table'!$B$2:$B$94,'Live Medal Table'!$H$2:$H$94,0),0))</f>
        <v>4</v>
      </c>
      <c r="W93" s="29">
        <f t="array" ref="W93">IF(R93="",0,IFERROR(XLOOKUP(R93,'Live Medal Table'!$B$2:$B$94,'Live Medal Table'!$I$2:$I$94,0),0))</f>
        <v>6</v>
      </c>
      <c r="X93" s="29">
        <f t="shared" si="1"/>
        <v>45</v>
      </c>
      <c r="Y93" s="29">
        <f t="shared" si="2"/>
        <v>24</v>
      </c>
      <c r="Z93" s="29">
        <f t="shared" si="3"/>
        <v>18</v>
      </c>
      <c r="AA93" s="29">
        <f t="shared" si="4"/>
        <v>87</v>
      </c>
      <c r="AB93" s="29" t="b">
        <f t="array" ref="AB93">IF(R93="",FALSE,IFERROR(AND(ISNUMBER(MATCH(R93,'Live Medal Table'!$B$2:$B$94,0)),XLOOKUP(R93,'Live Medal Table'!$B$2:$B$94,Countries!$I$2:$I$72,FALSE)),FALSE))</f>
        <v>0</v>
      </c>
    </row>
    <row r="94" ht="15.75" hidden="1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29"/>
      <c r="M94" s="29"/>
      <c r="N94" s="29" t="str">
        <f t="array" ref="N94">IFERROR(IF(INDEX(Entries!$C$2:$C$47,12)="","",INDEX(Entries!$Q$2:$Q$47,12)),"")</f>
        <v>Max_Sirianni_Siri</v>
      </c>
      <c r="O94" s="29" t="str">
        <f t="array" ref="O94">IF(N94="","",IFERROR(INDEX(Entries!$E$2:$E$47,12),""))</f>
        <v>Siri</v>
      </c>
      <c r="P94" s="29" t="str">
        <f>IF(N94="","","Tier4_Pick1")</f>
        <v>Tier4_Pick1</v>
      </c>
      <c r="Q94" s="29">
        <f>IF(N94="","",4)</f>
        <v>4</v>
      </c>
      <c r="R94" s="29" t="str">
        <f t="array" ref="R94">IF(N94="","",IFERROR(INDEX(Entries!$I$2:$I$47,12),""))</f>
        <v>Finland</v>
      </c>
      <c r="S94" s="29" t="str">
        <f t="array" ref="S94">IF(R94="","",IFERROR(XLOOKUP(R94,'Live Medal Table'!$B$2:$B$94,'Live Medal Table'!$C$2:$C$94,"???"),"???"))</f>
        <v>FIN</v>
      </c>
      <c r="T94" s="29">
        <f t="array" ref="T94">IF(R94="",0,IFERROR(XLOOKUP(R94,'Live Medal Table'!$B$2:$B$94,'Live Medal Table'!$F$2:$F$94,0),0))</f>
        <v>6</v>
      </c>
      <c r="U94" s="29">
        <f t="array" ref="U94">IF(R94="",0,IFERROR(XLOOKUP(R94,'Live Medal Table'!$B$2:$B$94,'Live Medal Table'!$G$2:$G$94,0),0))</f>
        <v>0</v>
      </c>
      <c r="V94" s="29">
        <f t="array" ref="V94">IF(R94="",0,IFERROR(XLOOKUP(R94,'Live Medal Table'!$B$2:$B$94,'Live Medal Table'!$H$2:$H$94,0),0))</f>
        <v>1</v>
      </c>
      <c r="W94" s="29">
        <f t="array" ref="W94">IF(R94="",0,IFERROR(XLOOKUP(R94,'Live Medal Table'!$B$2:$B$94,'Live Medal Table'!$I$2:$I$94,0),0))</f>
        <v>5</v>
      </c>
      <c r="X94" s="29">
        <f t="shared" si="1"/>
        <v>0</v>
      </c>
      <c r="Y94" s="29">
        <f t="shared" si="2"/>
        <v>12</v>
      </c>
      <c r="Z94" s="29">
        <f t="shared" si="3"/>
        <v>30</v>
      </c>
      <c r="AA94" s="29">
        <f t="shared" si="4"/>
        <v>42</v>
      </c>
      <c r="AB94" s="29" t="b">
        <f t="array" ref="AB94">IF(R94="",FALSE,IFERROR(AND(ISNUMBER(MATCH(R94,'Live Medal Table'!$B$2:$B$94,0)),XLOOKUP(R94,'Live Medal Table'!$B$2:$B$94,Countries!$I$2:$I$72,FALSE)),FALSE))</f>
        <v>0</v>
      </c>
    </row>
    <row r="95" ht="15.75" hidden="1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29"/>
      <c r="M95" s="29"/>
      <c r="N95" s="29" t="str">
        <f t="array" ref="N95">IFERROR(IF(INDEX(Entries!$C$2:$C$47,12)="","",INDEX(Entries!$Q$2:$Q$47,12)),"")</f>
        <v>Max_Sirianni_Siri</v>
      </c>
      <c r="O95" s="29" t="str">
        <f t="array" ref="O95">IF(N95="","",IFERROR(INDEX(Entries!$E$2:$E$47,12),""))</f>
        <v>Siri</v>
      </c>
      <c r="P95" s="29" t="str">
        <f>IF(N95="","","Tier5_Pick1")</f>
        <v>Tier5_Pick1</v>
      </c>
      <c r="Q95" s="29">
        <f>IF(N95="","",5)</f>
        <v>5</v>
      </c>
      <c r="R95" s="29" t="str">
        <f t="array" ref="R95">IF(N95="","",IFERROR(INDEX(Entries!$J$2:$J$47,12),""))</f>
        <v>Poland</v>
      </c>
      <c r="S95" s="29" t="str">
        <f t="array" ref="S95">IF(R95="","",IFERROR(XLOOKUP(R95,'Live Medal Table'!$B$2:$B$94,'Live Medal Table'!$C$2:$C$94,"???"),"???"))</f>
        <v>POL</v>
      </c>
      <c r="T95" s="29">
        <f t="array" ref="T95">IF(R95="",0,IFERROR(XLOOKUP(R95,'Live Medal Table'!$B$2:$B$94,'Live Medal Table'!$F$2:$F$94,0),0))</f>
        <v>10</v>
      </c>
      <c r="U95" s="29">
        <f t="array" ref="U95">IF(R95="",0,IFERROR(XLOOKUP(R95,'Live Medal Table'!$B$2:$B$94,'Live Medal Table'!$G$2:$G$94,0),0))</f>
        <v>0</v>
      </c>
      <c r="V95" s="29">
        <f t="array" ref="V95">IF(R95="",0,IFERROR(XLOOKUP(R95,'Live Medal Table'!$B$2:$B$94,'Live Medal Table'!$H$2:$H$94,0),0))</f>
        <v>3</v>
      </c>
      <c r="W95" s="29">
        <f t="array" ref="W95">IF(R95="",0,IFERROR(XLOOKUP(R95,'Live Medal Table'!$B$2:$B$94,'Live Medal Table'!$I$2:$I$94,0),0))</f>
        <v>1</v>
      </c>
      <c r="X95" s="29">
        <f t="shared" si="1"/>
        <v>0</v>
      </c>
      <c r="Y95" s="29">
        <f t="shared" si="2"/>
        <v>60</v>
      </c>
      <c r="Z95" s="29">
        <f t="shared" si="3"/>
        <v>10</v>
      </c>
      <c r="AA95" s="29">
        <f t="shared" si="4"/>
        <v>70</v>
      </c>
      <c r="AB95" s="29" t="b">
        <f t="array" ref="AB95">IF(R95="",FALSE,IFERROR(AND(ISNUMBER(MATCH(R95,'Live Medal Table'!$B$2:$B$94,0)),XLOOKUP(R95,'Live Medal Table'!$B$2:$B$94,Countries!$I$2:$I$72,FALSE)),FALSE))</f>
        <v>0</v>
      </c>
    </row>
    <row r="96" ht="15.75" hidden="1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29"/>
      <c r="M96" s="29"/>
      <c r="N96" s="29" t="str">
        <f t="array" ref="N96">IFERROR(IF(INDEX(Entries!$C$2:$C$47,12)="","",INDEX(Entries!$Q$2:$Q$47,12)),"")</f>
        <v>Max_Sirianni_Siri</v>
      </c>
      <c r="O96" s="29" t="str">
        <f t="array" ref="O96">IF(N96="","",IFERROR(INDEX(Entries!$E$2:$E$47,12),""))</f>
        <v>Siri</v>
      </c>
      <c r="P96" s="29" t="str">
        <f>IF(N96="","","Tier6_Pick1")</f>
        <v>Tier6_Pick1</v>
      </c>
      <c r="Q96" s="29">
        <f t="shared" ref="Q96:Q97" si="28">IF(N96="","",6)</f>
        <v>6</v>
      </c>
      <c r="R96" s="29" t="str">
        <f t="array" ref="R96">IF(N96="","",IFERROR(INDEX(Entries!$O$2:$O$47,12),""))</f>
        <v>New Zealand</v>
      </c>
      <c r="S96" s="29" t="str">
        <f t="array" ref="S96">IF(R96="","",IFERROR(XLOOKUP(R96,'Live Medal Table'!$B$2:$B$94,'Live Medal Table'!$C$2:$C$94,"???"),"???"))</f>
        <v>NZL</v>
      </c>
      <c r="T96" s="29">
        <f t="array" ref="T96">IF(R96="",0,IFERROR(XLOOKUP(R96,'Live Medal Table'!$B$2:$B$94,'Live Medal Table'!$F$2:$F$94,0),0))</f>
        <v>20</v>
      </c>
      <c r="U96" s="29">
        <f t="array" ref="U96">IF(R96="",0,IFERROR(XLOOKUP(R96,'Live Medal Table'!$B$2:$B$94,'Live Medal Table'!$G$2:$G$94,0),0))</f>
        <v>0</v>
      </c>
      <c r="V96" s="29">
        <f t="array" ref="V96">IF(R96="",0,IFERROR(XLOOKUP(R96,'Live Medal Table'!$B$2:$B$94,'Live Medal Table'!$H$2:$H$94,0),0))</f>
        <v>2</v>
      </c>
      <c r="W96" s="29">
        <f t="array" ref="W96">IF(R96="",0,IFERROR(XLOOKUP(R96,'Live Medal Table'!$B$2:$B$94,'Live Medal Table'!$I$2:$I$94,0),0))</f>
        <v>1</v>
      </c>
      <c r="X96" s="29">
        <f t="shared" si="1"/>
        <v>0</v>
      </c>
      <c r="Y96" s="29">
        <f t="shared" si="2"/>
        <v>80</v>
      </c>
      <c r="Z96" s="29">
        <f t="shared" si="3"/>
        <v>20</v>
      </c>
      <c r="AA96" s="29">
        <f t="shared" si="4"/>
        <v>100</v>
      </c>
      <c r="AB96" s="29" t="b">
        <f t="array" ref="AB96">IF(R96="",FALSE,IFERROR(AND(ISNUMBER(MATCH(R96,'Live Medal Table'!$B$2:$B$94,0)),XLOOKUP(R96,'Live Medal Table'!$B$2:$B$94,Countries!$I$2:$I$72,FALSE)),FALSE))</f>
        <v>0</v>
      </c>
    </row>
    <row r="97" ht="15.7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29"/>
      <c r="M97" s="29"/>
      <c r="N97" s="29" t="str">
        <f t="array" ref="N97">IFERROR(IF(INDEX(Entries!$C$2:$C$47,12)="","",INDEX(Entries!$Q$2:$Q$47,12)),"")</f>
        <v>Max_Sirianni_Siri</v>
      </c>
      <c r="O97" s="29" t="str">
        <f t="array" ref="O97">IF(N97="","",IFERROR(INDEX(Entries!$E$2:$E$47,12),""))</f>
        <v>Siri</v>
      </c>
      <c r="P97" s="29" t="str">
        <f>IF(N97="","","Tier6_Pick2")</f>
        <v>Tier6_Pick2</v>
      </c>
      <c r="Q97" s="29">
        <f t="shared" si="28"/>
        <v>6</v>
      </c>
      <c r="R97" s="29" t="str">
        <f t="array" ref="R97">IF(N97="","",IFERROR(INDEX(Entries!$P$2:$P$47,12),""))</f>
        <v>Ukraine</v>
      </c>
      <c r="S97" s="29" t="str">
        <f t="array" ref="S97">IF(R97="","",IFERROR(XLOOKUP(R97,'Live Medal Table'!$B$2:$B$94,'Live Medal Table'!$C$2:$C$94,"???"),"???"))</f>
        <v>UKR</v>
      </c>
      <c r="T97" s="29">
        <f t="array" ref="T97">IF(R97="",0,IFERROR(XLOOKUP(R97,'Live Medal Table'!$B$2:$B$94,'Live Medal Table'!$F$2:$F$94,0),0))</f>
        <v>20</v>
      </c>
      <c r="U97" s="29">
        <f t="array" ref="U97">IF(R97="",0,IFERROR(XLOOKUP(R97,'Live Medal Table'!$B$2:$B$94,'Live Medal Table'!$G$2:$G$94,0),0))</f>
        <v>0</v>
      </c>
      <c r="V97" s="29">
        <f t="array" ref="V97">IF(R97="",0,IFERROR(XLOOKUP(R97,'Live Medal Table'!$B$2:$B$94,'Live Medal Table'!$H$2:$H$94,0),0))</f>
        <v>0</v>
      </c>
      <c r="W97" s="29">
        <f t="array" ref="W97">IF(R97="",0,IFERROR(XLOOKUP(R97,'Live Medal Table'!$B$2:$B$94,'Live Medal Table'!$I$2:$I$94,0),0))</f>
        <v>0</v>
      </c>
      <c r="X97" s="29">
        <f t="shared" si="1"/>
        <v>0</v>
      </c>
      <c r="Y97" s="29">
        <f t="shared" si="2"/>
        <v>0</v>
      </c>
      <c r="Z97" s="29">
        <f t="shared" si="3"/>
        <v>0</v>
      </c>
      <c r="AA97" s="29">
        <f t="shared" si="4"/>
        <v>0</v>
      </c>
      <c r="AB97" s="29" t="b">
        <f t="array" ref="AB97">IF(R97="",FALSE,IFERROR(AND(ISNUMBER(MATCH(R97,'Live Medal Table'!$B$2:$B$94,0)),XLOOKUP(R97,'Live Medal Table'!$B$2:$B$94,Countries!$I$2:$I$72,FALSE)),FALSE))</f>
        <v>0</v>
      </c>
    </row>
    <row r="98" ht="15.7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29"/>
      <c r="M98" s="29"/>
      <c r="N98" s="29" t="str">
        <f t="array" ref="N98">IFERROR(IF(INDEX(Entries!$C$2:$C$47,13)="","",INDEX(Entries!$Q$2:$Q$47,13)),"")</f>
        <v>Ellis_Johnson_SilkMaster420</v>
      </c>
      <c r="O98" s="29" t="str">
        <f t="array" ref="O98">IF(N98="","",IFERROR(INDEX(Entries!$E$2:$E$47,13),""))</f>
        <v>SilkMaster420</v>
      </c>
      <c r="P98" s="29" t="str">
        <f>IF(N98="","","Tier1_Pick1")</f>
        <v>Tier1_Pick1</v>
      </c>
      <c r="Q98" s="29">
        <f>IF(N98="","",1)</f>
        <v>1</v>
      </c>
      <c r="R98" s="29" t="str">
        <f t="array" ref="R98">IF(N98="","",IFERROR(INDEX(Entries!$F$2:$F$47,13),""))</f>
        <v>Norway</v>
      </c>
      <c r="S98" s="29" t="str">
        <f t="array" ref="S98">IF(R98="","",IFERROR(XLOOKUP(R98,'Live Medal Table'!$B$2:$B$94,'Live Medal Table'!$C$2:$C$94,"???"),"???"))</f>
        <v>NOR</v>
      </c>
      <c r="T98" s="29">
        <f t="array" ref="T98">IF(R98="",0,IFERROR(XLOOKUP(R98,'Live Medal Table'!$B$2:$B$94,'Live Medal Table'!$F$2:$F$94,0),0))</f>
        <v>1</v>
      </c>
      <c r="U98" s="29">
        <f t="array" ref="U98">IF(R98="",0,IFERROR(XLOOKUP(R98,'Live Medal Table'!$B$2:$B$94,'Live Medal Table'!$G$2:$G$94,0),0))</f>
        <v>18</v>
      </c>
      <c r="V98" s="29">
        <f t="array" ref="V98">IF(R98="",0,IFERROR(XLOOKUP(R98,'Live Medal Table'!$B$2:$B$94,'Live Medal Table'!$H$2:$H$94,0),0))</f>
        <v>12</v>
      </c>
      <c r="W98" s="29">
        <f t="array" ref="W98">IF(R98="",0,IFERROR(XLOOKUP(R98,'Live Medal Table'!$B$2:$B$94,'Live Medal Table'!$I$2:$I$94,0),0))</f>
        <v>11</v>
      </c>
      <c r="X98" s="29">
        <f t="shared" si="1"/>
        <v>54</v>
      </c>
      <c r="Y98" s="29">
        <f t="shared" si="2"/>
        <v>24</v>
      </c>
      <c r="Z98" s="29">
        <f t="shared" si="3"/>
        <v>11</v>
      </c>
      <c r="AA98" s="29">
        <f t="shared" si="4"/>
        <v>89</v>
      </c>
      <c r="AB98" s="29" t="b">
        <f t="array" ref="AB98">IF(R98="",FALSE,IFERROR(AND(ISNUMBER(MATCH(R98,'Live Medal Table'!$B$2:$B$94,0)),XLOOKUP(R98,'Live Medal Table'!$B$2:$B$94,Countries!$I$2:$I$72,FALSE)),FALSE))</f>
        <v>0</v>
      </c>
    </row>
    <row r="99" ht="15.7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29"/>
      <c r="M99" s="29"/>
      <c r="N99" s="29" t="str">
        <f t="array" ref="N99">IFERROR(IF(INDEX(Entries!$C$2:$C$47,13)="","",INDEX(Entries!$Q$2:$Q$47,13)),"")</f>
        <v>Ellis_Johnson_SilkMaster420</v>
      </c>
      <c r="O99" s="29" t="str">
        <f t="array" ref="O99">IF(N99="","",IFERROR(INDEX(Entries!$E$2:$E$47,13),""))</f>
        <v>SilkMaster420</v>
      </c>
      <c r="P99" s="29" t="str">
        <f>IF(N99="","","Tier2_Pick1")</f>
        <v>Tier2_Pick1</v>
      </c>
      <c r="Q99" s="29">
        <f t="shared" ref="Q99:Q100" si="29">IF(N99="","",2)</f>
        <v>2</v>
      </c>
      <c r="R99" s="29" t="str">
        <f t="array" ref="R99">IF(N99="","",IFERROR(INDEX(Entries!$M$2:$M$47,13),""))</f>
        <v>Netherlands</v>
      </c>
      <c r="S99" s="29" t="str">
        <f t="array" ref="S99">IF(R99="","",IFERROR(XLOOKUP(R99,'Live Medal Table'!$B$2:$B$94,'Live Medal Table'!$C$2:$C$94,"???"),"???"))</f>
        <v>NED</v>
      </c>
      <c r="T99" s="29">
        <f t="array" ref="T99">IF(R99="",0,IFERROR(XLOOKUP(R99,'Live Medal Table'!$B$2:$B$94,'Live Medal Table'!$F$2:$F$94,0),0))</f>
        <v>2</v>
      </c>
      <c r="U99" s="29">
        <f t="array" ref="U99">IF(R99="",0,IFERROR(XLOOKUP(R99,'Live Medal Table'!$B$2:$B$94,'Live Medal Table'!$G$2:$G$94,0),0))</f>
        <v>10</v>
      </c>
      <c r="V99" s="29">
        <f t="array" ref="V99">IF(R99="",0,IFERROR(XLOOKUP(R99,'Live Medal Table'!$B$2:$B$94,'Live Medal Table'!$H$2:$H$94,0),0))</f>
        <v>7</v>
      </c>
      <c r="W99" s="29">
        <f t="array" ref="W99">IF(R99="",0,IFERROR(XLOOKUP(R99,'Live Medal Table'!$B$2:$B$94,'Live Medal Table'!$I$2:$I$94,0),0))</f>
        <v>3</v>
      </c>
      <c r="X99" s="29">
        <f t="shared" si="1"/>
        <v>60</v>
      </c>
      <c r="Y99" s="29">
        <f t="shared" si="2"/>
        <v>28</v>
      </c>
      <c r="Z99" s="29">
        <f t="shared" si="3"/>
        <v>6</v>
      </c>
      <c r="AA99" s="29">
        <f t="shared" si="4"/>
        <v>94</v>
      </c>
      <c r="AB99" s="29" t="b">
        <f t="array" ref="AB99">IF(R99="",FALSE,IFERROR(AND(ISNUMBER(MATCH(R99,'Live Medal Table'!$B$2:$B$94,0)),XLOOKUP(R99,'Live Medal Table'!$B$2:$B$94,Countries!$I$2:$I$72,FALSE)),FALSE))</f>
        <v>0</v>
      </c>
    </row>
    <row r="100" ht="15.7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29"/>
      <c r="M100" s="29"/>
      <c r="N100" s="29" t="str">
        <f t="array" ref="N100">IFERROR(IF(INDEX(Entries!$C$2:$C$47,13)="","",INDEX(Entries!$Q$2:$Q$47,13)),"")</f>
        <v>Ellis_Johnson_SilkMaster420</v>
      </c>
      <c r="O100" s="29" t="str">
        <f t="array" ref="O100">IF(N100="","",IFERROR(INDEX(Entries!$E$2:$E$47,13),""))</f>
        <v>SilkMaster420</v>
      </c>
      <c r="P100" s="29" t="str">
        <f>IF(N100="","","Tier2_Pick2")</f>
        <v>Tier2_Pick2</v>
      </c>
      <c r="Q100" s="29">
        <f t="shared" si="29"/>
        <v>2</v>
      </c>
      <c r="R100" s="29" t="str">
        <f t="array" ref="R100">IF(N100="","",IFERROR(INDEX(Entries!$N$2:$N$47,13),""))</f>
        <v>Sweden</v>
      </c>
      <c r="S100" s="29" t="str">
        <f t="array" ref="S100">IF(R100="","",IFERROR(XLOOKUP(R100,'Live Medal Table'!$B$2:$B$94,'Live Medal Table'!$C$2:$C$94,"???"),"???"))</f>
        <v>SWE</v>
      </c>
      <c r="T100" s="29">
        <f t="array" ref="T100">IF(R100="",0,IFERROR(XLOOKUP(R100,'Live Medal Table'!$B$2:$B$94,'Live Medal Table'!$F$2:$F$94,0),0))</f>
        <v>2</v>
      </c>
      <c r="U100" s="29">
        <f t="array" ref="U100">IF(R100="",0,IFERROR(XLOOKUP(R100,'Live Medal Table'!$B$2:$B$94,'Live Medal Table'!$G$2:$G$94,0),0))</f>
        <v>8</v>
      </c>
      <c r="V100" s="29">
        <f t="array" ref="V100">IF(R100="",0,IFERROR(XLOOKUP(R100,'Live Medal Table'!$B$2:$B$94,'Live Medal Table'!$H$2:$H$94,0),0))</f>
        <v>6</v>
      </c>
      <c r="W100" s="29">
        <f t="array" ref="W100">IF(R100="",0,IFERROR(XLOOKUP(R100,'Live Medal Table'!$B$2:$B$94,'Live Medal Table'!$I$2:$I$94,0),0))</f>
        <v>4</v>
      </c>
      <c r="X100" s="29">
        <f t="shared" si="1"/>
        <v>48</v>
      </c>
      <c r="Y100" s="29">
        <f t="shared" si="2"/>
        <v>24</v>
      </c>
      <c r="Z100" s="29">
        <f t="shared" si="3"/>
        <v>8</v>
      </c>
      <c r="AA100" s="29">
        <f t="shared" si="4"/>
        <v>80</v>
      </c>
      <c r="AB100" s="29" t="b">
        <f t="array" ref="AB100">IF(R100="",FALSE,IFERROR(AND(ISNUMBER(MATCH(R100,'Live Medal Table'!$B$2:$B$94,0)),XLOOKUP(R100,'Live Medal Table'!$B$2:$B$94,Countries!$I$2:$I$72,FALSE)),FALSE))</f>
        <v>0</v>
      </c>
    </row>
    <row r="101" ht="15.7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29"/>
      <c r="M101" s="29"/>
      <c r="N101" s="29" t="str">
        <f t="array" ref="N101">IFERROR(IF(INDEX(Entries!$C$2:$C$47,13)="","",INDEX(Entries!$Q$2:$Q$47,13)),"")</f>
        <v>Ellis_Johnson_SilkMaster420</v>
      </c>
      <c r="O101" s="29" t="str">
        <f t="array" ref="O101">IF(N101="","",IFERROR(INDEX(Entries!$E$2:$E$47,13),""))</f>
        <v>SilkMaster420</v>
      </c>
      <c r="P101" s="29" t="str">
        <f>IF(N101="","","Tier3_Pick1")</f>
        <v>Tier3_Pick1</v>
      </c>
      <c r="Q101" s="29">
        <f>IF(N101="","",3)</f>
        <v>3</v>
      </c>
      <c r="R101" s="29" t="str">
        <f t="array" ref="R101">IF(N101="","",IFERROR(INDEX(Entries!$H$2:$H$47,13),""))</f>
        <v>Italy</v>
      </c>
      <c r="S101" s="29" t="str">
        <f t="array" ref="S101">IF(R101="","",IFERROR(XLOOKUP(R101,'Live Medal Table'!$B$2:$B$94,'Live Medal Table'!$C$2:$C$94,"???"),"???"))</f>
        <v>ITA</v>
      </c>
      <c r="T101" s="29">
        <f t="array" ref="T101">IF(R101="",0,IFERROR(XLOOKUP(R101,'Live Medal Table'!$B$2:$B$94,'Live Medal Table'!$F$2:$F$94,0),0))</f>
        <v>3</v>
      </c>
      <c r="U101" s="29">
        <f t="array" ref="U101">IF(R101="",0,IFERROR(XLOOKUP(R101,'Live Medal Table'!$B$2:$B$94,'Live Medal Table'!$G$2:$G$94,0),0))</f>
        <v>10</v>
      </c>
      <c r="V101" s="29">
        <f t="array" ref="V101">IF(R101="",0,IFERROR(XLOOKUP(R101,'Live Medal Table'!$B$2:$B$94,'Live Medal Table'!$H$2:$H$94,0),0))</f>
        <v>6</v>
      </c>
      <c r="W101" s="29">
        <f t="array" ref="W101">IF(R101="",0,IFERROR(XLOOKUP(R101,'Live Medal Table'!$B$2:$B$94,'Live Medal Table'!$I$2:$I$94,0),0))</f>
        <v>14</v>
      </c>
      <c r="X101" s="29">
        <f t="shared" si="1"/>
        <v>90</v>
      </c>
      <c r="Y101" s="29">
        <f t="shared" si="2"/>
        <v>36</v>
      </c>
      <c r="Z101" s="29">
        <f t="shared" si="3"/>
        <v>42</v>
      </c>
      <c r="AA101" s="29">
        <f t="shared" si="4"/>
        <v>168</v>
      </c>
      <c r="AB101" s="29" t="b">
        <f t="array" ref="AB101">IF(R101="",FALSE,IFERROR(AND(ISNUMBER(MATCH(R101,'Live Medal Table'!$B$2:$B$94,0)),XLOOKUP(R101,'Live Medal Table'!$B$2:$B$94,Countries!$I$2:$I$72,FALSE)),FALSE))</f>
        <v>0</v>
      </c>
    </row>
    <row r="102" ht="15.7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29"/>
      <c r="M102" s="29"/>
      <c r="N102" s="29" t="str">
        <f t="array" ref="N102">IFERROR(IF(INDEX(Entries!$C$2:$C$47,13)="","",INDEX(Entries!$Q$2:$Q$47,13)),"")</f>
        <v>Ellis_Johnson_SilkMaster420</v>
      </c>
      <c r="O102" s="29" t="str">
        <f t="array" ref="O102">IF(N102="","",IFERROR(INDEX(Entries!$E$2:$E$47,13),""))</f>
        <v>SilkMaster420</v>
      </c>
      <c r="P102" s="29" t="str">
        <f>IF(N102="","","Tier4_Pick1")</f>
        <v>Tier4_Pick1</v>
      </c>
      <c r="Q102" s="29">
        <f>IF(N102="","",4)</f>
        <v>4</v>
      </c>
      <c r="R102" s="29" t="str">
        <f t="array" ref="R102">IF(N102="","",IFERROR(INDEX(Entries!$I$2:$I$47,13),""))</f>
        <v>Finland</v>
      </c>
      <c r="S102" s="29" t="str">
        <f t="array" ref="S102">IF(R102="","",IFERROR(XLOOKUP(R102,'Live Medal Table'!$B$2:$B$94,'Live Medal Table'!$C$2:$C$94,"???"),"???"))</f>
        <v>FIN</v>
      </c>
      <c r="T102" s="29">
        <f t="array" ref="T102">IF(R102="",0,IFERROR(XLOOKUP(R102,'Live Medal Table'!$B$2:$B$94,'Live Medal Table'!$F$2:$F$94,0),0))</f>
        <v>6</v>
      </c>
      <c r="U102" s="29">
        <f t="array" ref="U102">IF(R102="",0,IFERROR(XLOOKUP(R102,'Live Medal Table'!$B$2:$B$94,'Live Medal Table'!$G$2:$G$94,0),0))</f>
        <v>0</v>
      </c>
      <c r="V102" s="29">
        <f t="array" ref="V102">IF(R102="",0,IFERROR(XLOOKUP(R102,'Live Medal Table'!$B$2:$B$94,'Live Medal Table'!$H$2:$H$94,0),0))</f>
        <v>1</v>
      </c>
      <c r="W102" s="29">
        <f t="array" ref="W102">IF(R102="",0,IFERROR(XLOOKUP(R102,'Live Medal Table'!$B$2:$B$94,'Live Medal Table'!$I$2:$I$94,0),0))</f>
        <v>5</v>
      </c>
      <c r="X102" s="29">
        <f t="shared" si="1"/>
        <v>0</v>
      </c>
      <c r="Y102" s="29">
        <f t="shared" si="2"/>
        <v>12</v>
      </c>
      <c r="Z102" s="29">
        <f t="shared" si="3"/>
        <v>30</v>
      </c>
      <c r="AA102" s="29">
        <f t="shared" si="4"/>
        <v>42</v>
      </c>
      <c r="AB102" s="29" t="b">
        <f t="array" ref="AB102">IF(R102="",FALSE,IFERROR(AND(ISNUMBER(MATCH(R102,'Live Medal Table'!$B$2:$B$94,0)),XLOOKUP(R102,'Live Medal Table'!$B$2:$B$94,Countries!$I$2:$I$72,FALSE)),FALSE))</f>
        <v>0</v>
      </c>
    </row>
    <row r="103" ht="15.7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29"/>
      <c r="M103" s="29"/>
      <c r="N103" s="29" t="str">
        <f t="array" ref="N103">IFERROR(IF(INDEX(Entries!$C$2:$C$47,13)="","",INDEX(Entries!$Q$2:$Q$47,13)),"")</f>
        <v>Ellis_Johnson_SilkMaster420</v>
      </c>
      <c r="O103" s="29" t="str">
        <f t="array" ref="O103">IF(N103="","",IFERROR(INDEX(Entries!$E$2:$E$47,13),""))</f>
        <v>SilkMaster420</v>
      </c>
      <c r="P103" s="29" t="str">
        <f>IF(N103="","","Tier5_Pick1")</f>
        <v>Tier5_Pick1</v>
      </c>
      <c r="Q103" s="29">
        <f>IF(N103="","",5)</f>
        <v>5</v>
      </c>
      <c r="R103" s="29" t="str">
        <f t="array" ref="R103">IF(N103="","",IFERROR(INDEX(Entries!$J$2:$J$47,13),""))</f>
        <v>Poland</v>
      </c>
      <c r="S103" s="29" t="str">
        <f t="array" ref="S103">IF(R103="","",IFERROR(XLOOKUP(R103,'Live Medal Table'!$B$2:$B$94,'Live Medal Table'!$C$2:$C$94,"???"),"???"))</f>
        <v>POL</v>
      </c>
      <c r="T103" s="29">
        <f t="array" ref="T103">IF(R103="",0,IFERROR(XLOOKUP(R103,'Live Medal Table'!$B$2:$B$94,'Live Medal Table'!$F$2:$F$94,0),0))</f>
        <v>10</v>
      </c>
      <c r="U103" s="29">
        <f t="array" ref="U103">IF(R103="",0,IFERROR(XLOOKUP(R103,'Live Medal Table'!$B$2:$B$94,'Live Medal Table'!$G$2:$G$94,0),0))</f>
        <v>0</v>
      </c>
      <c r="V103" s="29">
        <f t="array" ref="V103">IF(R103="",0,IFERROR(XLOOKUP(R103,'Live Medal Table'!$B$2:$B$94,'Live Medal Table'!$H$2:$H$94,0),0))</f>
        <v>3</v>
      </c>
      <c r="W103" s="29">
        <f t="array" ref="W103">IF(R103="",0,IFERROR(XLOOKUP(R103,'Live Medal Table'!$B$2:$B$94,'Live Medal Table'!$I$2:$I$94,0),0))</f>
        <v>1</v>
      </c>
      <c r="X103" s="29">
        <f t="shared" si="1"/>
        <v>0</v>
      </c>
      <c r="Y103" s="29">
        <f t="shared" si="2"/>
        <v>60</v>
      </c>
      <c r="Z103" s="29">
        <f t="shared" si="3"/>
        <v>10</v>
      </c>
      <c r="AA103" s="29">
        <f t="shared" si="4"/>
        <v>70</v>
      </c>
      <c r="AB103" s="29" t="b">
        <f t="array" ref="AB103">IF(R103="",FALSE,IFERROR(AND(ISNUMBER(MATCH(R103,'Live Medal Table'!$B$2:$B$94,0)),XLOOKUP(R103,'Live Medal Table'!$B$2:$B$94,Countries!$I$2:$I$72,FALSE)),FALSE))</f>
        <v>0</v>
      </c>
    </row>
    <row r="104" ht="15.7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29"/>
      <c r="M104" s="29"/>
      <c r="N104" s="29" t="str">
        <f t="array" ref="N104">IFERROR(IF(INDEX(Entries!$C$2:$C$47,13)="","",INDEX(Entries!$Q$2:$Q$47,13)),"")</f>
        <v>Ellis_Johnson_SilkMaster420</v>
      </c>
      <c r="O104" s="29" t="str">
        <f t="array" ref="O104">IF(N104="","",IFERROR(INDEX(Entries!$E$2:$E$47,13),""))</f>
        <v>SilkMaster420</v>
      </c>
      <c r="P104" s="29" t="str">
        <f>IF(N104="","","Tier6_Pick1")</f>
        <v>Tier6_Pick1</v>
      </c>
      <c r="Q104" s="29">
        <f t="shared" ref="Q104:Q105" si="30">IF(N104="","",6)</f>
        <v>6</v>
      </c>
      <c r="R104" s="29" t="str">
        <f t="array" ref="R104">IF(N104="","",IFERROR(INDEX(Entries!$O$2:$O$47,13),""))</f>
        <v>Bulgaria</v>
      </c>
      <c r="S104" s="29" t="str">
        <f t="array" ref="S104">IF(R104="","",IFERROR(XLOOKUP(R104,'Live Medal Table'!$B$2:$B$94,'Live Medal Table'!$C$2:$C$94,"???"),"???"))</f>
        <v>BUL</v>
      </c>
      <c r="T104" s="29">
        <f t="array" ref="T104">IF(R104="",0,IFERROR(XLOOKUP(R104,'Live Medal Table'!$B$2:$B$94,'Live Medal Table'!$F$2:$F$94,0),0))</f>
        <v>20</v>
      </c>
      <c r="U104" s="29">
        <f t="array" ref="U104">IF(R104="",0,IFERROR(XLOOKUP(R104,'Live Medal Table'!$B$2:$B$94,'Live Medal Table'!$G$2:$G$94,0),0))</f>
        <v>0</v>
      </c>
      <c r="V104" s="29">
        <f t="array" ref="V104">IF(R104="",0,IFERROR(XLOOKUP(R104,'Live Medal Table'!$B$2:$B$94,'Live Medal Table'!$H$2:$H$94,0),0))</f>
        <v>0</v>
      </c>
      <c r="W104" s="29">
        <f t="array" ref="W104">IF(R104="",0,IFERROR(XLOOKUP(R104,'Live Medal Table'!$B$2:$B$94,'Live Medal Table'!$I$2:$I$94,0),0))</f>
        <v>2</v>
      </c>
      <c r="X104" s="29">
        <f t="shared" si="1"/>
        <v>0</v>
      </c>
      <c r="Y104" s="29">
        <f t="shared" si="2"/>
        <v>0</v>
      </c>
      <c r="Z104" s="29">
        <f t="shared" si="3"/>
        <v>40</v>
      </c>
      <c r="AA104" s="29">
        <f t="shared" si="4"/>
        <v>40</v>
      </c>
      <c r="AB104" s="29" t="b">
        <f t="array" ref="AB104">IF(R104="",FALSE,IFERROR(AND(ISNUMBER(MATCH(R104,'Live Medal Table'!$B$2:$B$94,0)),XLOOKUP(R104,'Live Medal Table'!$B$2:$B$94,Countries!$I$2:$I$72,FALSE)),FALSE))</f>
        <v>0</v>
      </c>
    </row>
    <row r="105" ht="15.7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29"/>
      <c r="M105" s="29"/>
      <c r="N105" s="29" t="str">
        <f t="array" ref="N105">IFERROR(IF(INDEX(Entries!$C$2:$C$47,13)="","",INDEX(Entries!$Q$2:$Q$47,13)),"")</f>
        <v>Ellis_Johnson_SilkMaster420</v>
      </c>
      <c r="O105" s="29" t="str">
        <f t="array" ref="O105">IF(N105="","",IFERROR(INDEX(Entries!$E$2:$E$47,13),""))</f>
        <v>SilkMaster420</v>
      </c>
      <c r="P105" s="29" t="str">
        <f>IF(N105="","","Tier6_Pick2")</f>
        <v>Tier6_Pick2</v>
      </c>
      <c r="Q105" s="29">
        <f t="shared" si="30"/>
        <v>6</v>
      </c>
      <c r="R105" s="29" t="str">
        <f t="array" ref="R105">IF(N105="","",IFERROR(INDEX(Entries!$P$2:$P$47,13),""))</f>
        <v>Denmark</v>
      </c>
      <c r="S105" s="29" t="str">
        <f t="array" ref="S105">IF(R105="","",IFERROR(XLOOKUP(R105,'Live Medal Table'!$B$2:$B$94,'Live Medal Table'!$C$2:$C$94,"???"),"???"))</f>
        <v>DEN</v>
      </c>
      <c r="T105" s="29">
        <f t="array" ref="T105">IF(R105="",0,IFERROR(XLOOKUP(R105,'Live Medal Table'!$B$2:$B$94,'Live Medal Table'!$F$2:$F$94,0),0))</f>
        <v>20</v>
      </c>
      <c r="U105" s="29">
        <f t="array" ref="U105">IF(R105="",0,IFERROR(XLOOKUP(R105,'Live Medal Table'!$B$2:$B$94,'Live Medal Table'!$G$2:$G$94,0),0))</f>
        <v>0</v>
      </c>
      <c r="V105" s="29">
        <f t="array" ref="V105">IF(R105="",0,IFERROR(XLOOKUP(R105,'Live Medal Table'!$B$2:$B$94,'Live Medal Table'!$H$2:$H$94,0),0))</f>
        <v>1</v>
      </c>
      <c r="W105" s="29">
        <f t="array" ref="W105">IF(R105="",0,IFERROR(XLOOKUP(R105,'Live Medal Table'!$B$2:$B$94,'Live Medal Table'!$I$2:$I$94,0),0))</f>
        <v>0</v>
      </c>
      <c r="X105" s="29">
        <f t="shared" si="1"/>
        <v>0</v>
      </c>
      <c r="Y105" s="29">
        <f t="shared" si="2"/>
        <v>40</v>
      </c>
      <c r="Z105" s="29">
        <f t="shared" si="3"/>
        <v>0</v>
      </c>
      <c r="AA105" s="29">
        <f t="shared" si="4"/>
        <v>40</v>
      </c>
      <c r="AB105" s="29" t="b">
        <f t="array" ref="AB105">IF(R105="",FALSE,IFERROR(AND(ISNUMBER(MATCH(R105,'Live Medal Table'!$B$2:$B$94,0)),XLOOKUP(R105,'Live Medal Table'!$B$2:$B$94,Countries!$I$2:$I$72,FALSE)),FALSE))</f>
        <v>0</v>
      </c>
    </row>
    <row r="106" ht="15.7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29"/>
      <c r="M106" s="29"/>
      <c r="N106" s="29" t="str">
        <f t="array" ref="N106">IFERROR(IF(INDEX(Entries!$C$2:$C$47,14)="","",INDEX(Entries!$Q$2:$Q$47,14)),"")</f>
        <v>Jack_Bulthuis_A taco93</v>
      </c>
      <c r="O106" s="29" t="str">
        <f t="array" ref="O106">IF(N106="","",IFERROR(INDEX(Entries!$E$2:$E$47,14),""))</f>
        <v>A taco93</v>
      </c>
      <c r="P106" s="29" t="str">
        <f>IF(N106="","","Tier1_Pick1")</f>
        <v>Tier1_Pick1</v>
      </c>
      <c r="Q106" s="29">
        <f>IF(N106="","",1)</f>
        <v>1</v>
      </c>
      <c r="R106" s="29" t="str">
        <f t="array" ref="R106">IF(N106="","",IFERROR(INDEX(Entries!$F$2:$F$47,14),""))</f>
        <v>United States</v>
      </c>
      <c r="S106" s="29" t="str">
        <f t="array" ref="S106">IF(R106="","",IFERROR(XLOOKUP(R106,'Live Medal Table'!$B$2:$B$94,'Live Medal Table'!$C$2:$C$94,"???"),"???"))</f>
        <v>USA</v>
      </c>
      <c r="T106" s="29">
        <f t="array" ref="T106">IF(R106="",0,IFERROR(XLOOKUP(R106,'Live Medal Table'!$B$2:$B$94,'Live Medal Table'!$F$2:$F$94,0),0))</f>
        <v>1</v>
      </c>
      <c r="U106" s="29">
        <f t="array" ref="U106">IF(R106="",0,IFERROR(XLOOKUP(R106,'Live Medal Table'!$B$2:$B$94,'Live Medal Table'!$G$2:$G$94,0),0))</f>
        <v>12</v>
      </c>
      <c r="V106" s="29">
        <f t="array" ref="V106">IF(R106="",0,IFERROR(XLOOKUP(R106,'Live Medal Table'!$B$2:$B$94,'Live Medal Table'!$H$2:$H$94,0),0))</f>
        <v>12</v>
      </c>
      <c r="W106" s="29">
        <f t="array" ref="W106">IF(R106="",0,IFERROR(XLOOKUP(R106,'Live Medal Table'!$B$2:$B$94,'Live Medal Table'!$I$2:$I$94,0),0))</f>
        <v>9</v>
      </c>
      <c r="X106" s="29">
        <f t="shared" si="1"/>
        <v>36</v>
      </c>
      <c r="Y106" s="29">
        <f t="shared" si="2"/>
        <v>24</v>
      </c>
      <c r="Z106" s="29">
        <f t="shared" si="3"/>
        <v>9</v>
      </c>
      <c r="AA106" s="29">
        <f t="shared" si="4"/>
        <v>69</v>
      </c>
      <c r="AB106" s="29" t="b">
        <f t="array" ref="AB106">IF(R106="",FALSE,IFERROR(AND(ISNUMBER(MATCH(R106,'Live Medal Table'!$B$2:$B$94,0)),XLOOKUP(R106,'Live Medal Table'!$B$2:$B$94,Countries!$I$2:$I$72,FALSE)),FALSE))</f>
        <v>0</v>
      </c>
    </row>
    <row r="107" ht="15.7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29"/>
      <c r="M107" s="29"/>
      <c r="N107" s="29" t="str">
        <f t="array" ref="N107">IFERROR(IF(INDEX(Entries!$C$2:$C$47,14)="","",INDEX(Entries!$Q$2:$Q$47,14)),"")</f>
        <v>Jack_Bulthuis_A taco93</v>
      </c>
      <c r="O107" s="29" t="str">
        <f t="array" ref="O107">IF(N107="","",IFERROR(INDEX(Entries!$E$2:$E$47,14),""))</f>
        <v>A taco93</v>
      </c>
      <c r="P107" s="29" t="str">
        <f>IF(N107="","","Tier2_Pick1")</f>
        <v>Tier2_Pick1</v>
      </c>
      <c r="Q107" s="29">
        <f t="shared" ref="Q107:Q108" si="31">IF(N107="","",2)</f>
        <v>2</v>
      </c>
      <c r="R107" s="29" t="str">
        <f t="array" ref="R107">IF(N107="","",IFERROR(INDEX(Entries!$M$2:$M$47,14),""))</f>
        <v>Sweden</v>
      </c>
      <c r="S107" s="29" t="str">
        <f t="array" ref="S107">IF(R107="","",IFERROR(XLOOKUP(R107,'Live Medal Table'!$B$2:$B$94,'Live Medal Table'!$C$2:$C$94,"???"),"???"))</f>
        <v>SWE</v>
      </c>
      <c r="T107" s="29">
        <f t="array" ref="T107">IF(R107="",0,IFERROR(XLOOKUP(R107,'Live Medal Table'!$B$2:$B$94,'Live Medal Table'!$F$2:$F$94,0),0))</f>
        <v>2</v>
      </c>
      <c r="U107" s="29">
        <f t="array" ref="U107">IF(R107="",0,IFERROR(XLOOKUP(R107,'Live Medal Table'!$B$2:$B$94,'Live Medal Table'!$G$2:$G$94,0),0))</f>
        <v>8</v>
      </c>
      <c r="V107" s="29">
        <f t="array" ref="V107">IF(R107="",0,IFERROR(XLOOKUP(R107,'Live Medal Table'!$B$2:$B$94,'Live Medal Table'!$H$2:$H$94,0),0))</f>
        <v>6</v>
      </c>
      <c r="W107" s="29">
        <f t="array" ref="W107">IF(R107="",0,IFERROR(XLOOKUP(R107,'Live Medal Table'!$B$2:$B$94,'Live Medal Table'!$I$2:$I$94,0),0))</f>
        <v>4</v>
      </c>
      <c r="X107" s="29">
        <f t="shared" si="1"/>
        <v>48</v>
      </c>
      <c r="Y107" s="29">
        <f t="shared" si="2"/>
        <v>24</v>
      </c>
      <c r="Z107" s="29">
        <f t="shared" si="3"/>
        <v>8</v>
      </c>
      <c r="AA107" s="29">
        <f t="shared" si="4"/>
        <v>80</v>
      </c>
      <c r="AB107" s="29" t="b">
        <f t="array" ref="AB107">IF(R107="",FALSE,IFERROR(AND(ISNUMBER(MATCH(R107,'Live Medal Table'!$B$2:$B$94,0)),XLOOKUP(R107,'Live Medal Table'!$B$2:$B$94,Countries!$I$2:$I$72,FALSE)),FALSE))</f>
        <v>0</v>
      </c>
    </row>
    <row r="108" ht="15.7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29"/>
      <c r="M108" s="29"/>
      <c r="N108" s="29" t="str">
        <f t="array" ref="N108">IFERROR(IF(INDEX(Entries!$C$2:$C$47,14)="","",INDEX(Entries!$Q$2:$Q$47,14)),"")</f>
        <v>Jack_Bulthuis_A taco93</v>
      </c>
      <c r="O108" s="29" t="str">
        <f t="array" ref="O108">IF(N108="","",IFERROR(INDEX(Entries!$E$2:$E$47,14),""))</f>
        <v>A taco93</v>
      </c>
      <c r="P108" s="29" t="str">
        <f>IF(N108="","","Tier2_Pick2")</f>
        <v>Tier2_Pick2</v>
      </c>
      <c r="Q108" s="29">
        <f t="shared" si="31"/>
        <v>2</v>
      </c>
      <c r="R108" s="29" t="str">
        <f t="array" ref="R108">IF(N108="","",IFERROR(INDEX(Entries!$N$2:$N$47,14),""))</f>
        <v>Switzerland</v>
      </c>
      <c r="S108" s="29" t="str">
        <f t="array" ref="S108">IF(R108="","",IFERROR(XLOOKUP(R108,'Live Medal Table'!$B$2:$B$94,'Live Medal Table'!$C$2:$C$94,"???"),"???"))</f>
        <v>SUI</v>
      </c>
      <c r="T108" s="29">
        <f t="array" ref="T108">IF(R108="",0,IFERROR(XLOOKUP(R108,'Live Medal Table'!$B$2:$B$94,'Live Medal Table'!$F$2:$F$94,0),0))</f>
        <v>2</v>
      </c>
      <c r="U108" s="29">
        <f t="array" ref="U108">IF(R108="",0,IFERROR(XLOOKUP(R108,'Live Medal Table'!$B$2:$B$94,'Live Medal Table'!$G$2:$G$94,0),0))</f>
        <v>6</v>
      </c>
      <c r="V108" s="29">
        <f t="array" ref="V108">IF(R108="",0,IFERROR(XLOOKUP(R108,'Live Medal Table'!$B$2:$B$94,'Live Medal Table'!$H$2:$H$94,0),0))</f>
        <v>9</v>
      </c>
      <c r="W108" s="29">
        <f t="array" ref="W108">IF(R108="",0,IFERROR(XLOOKUP(R108,'Live Medal Table'!$B$2:$B$94,'Live Medal Table'!$I$2:$I$94,0),0))</f>
        <v>8</v>
      </c>
      <c r="X108" s="29">
        <f t="shared" si="1"/>
        <v>36</v>
      </c>
      <c r="Y108" s="29">
        <f t="shared" si="2"/>
        <v>36</v>
      </c>
      <c r="Z108" s="29">
        <f t="shared" si="3"/>
        <v>16</v>
      </c>
      <c r="AA108" s="29">
        <f t="shared" si="4"/>
        <v>88</v>
      </c>
      <c r="AB108" s="29" t="b">
        <f t="array" ref="AB108">IF(R108="",FALSE,IFERROR(AND(ISNUMBER(MATCH(R108,'Live Medal Table'!$B$2:$B$94,0)),XLOOKUP(R108,'Live Medal Table'!$B$2:$B$94,Countries!$I$2:$I$72,FALSE)),FALSE))</f>
        <v>0</v>
      </c>
    </row>
    <row r="109" ht="15.7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29"/>
      <c r="M109" s="29"/>
      <c r="N109" s="29" t="str">
        <f t="array" ref="N109">IFERROR(IF(INDEX(Entries!$C$2:$C$47,14)="","",INDEX(Entries!$Q$2:$Q$47,14)),"")</f>
        <v>Jack_Bulthuis_A taco93</v>
      </c>
      <c r="O109" s="29" t="str">
        <f t="array" ref="O109">IF(N109="","",IFERROR(INDEX(Entries!$E$2:$E$47,14),""))</f>
        <v>A taco93</v>
      </c>
      <c r="P109" s="29" t="str">
        <f>IF(N109="","","Tier3_Pick1")</f>
        <v>Tier3_Pick1</v>
      </c>
      <c r="Q109" s="29">
        <f>IF(N109="","",3)</f>
        <v>3</v>
      </c>
      <c r="R109" s="29" t="str">
        <f t="array" ref="R109">IF(N109="","",IFERROR(INDEX(Entries!$H$2:$H$47,14),""))</f>
        <v>China</v>
      </c>
      <c r="S109" s="29" t="str">
        <f t="array" ref="S109">IF(R109="","",IFERROR(XLOOKUP(R109,'Live Medal Table'!$B$2:$B$94,'Live Medal Table'!$C$2:$C$94,"???"),"???"))</f>
        <v>CHN</v>
      </c>
      <c r="T109" s="29">
        <f t="array" ref="T109">IF(R109="",0,IFERROR(XLOOKUP(R109,'Live Medal Table'!$B$2:$B$94,'Live Medal Table'!$F$2:$F$94,0),0))</f>
        <v>3</v>
      </c>
      <c r="U109" s="29">
        <f t="array" ref="U109">IF(R109="",0,IFERROR(XLOOKUP(R109,'Live Medal Table'!$B$2:$B$94,'Live Medal Table'!$G$2:$G$94,0),0))</f>
        <v>5</v>
      </c>
      <c r="V109" s="29">
        <f t="array" ref="V109">IF(R109="",0,IFERROR(XLOOKUP(R109,'Live Medal Table'!$B$2:$B$94,'Live Medal Table'!$H$2:$H$94,0),0))</f>
        <v>4</v>
      </c>
      <c r="W109" s="29">
        <f t="array" ref="W109">IF(R109="",0,IFERROR(XLOOKUP(R109,'Live Medal Table'!$B$2:$B$94,'Live Medal Table'!$I$2:$I$94,0),0))</f>
        <v>6</v>
      </c>
      <c r="X109" s="29">
        <f t="shared" si="1"/>
        <v>45</v>
      </c>
      <c r="Y109" s="29">
        <f t="shared" si="2"/>
        <v>24</v>
      </c>
      <c r="Z109" s="29">
        <f t="shared" si="3"/>
        <v>18</v>
      </c>
      <c r="AA109" s="29">
        <f t="shared" si="4"/>
        <v>87</v>
      </c>
      <c r="AB109" s="29" t="b">
        <f t="array" ref="AB109">IF(R109="",FALSE,IFERROR(AND(ISNUMBER(MATCH(R109,'Live Medal Table'!$B$2:$B$94,0)),XLOOKUP(R109,'Live Medal Table'!$B$2:$B$94,Countries!$I$2:$I$72,FALSE)),FALSE))</f>
        <v>0</v>
      </c>
    </row>
    <row r="110" ht="15.7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29"/>
      <c r="M110" s="29"/>
      <c r="N110" s="29" t="str">
        <f t="array" ref="N110">IFERROR(IF(INDEX(Entries!$C$2:$C$47,14)="","",INDEX(Entries!$Q$2:$Q$47,14)),"")</f>
        <v>Jack_Bulthuis_A taco93</v>
      </c>
      <c r="O110" s="29" t="str">
        <f t="array" ref="O110">IF(N110="","",IFERROR(INDEX(Entries!$E$2:$E$47,14),""))</f>
        <v>A taco93</v>
      </c>
      <c r="P110" s="29" t="str">
        <f>IF(N110="","","Tier4_Pick1")</f>
        <v>Tier4_Pick1</v>
      </c>
      <c r="Q110" s="29">
        <f>IF(N110="","",4)</f>
        <v>4</v>
      </c>
      <c r="R110" s="29" t="str">
        <f t="array" ref="R110">IF(N110="","",IFERROR(INDEX(Entries!$I$2:$I$47,14),""))</f>
        <v>Finland</v>
      </c>
      <c r="S110" s="29" t="str">
        <f t="array" ref="S110">IF(R110="","",IFERROR(XLOOKUP(R110,'Live Medal Table'!$B$2:$B$94,'Live Medal Table'!$C$2:$C$94,"???"),"???"))</f>
        <v>FIN</v>
      </c>
      <c r="T110" s="29">
        <f t="array" ref="T110">IF(R110="",0,IFERROR(XLOOKUP(R110,'Live Medal Table'!$B$2:$B$94,'Live Medal Table'!$F$2:$F$94,0),0))</f>
        <v>6</v>
      </c>
      <c r="U110" s="29">
        <f t="array" ref="U110">IF(R110="",0,IFERROR(XLOOKUP(R110,'Live Medal Table'!$B$2:$B$94,'Live Medal Table'!$G$2:$G$94,0),0))</f>
        <v>0</v>
      </c>
      <c r="V110" s="29">
        <f t="array" ref="V110">IF(R110="",0,IFERROR(XLOOKUP(R110,'Live Medal Table'!$B$2:$B$94,'Live Medal Table'!$H$2:$H$94,0),0))</f>
        <v>1</v>
      </c>
      <c r="W110" s="29">
        <f t="array" ref="W110">IF(R110="",0,IFERROR(XLOOKUP(R110,'Live Medal Table'!$B$2:$B$94,'Live Medal Table'!$I$2:$I$94,0),0))</f>
        <v>5</v>
      </c>
      <c r="X110" s="29">
        <f t="shared" si="1"/>
        <v>0</v>
      </c>
      <c r="Y110" s="29">
        <f t="shared" si="2"/>
        <v>12</v>
      </c>
      <c r="Z110" s="29">
        <f t="shared" si="3"/>
        <v>30</v>
      </c>
      <c r="AA110" s="29">
        <f t="shared" si="4"/>
        <v>42</v>
      </c>
      <c r="AB110" s="29" t="b">
        <f t="array" ref="AB110">IF(R110="",FALSE,IFERROR(AND(ISNUMBER(MATCH(R110,'Live Medal Table'!$B$2:$B$94,0)),XLOOKUP(R110,'Live Medal Table'!$B$2:$B$94,Countries!$I$2:$I$72,FALSE)),FALSE))</f>
        <v>0</v>
      </c>
    </row>
    <row r="111" ht="15.7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29"/>
      <c r="M111" s="29"/>
      <c r="N111" s="29" t="str">
        <f t="array" ref="N111">IFERROR(IF(INDEX(Entries!$C$2:$C$47,14)="","",INDEX(Entries!$Q$2:$Q$47,14)),"")</f>
        <v>Jack_Bulthuis_A taco93</v>
      </c>
      <c r="O111" s="29" t="str">
        <f t="array" ref="O111">IF(N111="","",IFERROR(INDEX(Entries!$E$2:$E$47,14),""))</f>
        <v>A taco93</v>
      </c>
      <c r="P111" s="29" t="str">
        <f>IF(N111="","","Tier5_Pick1")</f>
        <v>Tier5_Pick1</v>
      </c>
      <c r="Q111" s="29">
        <f>IF(N111="","",5)</f>
        <v>5</v>
      </c>
      <c r="R111" s="29" t="str">
        <f t="array" ref="R111">IF(N111="","",IFERROR(INDEX(Entries!$J$2:$J$47,14),""))</f>
        <v>Australia</v>
      </c>
      <c r="S111" s="29" t="str">
        <f t="array" ref="S111">IF(R111="","",IFERROR(XLOOKUP(R111,'Live Medal Table'!$B$2:$B$94,'Live Medal Table'!$C$2:$C$94,"???"),"???"))</f>
        <v>AUS</v>
      </c>
      <c r="T111" s="29">
        <f t="array" ref="T111">IF(R111="",0,IFERROR(XLOOKUP(R111,'Live Medal Table'!$B$2:$B$94,'Live Medal Table'!$F$2:$F$94,0),0))</f>
        <v>10</v>
      </c>
      <c r="U111" s="29">
        <f t="array" ref="U111">IF(R111="",0,IFERROR(XLOOKUP(R111,'Live Medal Table'!$B$2:$B$94,'Live Medal Table'!$G$2:$G$94,0),0))</f>
        <v>3</v>
      </c>
      <c r="V111" s="29">
        <f t="array" ref="V111">IF(R111="",0,IFERROR(XLOOKUP(R111,'Live Medal Table'!$B$2:$B$94,'Live Medal Table'!$H$2:$H$94,0),0))</f>
        <v>2</v>
      </c>
      <c r="W111" s="29">
        <f t="array" ref="W111">IF(R111="",0,IFERROR(XLOOKUP(R111,'Live Medal Table'!$B$2:$B$94,'Live Medal Table'!$I$2:$I$94,0),0))</f>
        <v>1</v>
      </c>
      <c r="X111" s="29">
        <f t="shared" si="1"/>
        <v>90</v>
      </c>
      <c r="Y111" s="29">
        <f t="shared" si="2"/>
        <v>40</v>
      </c>
      <c r="Z111" s="29">
        <f t="shared" si="3"/>
        <v>10</v>
      </c>
      <c r="AA111" s="29">
        <f t="shared" si="4"/>
        <v>140</v>
      </c>
      <c r="AB111" s="29" t="b">
        <f t="array" ref="AB111">IF(R111="",FALSE,IFERROR(AND(ISNUMBER(MATCH(R111,'Live Medal Table'!$B$2:$B$94,0)),XLOOKUP(R111,'Live Medal Table'!$B$2:$B$94,Countries!$I$2:$I$72,FALSE)),FALSE))</f>
        <v>0</v>
      </c>
    </row>
    <row r="112" ht="15.7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29"/>
      <c r="M112" s="29"/>
      <c r="N112" s="29" t="str">
        <f t="array" ref="N112">IFERROR(IF(INDEX(Entries!$C$2:$C$47,14)="","",INDEX(Entries!$Q$2:$Q$47,14)),"")</f>
        <v>Jack_Bulthuis_A taco93</v>
      </c>
      <c r="O112" s="29" t="str">
        <f t="array" ref="O112">IF(N112="","",IFERROR(INDEX(Entries!$E$2:$E$47,14),""))</f>
        <v>A taco93</v>
      </c>
      <c r="P112" s="29" t="str">
        <f>IF(N112="","","Tier6_Pick1")</f>
        <v>Tier6_Pick1</v>
      </c>
      <c r="Q112" s="29">
        <f t="shared" ref="Q112:Q113" si="32">IF(N112="","",6)</f>
        <v>6</v>
      </c>
      <c r="R112" s="29" t="str">
        <f t="array" ref="R112">IF(N112="","",IFERROR(INDEX(Entries!$O$2:$O$47,14),""))</f>
        <v>Estonia</v>
      </c>
      <c r="S112" s="29" t="str">
        <f t="array" ref="S112">IF(R112="","",IFERROR(XLOOKUP(R112,'Live Medal Table'!$B$2:$B$94,'Live Medal Table'!$C$2:$C$94,"???"),"???"))</f>
        <v>EST</v>
      </c>
      <c r="T112" s="29">
        <f t="array" ref="T112">IF(R112="",0,IFERROR(XLOOKUP(R112,'Live Medal Table'!$B$2:$B$94,'Live Medal Table'!$F$2:$F$94,0),0))</f>
        <v>20</v>
      </c>
      <c r="U112" s="29">
        <f t="array" ref="U112">IF(R112="",0,IFERROR(XLOOKUP(R112,'Live Medal Table'!$B$2:$B$94,'Live Medal Table'!$G$2:$G$94,0),0))</f>
        <v>0</v>
      </c>
      <c r="V112" s="29">
        <f t="array" ref="V112">IF(R112="",0,IFERROR(XLOOKUP(R112,'Live Medal Table'!$B$2:$B$94,'Live Medal Table'!$H$2:$H$94,0),0))</f>
        <v>1</v>
      </c>
      <c r="W112" s="29">
        <f t="array" ref="W112">IF(R112="",0,IFERROR(XLOOKUP(R112,'Live Medal Table'!$B$2:$B$94,'Live Medal Table'!$I$2:$I$94,0),0))</f>
        <v>0</v>
      </c>
      <c r="X112" s="29">
        <f t="shared" si="1"/>
        <v>0</v>
      </c>
      <c r="Y112" s="29">
        <f t="shared" si="2"/>
        <v>40</v>
      </c>
      <c r="Z112" s="29">
        <f t="shared" si="3"/>
        <v>0</v>
      </c>
      <c r="AA112" s="29">
        <f t="shared" si="4"/>
        <v>40</v>
      </c>
      <c r="AB112" s="29" t="b">
        <f t="array" ref="AB112">IF(R112="",FALSE,IFERROR(AND(ISNUMBER(MATCH(R112,'Live Medal Table'!$B$2:$B$94,0)),XLOOKUP(R112,'Live Medal Table'!$B$2:$B$94,Countries!$I$2:$I$72,FALSE)),FALSE))</f>
        <v>0</v>
      </c>
    </row>
    <row r="113" ht="15.7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29"/>
      <c r="M113" s="29"/>
      <c r="N113" s="29" t="str">
        <f t="array" ref="N113">IFERROR(IF(INDEX(Entries!$C$2:$C$47,14)="","",INDEX(Entries!$Q$2:$Q$47,14)),"")</f>
        <v>Jack_Bulthuis_A taco93</v>
      </c>
      <c r="O113" s="29" t="str">
        <f t="array" ref="O113">IF(N113="","",IFERROR(INDEX(Entries!$E$2:$E$47,14),""))</f>
        <v>A taco93</v>
      </c>
      <c r="P113" s="29" t="str">
        <f>IF(N113="","","Tier6_Pick2")</f>
        <v>Tier6_Pick2</v>
      </c>
      <c r="Q113" s="29">
        <f t="shared" si="32"/>
        <v>6</v>
      </c>
      <c r="R113" s="29" t="str">
        <f t="array" ref="R113">IF(N113="","",IFERROR(INDEX(Entries!$P$2:$P$47,14),""))</f>
        <v>New Zealand</v>
      </c>
      <c r="S113" s="29" t="str">
        <f t="array" ref="S113">IF(R113="","",IFERROR(XLOOKUP(R113,'Live Medal Table'!$B$2:$B$94,'Live Medal Table'!$C$2:$C$94,"???"),"???"))</f>
        <v>NZL</v>
      </c>
      <c r="T113" s="29">
        <f t="array" ref="T113">IF(R113="",0,IFERROR(XLOOKUP(R113,'Live Medal Table'!$B$2:$B$94,'Live Medal Table'!$F$2:$F$94,0),0))</f>
        <v>20</v>
      </c>
      <c r="U113" s="29">
        <f t="array" ref="U113">IF(R113="",0,IFERROR(XLOOKUP(R113,'Live Medal Table'!$B$2:$B$94,'Live Medal Table'!$G$2:$G$94,0),0))</f>
        <v>0</v>
      </c>
      <c r="V113" s="29">
        <f t="array" ref="V113">IF(R113="",0,IFERROR(XLOOKUP(R113,'Live Medal Table'!$B$2:$B$94,'Live Medal Table'!$H$2:$H$94,0),0))</f>
        <v>2</v>
      </c>
      <c r="W113" s="29">
        <f t="array" ref="W113">IF(R113="",0,IFERROR(XLOOKUP(R113,'Live Medal Table'!$B$2:$B$94,'Live Medal Table'!$I$2:$I$94,0),0))</f>
        <v>1</v>
      </c>
      <c r="X113" s="29">
        <f t="shared" si="1"/>
        <v>0</v>
      </c>
      <c r="Y113" s="29">
        <f t="shared" si="2"/>
        <v>80</v>
      </c>
      <c r="Z113" s="29">
        <f t="shared" si="3"/>
        <v>20</v>
      </c>
      <c r="AA113" s="29">
        <f t="shared" si="4"/>
        <v>100</v>
      </c>
      <c r="AB113" s="29" t="b">
        <f t="array" ref="AB113">IF(R113="",FALSE,IFERROR(AND(ISNUMBER(MATCH(R113,'Live Medal Table'!$B$2:$B$94,0)),XLOOKUP(R113,'Live Medal Table'!$B$2:$B$94,Countries!$I$2:$I$72,FALSE)),FALSE))</f>
        <v>0</v>
      </c>
    </row>
    <row r="114" ht="15.7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29"/>
      <c r="M114" s="29"/>
      <c r="N114" s="29" t="str">
        <f t="array" ref="N114">IFERROR(IF(INDEX(Entries!$C$2:$C$47,15)="","",INDEX(Entries!$Q$2:$Q$47,15)),"")</f>
        <v>Mark_Mattson_Mark Mattson</v>
      </c>
      <c r="O114" s="29" t="str">
        <f t="array" ref="O114">IF(N114="","",IFERROR(INDEX(Entries!$E$2:$E$47,15),""))</f>
        <v>Mark Mattson</v>
      </c>
      <c r="P114" s="29" t="str">
        <f>IF(N114="","","Tier1_Pick1")</f>
        <v>Tier1_Pick1</v>
      </c>
      <c r="Q114" s="29">
        <f>IF(N114="","",1)</f>
        <v>1</v>
      </c>
      <c r="R114" s="29" t="str">
        <f t="array" ref="R114">IF(N114="","",IFERROR(INDEX(Entries!$F$2:$F$47,15),""))</f>
        <v>United States</v>
      </c>
      <c r="S114" s="29" t="str">
        <f t="array" ref="S114">IF(R114="","",IFERROR(XLOOKUP(R114,'Live Medal Table'!$B$2:$B$94,'Live Medal Table'!$C$2:$C$94,"???"),"???"))</f>
        <v>USA</v>
      </c>
      <c r="T114" s="29">
        <f t="array" ref="T114">IF(R114="",0,IFERROR(XLOOKUP(R114,'Live Medal Table'!$B$2:$B$94,'Live Medal Table'!$F$2:$F$94,0),0))</f>
        <v>1</v>
      </c>
      <c r="U114" s="29">
        <f t="array" ref="U114">IF(R114="",0,IFERROR(XLOOKUP(R114,'Live Medal Table'!$B$2:$B$94,'Live Medal Table'!$G$2:$G$94,0),0))</f>
        <v>12</v>
      </c>
      <c r="V114" s="29">
        <f t="array" ref="V114">IF(R114="",0,IFERROR(XLOOKUP(R114,'Live Medal Table'!$B$2:$B$94,'Live Medal Table'!$H$2:$H$94,0),0))</f>
        <v>12</v>
      </c>
      <c r="W114" s="29">
        <f t="array" ref="W114">IF(R114="",0,IFERROR(XLOOKUP(R114,'Live Medal Table'!$B$2:$B$94,'Live Medal Table'!$I$2:$I$94,0),0))</f>
        <v>9</v>
      </c>
      <c r="X114" s="29">
        <f t="shared" si="1"/>
        <v>36</v>
      </c>
      <c r="Y114" s="29">
        <f t="shared" si="2"/>
        <v>24</v>
      </c>
      <c r="Z114" s="29">
        <f t="shared" si="3"/>
        <v>9</v>
      </c>
      <c r="AA114" s="29">
        <f t="shared" si="4"/>
        <v>69</v>
      </c>
      <c r="AB114" s="29" t="b">
        <f t="array" ref="AB114">IF(R114="",FALSE,IFERROR(AND(ISNUMBER(MATCH(R114,'Live Medal Table'!$B$2:$B$94,0)),XLOOKUP(R114,'Live Medal Table'!$B$2:$B$94,Countries!$I$2:$I$72,FALSE)),FALSE))</f>
        <v>0</v>
      </c>
    </row>
    <row r="115" ht="15.7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29"/>
      <c r="M115" s="29"/>
      <c r="N115" s="29" t="str">
        <f t="array" ref="N115">IFERROR(IF(INDEX(Entries!$C$2:$C$47,15)="","",INDEX(Entries!$Q$2:$Q$47,15)),"")</f>
        <v>Mark_Mattson_Mark Mattson</v>
      </c>
      <c r="O115" s="29" t="str">
        <f t="array" ref="O115">IF(N115="","",IFERROR(INDEX(Entries!$E$2:$E$47,15),""))</f>
        <v>Mark Mattson</v>
      </c>
      <c r="P115" s="29" t="str">
        <f>IF(N115="","","Tier2_Pick1")</f>
        <v>Tier2_Pick1</v>
      </c>
      <c r="Q115" s="29">
        <f t="shared" ref="Q115:Q116" si="33">IF(N115="","",2)</f>
        <v>2</v>
      </c>
      <c r="R115" s="29" t="str">
        <f t="array" ref="R115">IF(N115="","",IFERROR(INDEX(Entries!$M$2:$M$47,15),""))</f>
        <v>Netherlands</v>
      </c>
      <c r="S115" s="29" t="str">
        <f t="array" ref="S115">IF(R115="","",IFERROR(XLOOKUP(R115,'Live Medal Table'!$B$2:$B$94,'Live Medal Table'!$C$2:$C$94,"???"),"???"))</f>
        <v>NED</v>
      </c>
      <c r="T115" s="29">
        <f t="array" ref="T115">IF(R115="",0,IFERROR(XLOOKUP(R115,'Live Medal Table'!$B$2:$B$94,'Live Medal Table'!$F$2:$F$94,0),0))</f>
        <v>2</v>
      </c>
      <c r="U115" s="29">
        <f t="array" ref="U115">IF(R115="",0,IFERROR(XLOOKUP(R115,'Live Medal Table'!$B$2:$B$94,'Live Medal Table'!$G$2:$G$94,0),0))</f>
        <v>10</v>
      </c>
      <c r="V115" s="29">
        <f t="array" ref="V115">IF(R115="",0,IFERROR(XLOOKUP(R115,'Live Medal Table'!$B$2:$B$94,'Live Medal Table'!$H$2:$H$94,0),0))</f>
        <v>7</v>
      </c>
      <c r="W115" s="29">
        <f t="array" ref="W115">IF(R115="",0,IFERROR(XLOOKUP(R115,'Live Medal Table'!$B$2:$B$94,'Live Medal Table'!$I$2:$I$94,0),0))</f>
        <v>3</v>
      </c>
      <c r="X115" s="29">
        <f t="shared" si="1"/>
        <v>60</v>
      </c>
      <c r="Y115" s="29">
        <f t="shared" si="2"/>
        <v>28</v>
      </c>
      <c r="Z115" s="29">
        <f t="shared" si="3"/>
        <v>6</v>
      </c>
      <c r="AA115" s="29">
        <f t="shared" si="4"/>
        <v>94</v>
      </c>
      <c r="AB115" s="29" t="b">
        <f t="array" ref="AB115">IF(R115="",FALSE,IFERROR(AND(ISNUMBER(MATCH(R115,'Live Medal Table'!$B$2:$B$94,0)),XLOOKUP(R115,'Live Medal Table'!$B$2:$B$94,Countries!$I$2:$I$72,FALSE)),FALSE))</f>
        <v>0</v>
      </c>
    </row>
    <row r="116" ht="15.7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29"/>
      <c r="M116" s="29"/>
      <c r="N116" s="29" t="str">
        <f t="array" ref="N116">IFERROR(IF(INDEX(Entries!$C$2:$C$47,15)="","",INDEX(Entries!$Q$2:$Q$47,15)),"")</f>
        <v>Mark_Mattson_Mark Mattson</v>
      </c>
      <c r="O116" s="29" t="str">
        <f t="array" ref="O116">IF(N116="","",IFERROR(INDEX(Entries!$E$2:$E$47,15),""))</f>
        <v>Mark Mattson</v>
      </c>
      <c r="P116" s="29" t="str">
        <f>IF(N116="","","Tier2_Pick2")</f>
        <v>Tier2_Pick2</v>
      </c>
      <c r="Q116" s="29">
        <f t="shared" si="33"/>
        <v>2</v>
      </c>
      <c r="R116" s="29" t="str">
        <f t="array" ref="R116">IF(N116="","",IFERROR(INDEX(Entries!$N$2:$N$47,15),""))</f>
        <v>Sweden</v>
      </c>
      <c r="S116" s="29" t="str">
        <f t="array" ref="S116">IF(R116="","",IFERROR(XLOOKUP(R116,'Live Medal Table'!$B$2:$B$94,'Live Medal Table'!$C$2:$C$94,"???"),"???"))</f>
        <v>SWE</v>
      </c>
      <c r="T116" s="29">
        <f t="array" ref="T116">IF(R116="",0,IFERROR(XLOOKUP(R116,'Live Medal Table'!$B$2:$B$94,'Live Medal Table'!$F$2:$F$94,0),0))</f>
        <v>2</v>
      </c>
      <c r="U116" s="29">
        <f t="array" ref="U116">IF(R116="",0,IFERROR(XLOOKUP(R116,'Live Medal Table'!$B$2:$B$94,'Live Medal Table'!$G$2:$G$94,0),0))</f>
        <v>8</v>
      </c>
      <c r="V116" s="29">
        <f t="array" ref="V116">IF(R116="",0,IFERROR(XLOOKUP(R116,'Live Medal Table'!$B$2:$B$94,'Live Medal Table'!$H$2:$H$94,0),0))</f>
        <v>6</v>
      </c>
      <c r="W116" s="29">
        <f t="array" ref="W116">IF(R116="",0,IFERROR(XLOOKUP(R116,'Live Medal Table'!$B$2:$B$94,'Live Medal Table'!$I$2:$I$94,0),0))</f>
        <v>4</v>
      </c>
      <c r="X116" s="29">
        <f t="shared" si="1"/>
        <v>48</v>
      </c>
      <c r="Y116" s="29">
        <f t="shared" si="2"/>
        <v>24</v>
      </c>
      <c r="Z116" s="29">
        <f t="shared" si="3"/>
        <v>8</v>
      </c>
      <c r="AA116" s="29">
        <f t="shared" si="4"/>
        <v>80</v>
      </c>
      <c r="AB116" s="29" t="b">
        <f t="array" ref="AB116">IF(R116="",FALSE,IFERROR(AND(ISNUMBER(MATCH(R116,'Live Medal Table'!$B$2:$B$94,0)),XLOOKUP(R116,'Live Medal Table'!$B$2:$B$94,Countries!$I$2:$I$72,FALSE)),FALSE))</f>
        <v>0</v>
      </c>
    </row>
    <row r="117" ht="15.7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29"/>
      <c r="M117" s="29"/>
      <c r="N117" s="29" t="str">
        <f t="array" ref="N117">IFERROR(IF(INDEX(Entries!$C$2:$C$47,15)="","",INDEX(Entries!$Q$2:$Q$47,15)),"")</f>
        <v>Mark_Mattson_Mark Mattson</v>
      </c>
      <c r="O117" s="29" t="str">
        <f t="array" ref="O117">IF(N117="","",IFERROR(INDEX(Entries!$E$2:$E$47,15),""))</f>
        <v>Mark Mattson</v>
      </c>
      <c r="P117" s="29" t="str">
        <f>IF(N117="","","Tier3_Pick1")</f>
        <v>Tier3_Pick1</v>
      </c>
      <c r="Q117" s="29">
        <f>IF(N117="","",3)</f>
        <v>3</v>
      </c>
      <c r="R117" s="29" t="str">
        <f t="array" ref="R117">IF(N117="","",IFERROR(INDEX(Entries!$H$2:$H$47,15),""))</f>
        <v>Italy</v>
      </c>
      <c r="S117" s="29" t="str">
        <f t="array" ref="S117">IF(R117="","",IFERROR(XLOOKUP(R117,'Live Medal Table'!$B$2:$B$94,'Live Medal Table'!$C$2:$C$94,"???"),"???"))</f>
        <v>ITA</v>
      </c>
      <c r="T117" s="29">
        <f t="array" ref="T117">IF(R117="",0,IFERROR(XLOOKUP(R117,'Live Medal Table'!$B$2:$B$94,'Live Medal Table'!$F$2:$F$94,0),0))</f>
        <v>3</v>
      </c>
      <c r="U117" s="29">
        <f t="array" ref="U117">IF(R117="",0,IFERROR(XLOOKUP(R117,'Live Medal Table'!$B$2:$B$94,'Live Medal Table'!$G$2:$G$94,0),0))</f>
        <v>10</v>
      </c>
      <c r="V117" s="29">
        <f t="array" ref="V117">IF(R117="",0,IFERROR(XLOOKUP(R117,'Live Medal Table'!$B$2:$B$94,'Live Medal Table'!$H$2:$H$94,0),0))</f>
        <v>6</v>
      </c>
      <c r="W117" s="29">
        <f t="array" ref="W117">IF(R117="",0,IFERROR(XLOOKUP(R117,'Live Medal Table'!$B$2:$B$94,'Live Medal Table'!$I$2:$I$94,0),0))</f>
        <v>14</v>
      </c>
      <c r="X117" s="29">
        <f t="shared" si="1"/>
        <v>90</v>
      </c>
      <c r="Y117" s="29">
        <f t="shared" si="2"/>
        <v>36</v>
      </c>
      <c r="Z117" s="29">
        <f t="shared" si="3"/>
        <v>42</v>
      </c>
      <c r="AA117" s="29">
        <f t="shared" si="4"/>
        <v>168</v>
      </c>
      <c r="AB117" s="29" t="b">
        <f t="array" ref="AB117">IF(R117="",FALSE,IFERROR(AND(ISNUMBER(MATCH(R117,'Live Medal Table'!$B$2:$B$94,0)),XLOOKUP(R117,'Live Medal Table'!$B$2:$B$94,Countries!$I$2:$I$72,FALSE)),FALSE))</f>
        <v>0</v>
      </c>
    </row>
    <row r="118" ht="15.7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29"/>
      <c r="M118" s="29"/>
      <c r="N118" s="29" t="str">
        <f t="array" ref="N118">IFERROR(IF(INDEX(Entries!$C$2:$C$47,15)="","",INDEX(Entries!$Q$2:$Q$47,15)),"")</f>
        <v>Mark_Mattson_Mark Mattson</v>
      </c>
      <c r="O118" s="29" t="str">
        <f t="array" ref="O118">IF(N118="","",IFERROR(INDEX(Entries!$E$2:$E$47,15),""))</f>
        <v>Mark Mattson</v>
      </c>
      <c r="P118" s="29" t="str">
        <f>IF(N118="","","Tier4_Pick1")</f>
        <v>Tier4_Pick1</v>
      </c>
      <c r="Q118" s="29">
        <f>IF(N118="","",4)</f>
        <v>4</v>
      </c>
      <c r="R118" s="29" t="str">
        <f t="array" ref="R118">IF(N118="","",IFERROR(INDEX(Entries!$I$2:$I$47,15),""))</f>
        <v>Czech Republic</v>
      </c>
      <c r="S118" s="29" t="str">
        <f t="array" ref="S118">IF(R118="","",IFERROR(XLOOKUP(R118,'Live Medal Table'!$B$2:$B$94,'Live Medal Table'!$C$2:$C$94,"???"),"???"))</f>
        <v>CZE</v>
      </c>
      <c r="T118" s="29">
        <f t="array" ref="T118">IF(R118="",0,IFERROR(XLOOKUP(R118,'Live Medal Table'!$B$2:$B$94,'Live Medal Table'!$F$2:$F$94,0),0))</f>
        <v>6</v>
      </c>
      <c r="U118" s="29">
        <f t="array" ref="U118">IF(R118="",0,IFERROR(XLOOKUP(R118,'Live Medal Table'!$B$2:$B$94,'Live Medal Table'!$G$2:$G$94,0),0))</f>
        <v>2</v>
      </c>
      <c r="V118" s="29">
        <f t="array" ref="V118">IF(R118="",0,IFERROR(XLOOKUP(R118,'Live Medal Table'!$B$2:$B$94,'Live Medal Table'!$H$2:$H$94,0),0))</f>
        <v>2</v>
      </c>
      <c r="W118" s="29">
        <f t="array" ref="W118">IF(R118="",0,IFERROR(XLOOKUP(R118,'Live Medal Table'!$B$2:$B$94,'Live Medal Table'!$I$2:$I$94,0),0))</f>
        <v>1</v>
      </c>
      <c r="X118" s="29">
        <f t="shared" si="1"/>
        <v>36</v>
      </c>
      <c r="Y118" s="29">
        <f t="shared" si="2"/>
        <v>24</v>
      </c>
      <c r="Z118" s="29">
        <f t="shared" si="3"/>
        <v>6</v>
      </c>
      <c r="AA118" s="29">
        <f t="shared" si="4"/>
        <v>66</v>
      </c>
      <c r="AB118" s="29" t="b">
        <f t="array" ref="AB118">IF(R118="",FALSE,IFERROR(AND(ISNUMBER(MATCH(R118,'Live Medal Table'!$B$2:$B$94,0)),XLOOKUP(R118,'Live Medal Table'!$B$2:$B$94,Countries!$I$2:$I$72,FALSE)),FALSE))</f>
        <v>0</v>
      </c>
    </row>
    <row r="119" ht="15.7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29"/>
      <c r="M119" s="29"/>
      <c r="N119" s="29" t="str">
        <f t="array" ref="N119">IFERROR(IF(INDEX(Entries!$C$2:$C$47,15)="","",INDEX(Entries!$Q$2:$Q$47,15)),"")</f>
        <v>Mark_Mattson_Mark Mattson</v>
      </c>
      <c r="O119" s="29" t="str">
        <f t="array" ref="O119">IF(N119="","",IFERROR(INDEX(Entries!$E$2:$E$47,15),""))</f>
        <v>Mark Mattson</v>
      </c>
      <c r="P119" s="29" t="str">
        <f>IF(N119="","","Tier5_Pick1")</f>
        <v>Tier5_Pick1</v>
      </c>
      <c r="Q119" s="29">
        <f>IF(N119="","",5)</f>
        <v>5</v>
      </c>
      <c r="R119" s="29" t="str">
        <f t="array" ref="R119">IF(N119="","",IFERROR(INDEX(Entries!$J$2:$J$47,15),""))</f>
        <v>Poland</v>
      </c>
      <c r="S119" s="29" t="str">
        <f t="array" ref="S119">IF(R119="","",IFERROR(XLOOKUP(R119,'Live Medal Table'!$B$2:$B$94,'Live Medal Table'!$C$2:$C$94,"???"),"???"))</f>
        <v>POL</v>
      </c>
      <c r="T119" s="29">
        <f t="array" ref="T119">IF(R119="",0,IFERROR(XLOOKUP(R119,'Live Medal Table'!$B$2:$B$94,'Live Medal Table'!$F$2:$F$94,0),0))</f>
        <v>10</v>
      </c>
      <c r="U119" s="29">
        <f t="array" ref="U119">IF(R119="",0,IFERROR(XLOOKUP(R119,'Live Medal Table'!$B$2:$B$94,'Live Medal Table'!$G$2:$G$94,0),0))</f>
        <v>0</v>
      </c>
      <c r="V119" s="29">
        <f t="array" ref="V119">IF(R119="",0,IFERROR(XLOOKUP(R119,'Live Medal Table'!$B$2:$B$94,'Live Medal Table'!$H$2:$H$94,0),0))</f>
        <v>3</v>
      </c>
      <c r="W119" s="29">
        <f t="array" ref="W119">IF(R119="",0,IFERROR(XLOOKUP(R119,'Live Medal Table'!$B$2:$B$94,'Live Medal Table'!$I$2:$I$94,0),0))</f>
        <v>1</v>
      </c>
      <c r="X119" s="29">
        <f t="shared" si="1"/>
        <v>0</v>
      </c>
      <c r="Y119" s="29">
        <f t="shared" si="2"/>
        <v>60</v>
      </c>
      <c r="Z119" s="29">
        <f t="shared" si="3"/>
        <v>10</v>
      </c>
      <c r="AA119" s="29">
        <f t="shared" si="4"/>
        <v>70</v>
      </c>
      <c r="AB119" s="29" t="b">
        <f t="array" ref="AB119">IF(R119="",FALSE,IFERROR(AND(ISNUMBER(MATCH(R119,'Live Medal Table'!$B$2:$B$94,0)),XLOOKUP(R119,'Live Medal Table'!$B$2:$B$94,Countries!$I$2:$I$72,FALSE)),FALSE))</f>
        <v>0</v>
      </c>
    </row>
    <row r="120" ht="15.7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29"/>
      <c r="M120" s="29"/>
      <c r="N120" s="29" t="str">
        <f t="array" ref="N120">IFERROR(IF(INDEX(Entries!$C$2:$C$47,15)="","",INDEX(Entries!$Q$2:$Q$47,15)),"")</f>
        <v>Mark_Mattson_Mark Mattson</v>
      </c>
      <c r="O120" s="29" t="str">
        <f t="array" ref="O120">IF(N120="","",IFERROR(INDEX(Entries!$E$2:$E$47,15),""))</f>
        <v>Mark Mattson</v>
      </c>
      <c r="P120" s="29" t="str">
        <f>IF(N120="","","Tier6_Pick1")</f>
        <v>Tier6_Pick1</v>
      </c>
      <c r="Q120" s="29">
        <f t="shared" ref="Q120:Q121" si="34">IF(N120="","",6)</f>
        <v>6</v>
      </c>
      <c r="R120" s="29" t="str">
        <f t="array" ref="R120">IF(N120="","",IFERROR(INDEX(Entries!$O$2:$O$47,15),""))</f>
        <v>Ireland</v>
      </c>
      <c r="S120" s="29" t="str">
        <f t="array" ref="S120">IF(R120="","",IFERROR(XLOOKUP(R120,'Live Medal Table'!$B$2:$B$94,'Live Medal Table'!$C$2:$C$94,"???"),"???"))</f>
        <v>IRL</v>
      </c>
      <c r="T120" s="29">
        <f t="array" ref="T120">IF(R120="",0,IFERROR(XLOOKUP(R120,'Live Medal Table'!$B$2:$B$94,'Live Medal Table'!$F$2:$F$94,0),0))</f>
        <v>20</v>
      </c>
      <c r="U120" s="29">
        <f t="array" ref="U120">IF(R120="",0,IFERROR(XLOOKUP(R120,'Live Medal Table'!$B$2:$B$94,'Live Medal Table'!$G$2:$G$94,0),0))</f>
        <v>0</v>
      </c>
      <c r="V120" s="29">
        <f t="array" ref="V120">IF(R120="",0,IFERROR(XLOOKUP(R120,'Live Medal Table'!$B$2:$B$94,'Live Medal Table'!$H$2:$H$94,0),0))</f>
        <v>0</v>
      </c>
      <c r="W120" s="29">
        <f t="array" ref="W120">IF(R120="",0,IFERROR(XLOOKUP(R120,'Live Medal Table'!$B$2:$B$94,'Live Medal Table'!$I$2:$I$94,0),0))</f>
        <v>0</v>
      </c>
      <c r="X120" s="29">
        <f t="shared" si="1"/>
        <v>0</v>
      </c>
      <c r="Y120" s="29">
        <f t="shared" si="2"/>
        <v>0</v>
      </c>
      <c r="Z120" s="29">
        <f t="shared" si="3"/>
        <v>0</v>
      </c>
      <c r="AA120" s="29">
        <f t="shared" si="4"/>
        <v>0</v>
      </c>
      <c r="AB120" s="29" t="b">
        <f t="array" ref="AB120">IF(R120="",FALSE,IFERROR(AND(ISNUMBER(MATCH(R120,'Live Medal Table'!$B$2:$B$94,0)),XLOOKUP(R120,'Live Medal Table'!$B$2:$B$94,Countries!$I$2:$I$72,FALSE)),FALSE))</f>
        <v>0</v>
      </c>
    </row>
    <row r="121" ht="15.7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29"/>
      <c r="M121" s="29"/>
      <c r="N121" s="29" t="str">
        <f t="array" ref="N121">IFERROR(IF(INDEX(Entries!$C$2:$C$47,15)="","",INDEX(Entries!$Q$2:$Q$47,15)),"")</f>
        <v>Mark_Mattson_Mark Mattson</v>
      </c>
      <c r="O121" s="29" t="str">
        <f t="array" ref="O121">IF(N121="","",IFERROR(INDEX(Entries!$E$2:$E$47,15),""))</f>
        <v>Mark Mattson</v>
      </c>
      <c r="P121" s="29" t="str">
        <f>IF(N121="","","Tier6_Pick2")</f>
        <v>Tier6_Pick2</v>
      </c>
      <c r="Q121" s="29">
        <f t="shared" si="34"/>
        <v>6</v>
      </c>
      <c r="R121" s="29" t="str">
        <f t="array" ref="R121">IF(N121="","",IFERROR(INDEX(Entries!$P$2:$P$47,15),""))</f>
        <v>Spain</v>
      </c>
      <c r="S121" s="29" t="str">
        <f t="array" ref="S121">IF(R121="","",IFERROR(XLOOKUP(R121,'Live Medal Table'!$B$2:$B$94,'Live Medal Table'!$C$2:$C$94,"???"),"???"))</f>
        <v>ESP</v>
      </c>
      <c r="T121" s="29">
        <f t="array" ref="T121">IF(R121="",0,IFERROR(XLOOKUP(R121,'Live Medal Table'!$B$2:$B$94,'Live Medal Table'!$F$2:$F$94,0),0))</f>
        <v>20</v>
      </c>
      <c r="U121" s="29">
        <f t="array" ref="U121">IF(R121="",0,IFERROR(XLOOKUP(R121,'Live Medal Table'!$B$2:$B$94,'Live Medal Table'!$G$2:$G$94,0),0))</f>
        <v>1</v>
      </c>
      <c r="V121" s="29">
        <f t="array" ref="V121">IF(R121="",0,IFERROR(XLOOKUP(R121,'Live Medal Table'!$B$2:$B$94,'Live Medal Table'!$H$2:$H$94,0),0))</f>
        <v>0</v>
      </c>
      <c r="W121" s="29">
        <f t="array" ref="W121">IF(R121="",0,IFERROR(XLOOKUP(R121,'Live Medal Table'!$B$2:$B$94,'Live Medal Table'!$I$2:$I$94,0),0))</f>
        <v>2</v>
      </c>
      <c r="X121" s="29">
        <f t="shared" si="1"/>
        <v>60</v>
      </c>
      <c r="Y121" s="29">
        <f t="shared" si="2"/>
        <v>0</v>
      </c>
      <c r="Z121" s="29">
        <f t="shared" si="3"/>
        <v>40</v>
      </c>
      <c r="AA121" s="29">
        <f t="shared" si="4"/>
        <v>100</v>
      </c>
      <c r="AB121" s="29" t="b">
        <f t="array" ref="AB121">IF(R121="",FALSE,IFERROR(AND(ISNUMBER(MATCH(R121,'Live Medal Table'!$B$2:$B$94,0)),XLOOKUP(R121,'Live Medal Table'!$B$2:$B$94,Countries!$I$2:$I$72,FALSE)),FALSE))</f>
        <v>0</v>
      </c>
    </row>
    <row r="122" ht="15.7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29"/>
      <c r="M122" s="29"/>
      <c r="N122" s="29" t="str">
        <f t="array" ref="N122">IFERROR(IF(INDEX(Entries!$C$2:$C$47,16)="","",INDEX(Entries!$Q$2:$Q$47,16)),"")</f>
        <v>Alex_Kepple_Tate McRae </v>
      </c>
      <c r="O122" s="29" t="str">
        <f t="array" ref="O122">IF(N122="","",IFERROR(INDEX(Entries!$E$2:$E$47,16),""))</f>
        <v>Tate McRae </v>
      </c>
      <c r="P122" s="29" t="str">
        <f>IF(N122="","","Tier1_Pick1")</f>
        <v>Tier1_Pick1</v>
      </c>
      <c r="Q122" s="29">
        <f>IF(N122="","",1)</f>
        <v>1</v>
      </c>
      <c r="R122" s="29" t="str">
        <f t="array" ref="R122">IF(N122="","",IFERROR(INDEX(Entries!$F$2:$F$47,16),""))</f>
        <v>United States</v>
      </c>
      <c r="S122" s="29" t="str">
        <f t="array" ref="S122">IF(R122="","",IFERROR(XLOOKUP(R122,'Live Medal Table'!$B$2:$B$94,'Live Medal Table'!$C$2:$C$94,"???"),"???"))</f>
        <v>USA</v>
      </c>
      <c r="T122" s="29">
        <f t="array" ref="T122">IF(R122="",0,IFERROR(XLOOKUP(R122,'Live Medal Table'!$B$2:$B$94,'Live Medal Table'!$F$2:$F$94,0),0))</f>
        <v>1</v>
      </c>
      <c r="U122" s="29">
        <f t="array" ref="U122">IF(R122="",0,IFERROR(XLOOKUP(R122,'Live Medal Table'!$B$2:$B$94,'Live Medal Table'!$G$2:$G$94,0),0))</f>
        <v>12</v>
      </c>
      <c r="V122" s="29">
        <f t="array" ref="V122">IF(R122="",0,IFERROR(XLOOKUP(R122,'Live Medal Table'!$B$2:$B$94,'Live Medal Table'!$H$2:$H$94,0),0))</f>
        <v>12</v>
      </c>
      <c r="W122" s="29">
        <f t="array" ref="W122">IF(R122="",0,IFERROR(XLOOKUP(R122,'Live Medal Table'!$B$2:$B$94,'Live Medal Table'!$I$2:$I$94,0),0))</f>
        <v>9</v>
      </c>
      <c r="X122" s="29">
        <f t="shared" si="1"/>
        <v>36</v>
      </c>
      <c r="Y122" s="29">
        <f t="shared" si="2"/>
        <v>24</v>
      </c>
      <c r="Z122" s="29">
        <f t="shared" si="3"/>
        <v>9</v>
      </c>
      <c r="AA122" s="29">
        <f t="shared" si="4"/>
        <v>69</v>
      </c>
      <c r="AB122" s="29" t="b">
        <f t="array" ref="AB122">IF(R122="",FALSE,IFERROR(AND(ISNUMBER(MATCH(R122,'Live Medal Table'!$B$2:$B$94,0)),XLOOKUP(R122,'Live Medal Table'!$B$2:$B$94,Countries!$I$2:$I$72,FALSE)),FALSE))</f>
        <v>0</v>
      </c>
    </row>
    <row r="123" ht="15.7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29"/>
      <c r="M123" s="29"/>
      <c r="N123" s="29" t="str">
        <f t="array" ref="N123">IFERROR(IF(INDEX(Entries!$C$2:$C$47,16)="","",INDEX(Entries!$Q$2:$Q$47,16)),"")</f>
        <v>Alex_Kepple_Tate McRae </v>
      </c>
      <c r="O123" s="29" t="str">
        <f t="array" ref="O123">IF(N123="","",IFERROR(INDEX(Entries!$E$2:$E$47,16),""))</f>
        <v>Tate McRae </v>
      </c>
      <c r="P123" s="29" t="str">
        <f>IF(N123="","","Tier2_Pick1")</f>
        <v>Tier2_Pick1</v>
      </c>
      <c r="Q123" s="29">
        <f t="shared" ref="Q123:Q124" si="35">IF(N123="","",2)</f>
        <v>2</v>
      </c>
      <c r="R123" s="29" t="str">
        <f t="array" ref="R123">IF(N123="","",IFERROR(INDEX(Entries!$M$2:$M$47,16),""))</f>
        <v>France</v>
      </c>
      <c r="S123" s="29" t="str">
        <f t="array" ref="S123">IF(R123="","",IFERROR(XLOOKUP(R123,'Live Medal Table'!$B$2:$B$94,'Live Medal Table'!$C$2:$C$94,"???"),"???"))</f>
        <v>FRA</v>
      </c>
      <c r="T123" s="29">
        <f t="array" ref="T123">IF(R123="",0,IFERROR(XLOOKUP(R123,'Live Medal Table'!$B$2:$B$94,'Live Medal Table'!$F$2:$F$94,0),0))</f>
        <v>2</v>
      </c>
      <c r="U123" s="29">
        <f t="array" ref="U123">IF(R123="",0,IFERROR(XLOOKUP(R123,'Live Medal Table'!$B$2:$B$94,'Live Medal Table'!$G$2:$G$94,0),0))</f>
        <v>8</v>
      </c>
      <c r="V123" s="29">
        <f t="array" ref="V123">IF(R123="",0,IFERROR(XLOOKUP(R123,'Live Medal Table'!$B$2:$B$94,'Live Medal Table'!$H$2:$H$94,0),0))</f>
        <v>9</v>
      </c>
      <c r="W123" s="29">
        <f t="array" ref="W123">IF(R123="",0,IFERROR(XLOOKUP(R123,'Live Medal Table'!$B$2:$B$94,'Live Medal Table'!$I$2:$I$94,0),0))</f>
        <v>6</v>
      </c>
      <c r="X123" s="29">
        <f t="shared" si="1"/>
        <v>48</v>
      </c>
      <c r="Y123" s="29">
        <f t="shared" si="2"/>
        <v>36</v>
      </c>
      <c r="Z123" s="29">
        <f t="shared" si="3"/>
        <v>12</v>
      </c>
      <c r="AA123" s="29">
        <f t="shared" si="4"/>
        <v>96</v>
      </c>
      <c r="AB123" s="29" t="b">
        <f t="array" ref="AB123">IF(R123="",FALSE,IFERROR(AND(ISNUMBER(MATCH(R123,'Live Medal Table'!$B$2:$B$94,0)),XLOOKUP(R123,'Live Medal Table'!$B$2:$B$94,Countries!$I$2:$I$72,FALSE)),FALSE))</f>
        <v>0</v>
      </c>
    </row>
    <row r="124" ht="15.7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29"/>
      <c r="M124" s="29"/>
      <c r="N124" s="29" t="str">
        <f t="array" ref="N124">IFERROR(IF(INDEX(Entries!$C$2:$C$47,16)="","",INDEX(Entries!$Q$2:$Q$47,16)),"")</f>
        <v>Alex_Kepple_Tate McRae </v>
      </c>
      <c r="O124" s="29" t="str">
        <f t="array" ref="O124">IF(N124="","",IFERROR(INDEX(Entries!$E$2:$E$47,16),""))</f>
        <v>Tate McRae </v>
      </c>
      <c r="P124" s="29" t="str">
        <f>IF(N124="","","Tier2_Pick2")</f>
        <v>Tier2_Pick2</v>
      </c>
      <c r="Q124" s="29">
        <f t="shared" si="35"/>
        <v>2</v>
      </c>
      <c r="R124" s="29" t="str">
        <f t="array" ref="R124">IF(N124="","",IFERROR(INDEX(Entries!$N$2:$N$47,16),""))</f>
        <v>Sweden</v>
      </c>
      <c r="S124" s="29" t="str">
        <f t="array" ref="S124">IF(R124="","",IFERROR(XLOOKUP(R124,'Live Medal Table'!$B$2:$B$94,'Live Medal Table'!$C$2:$C$94,"???"),"???"))</f>
        <v>SWE</v>
      </c>
      <c r="T124" s="29">
        <f t="array" ref="T124">IF(R124="",0,IFERROR(XLOOKUP(R124,'Live Medal Table'!$B$2:$B$94,'Live Medal Table'!$F$2:$F$94,0),0))</f>
        <v>2</v>
      </c>
      <c r="U124" s="29">
        <f t="array" ref="U124">IF(R124="",0,IFERROR(XLOOKUP(R124,'Live Medal Table'!$B$2:$B$94,'Live Medal Table'!$G$2:$G$94,0),0))</f>
        <v>8</v>
      </c>
      <c r="V124" s="29">
        <f t="array" ref="V124">IF(R124="",0,IFERROR(XLOOKUP(R124,'Live Medal Table'!$B$2:$B$94,'Live Medal Table'!$H$2:$H$94,0),0))</f>
        <v>6</v>
      </c>
      <c r="W124" s="29">
        <f t="array" ref="W124">IF(R124="",0,IFERROR(XLOOKUP(R124,'Live Medal Table'!$B$2:$B$94,'Live Medal Table'!$I$2:$I$94,0),0))</f>
        <v>4</v>
      </c>
      <c r="X124" s="29">
        <f t="shared" si="1"/>
        <v>48</v>
      </c>
      <c r="Y124" s="29">
        <f t="shared" si="2"/>
        <v>24</v>
      </c>
      <c r="Z124" s="29">
        <f t="shared" si="3"/>
        <v>8</v>
      </c>
      <c r="AA124" s="29">
        <f t="shared" si="4"/>
        <v>80</v>
      </c>
      <c r="AB124" s="29" t="b">
        <f t="array" ref="AB124">IF(R124="",FALSE,IFERROR(AND(ISNUMBER(MATCH(R124,'Live Medal Table'!$B$2:$B$94,0)),XLOOKUP(R124,'Live Medal Table'!$B$2:$B$94,Countries!$I$2:$I$72,FALSE)),FALSE))</f>
        <v>0</v>
      </c>
    </row>
    <row r="125" ht="15.7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29"/>
      <c r="M125" s="29"/>
      <c r="N125" s="29" t="str">
        <f t="array" ref="N125">IFERROR(IF(INDEX(Entries!$C$2:$C$47,16)="","",INDEX(Entries!$Q$2:$Q$47,16)),"")</f>
        <v>Alex_Kepple_Tate McRae </v>
      </c>
      <c r="O125" s="29" t="str">
        <f t="array" ref="O125">IF(N125="","",IFERROR(INDEX(Entries!$E$2:$E$47,16),""))</f>
        <v>Tate McRae </v>
      </c>
      <c r="P125" s="29" t="str">
        <f>IF(N125="","","Tier3_Pick1")</f>
        <v>Tier3_Pick1</v>
      </c>
      <c r="Q125" s="29">
        <f>IF(N125="","",3)</f>
        <v>3</v>
      </c>
      <c r="R125" s="29" t="str">
        <f t="array" ref="R125">IF(N125="","",IFERROR(INDEX(Entries!$H$2:$H$47,16),""))</f>
        <v>Japan</v>
      </c>
      <c r="S125" s="29" t="str">
        <f t="array" ref="S125">IF(R125="","",IFERROR(XLOOKUP(R125,'Live Medal Table'!$B$2:$B$94,'Live Medal Table'!$C$2:$C$94,"???"),"???"))</f>
        <v>JPN</v>
      </c>
      <c r="T125" s="29">
        <f t="array" ref="T125">IF(R125="",0,IFERROR(XLOOKUP(R125,'Live Medal Table'!$B$2:$B$94,'Live Medal Table'!$F$2:$F$94,0),0))</f>
        <v>3</v>
      </c>
      <c r="U125" s="29">
        <f t="array" ref="U125">IF(R125="",0,IFERROR(XLOOKUP(R125,'Live Medal Table'!$B$2:$B$94,'Live Medal Table'!$G$2:$G$94,0),0))</f>
        <v>5</v>
      </c>
      <c r="V125" s="29">
        <f t="array" ref="V125">IF(R125="",0,IFERROR(XLOOKUP(R125,'Live Medal Table'!$B$2:$B$94,'Live Medal Table'!$H$2:$H$94,0),0))</f>
        <v>7</v>
      </c>
      <c r="W125" s="29">
        <f t="array" ref="W125">IF(R125="",0,IFERROR(XLOOKUP(R125,'Live Medal Table'!$B$2:$B$94,'Live Medal Table'!$I$2:$I$94,0),0))</f>
        <v>12</v>
      </c>
      <c r="X125" s="29">
        <f t="shared" si="1"/>
        <v>45</v>
      </c>
      <c r="Y125" s="29">
        <f t="shared" si="2"/>
        <v>42</v>
      </c>
      <c r="Z125" s="29">
        <f t="shared" si="3"/>
        <v>36</v>
      </c>
      <c r="AA125" s="29">
        <f t="shared" si="4"/>
        <v>123</v>
      </c>
      <c r="AB125" s="29" t="b">
        <f t="array" ref="AB125">IF(R125="",FALSE,IFERROR(AND(ISNUMBER(MATCH(R125,'Live Medal Table'!$B$2:$B$94,0)),XLOOKUP(R125,'Live Medal Table'!$B$2:$B$94,Countries!$I$2:$I$72,FALSE)),FALSE))</f>
        <v>0</v>
      </c>
    </row>
    <row r="126" ht="15.75" hidden="1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29"/>
      <c r="M126" s="29"/>
      <c r="N126" s="29" t="str">
        <f t="array" ref="N126">IFERROR(IF(INDEX(Entries!$C$2:$C$47,16)="","",INDEX(Entries!$Q$2:$Q$47,16)),"")</f>
        <v>Alex_Kepple_Tate McRae </v>
      </c>
      <c r="O126" s="29" t="str">
        <f t="array" ref="O126">IF(N126="","",IFERROR(INDEX(Entries!$E$2:$E$47,16),""))</f>
        <v>Tate McRae </v>
      </c>
      <c r="P126" s="29" t="str">
        <f>IF(N126="","","Tier4_Pick1")</f>
        <v>Tier4_Pick1</v>
      </c>
      <c r="Q126" s="29">
        <f>IF(N126="","",4)</f>
        <v>4</v>
      </c>
      <c r="R126" s="29" t="str">
        <f t="array" ref="R126">IF(N126="","",IFERROR(INDEX(Entries!$I$2:$I$47,16),""))</f>
        <v>Finland</v>
      </c>
      <c r="S126" s="29" t="str">
        <f t="array" ref="S126">IF(R126="","",IFERROR(XLOOKUP(R126,'Live Medal Table'!$B$2:$B$94,'Live Medal Table'!$C$2:$C$94,"???"),"???"))</f>
        <v>FIN</v>
      </c>
      <c r="T126" s="29">
        <f t="array" ref="T126">IF(R126="",0,IFERROR(XLOOKUP(R126,'Live Medal Table'!$B$2:$B$94,'Live Medal Table'!$F$2:$F$94,0),0))</f>
        <v>6</v>
      </c>
      <c r="U126" s="29">
        <f t="array" ref="U126">IF(R126="",0,IFERROR(XLOOKUP(R126,'Live Medal Table'!$B$2:$B$94,'Live Medal Table'!$G$2:$G$94,0),0))</f>
        <v>0</v>
      </c>
      <c r="V126" s="29">
        <f t="array" ref="V126">IF(R126="",0,IFERROR(XLOOKUP(R126,'Live Medal Table'!$B$2:$B$94,'Live Medal Table'!$H$2:$H$94,0),0))</f>
        <v>1</v>
      </c>
      <c r="W126" s="29">
        <f t="array" ref="W126">IF(R126="",0,IFERROR(XLOOKUP(R126,'Live Medal Table'!$B$2:$B$94,'Live Medal Table'!$I$2:$I$94,0),0))</f>
        <v>5</v>
      </c>
      <c r="X126" s="29">
        <f t="shared" si="1"/>
        <v>0</v>
      </c>
      <c r="Y126" s="29">
        <f t="shared" si="2"/>
        <v>12</v>
      </c>
      <c r="Z126" s="29">
        <f t="shared" si="3"/>
        <v>30</v>
      </c>
      <c r="AA126" s="29">
        <f t="shared" si="4"/>
        <v>42</v>
      </c>
      <c r="AB126" s="29" t="b">
        <f t="array" ref="AB126">IF(R126="",FALSE,IFERROR(AND(ISNUMBER(MATCH(R126,'Live Medal Table'!$B$2:$B$94,0)),XLOOKUP(R126,'Live Medal Table'!$B$2:$B$94,Countries!$I$2:$I$72,FALSE)),FALSE))</f>
        <v>0</v>
      </c>
    </row>
    <row r="127" ht="15.75" hidden="1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29"/>
      <c r="M127" s="29"/>
      <c r="N127" s="29" t="str">
        <f t="array" ref="N127">IFERROR(IF(INDEX(Entries!$C$2:$C$47,16)="","",INDEX(Entries!$Q$2:$Q$47,16)),"")</f>
        <v>Alex_Kepple_Tate McRae </v>
      </c>
      <c r="O127" s="29" t="str">
        <f t="array" ref="O127">IF(N127="","",IFERROR(INDEX(Entries!$E$2:$E$47,16),""))</f>
        <v>Tate McRae </v>
      </c>
      <c r="P127" s="29" t="str">
        <f>IF(N127="","","Tier5_Pick1")</f>
        <v>Tier5_Pick1</v>
      </c>
      <c r="Q127" s="29">
        <f>IF(N127="","",5)</f>
        <v>5</v>
      </c>
      <c r="R127" s="29" t="str">
        <f t="array" ref="R127">IF(N127="","",IFERROR(INDEX(Entries!$J$2:$J$47,16),""))</f>
        <v>Slovakia</v>
      </c>
      <c r="S127" s="29" t="str">
        <f t="array" ref="S127">IF(R127="","",IFERROR(XLOOKUP(R127,'Live Medal Table'!$B$2:$B$94,'Live Medal Table'!$C$2:$C$94,"???"),"???"))</f>
        <v>SVK</v>
      </c>
      <c r="T127" s="29">
        <f t="array" ref="T127">IF(R127="",0,IFERROR(XLOOKUP(R127,'Live Medal Table'!$B$2:$B$94,'Live Medal Table'!$F$2:$F$94,0),0))</f>
        <v>10</v>
      </c>
      <c r="U127" s="29">
        <f t="array" ref="U127">IF(R127="",0,IFERROR(XLOOKUP(R127,'Live Medal Table'!$B$2:$B$94,'Live Medal Table'!$G$2:$G$94,0),0))</f>
        <v>0</v>
      </c>
      <c r="V127" s="29">
        <f t="array" ref="V127">IF(R127="",0,IFERROR(XLOOKUP(R127,'Live Medal Table'!$B$2:$B$94,'Live Medal Table'!$H$2:$H$94,0),0))</f>
        <v>0</v>
      </c>
      <c r="W127" s="29">
        <f t="array" ref="W127">IF(R127="",0,IFERROR(XLOOKUP(R127,'Live Medal Table'!$B$2:$B$94,'Live Medal Table'!$I$2:$I$94,0),0))</f>
        <v>0</v>
      </c>
      <c r="X127" s="29">
        <f t="shared" si="1"/>
        <v>0</v>
      </c>
      <c r="Y127" s="29">
        <f t="shared" si="2"/>
        <v>0</v>
      </c>
      <c r="Z127" s="29">
        <f t="shared" si="3"/>
        <v>0</v>
      </c>
      <c r="AA127" s="29">
        <f t="shared" si="4"/>
        <v>0</v>
      </c>
      <c r="AB127" s="29" t="b">
        <f t="array" ref="AB127">IF(R127="",FALSE,IFERROR(AND(ISNUMBER(MATCH(R127,'Live Medal Table'!$B$2:$B$94,0)),XLOOKUP(R127,'Live Medal Table'!$B$2:$B$94,Countries!$I$2:$I$72,FALSE)),FALSE))</f>
        <v>0</v>
      </c>
    </row>
    <row r="128" ht="15.75" hidden="1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29"/>
      <c r="M128" s="29"/>
      <c r="N128" s="29" t="str">
        <f t="array" ref="N128">IFERROR(IF(INDEX(Entries!$C$2:$C$47,16)="","",INDEX(Entries!$Q$2:$Q$47,16)),"")</f>
        <v>Alex_Kepple_Tate McRae </v>
      </c>
      <c r="O128" s="29" t="str">
        <f t="array" ref="O128">IF(N128="","",IFERROR(INDEX(Entries!$E$2:$E$47,16),""))</f>
        <v>Tate McRae </v>
      </c>
      <c r="P128" s="29" t="str">
        <f>IF(N128="","","Tier6_Pick1")</f>
        <v>Tier6_Pick1</v>
      </c>
      <c r="Q128" s="29">
        <f t="shared" ref="Q128:Q129" si="36">IF(N128="","",6)</f>
        <v>6</v>
      </c>
      <c r="R128" s="29" t="str">
        <f t="array" ref="R128">IF(N128="","",IFERROR(INDEX(Entries!$O$2:$O$47,16),""))</f>
        <v>Kazakhstan</v>
      </c>
      <c r="S128" s="29" t="str">
        <f t="array" ref="S128">IF(R128="","",IFERROR(XLOOKUP(R128,'Live Medal Table'!$B$2:$B$94,'Live Medal Table'!$C$2:$C$94,"???"),"???"))</f>
        <v>KAZ</v>
      </c>
      <c r="T128" s="29">
        <f t="array" ref="T128">IF(R128="",0,IFERROR(XLOOKUP(R128,'Live Medal Table'!$B$2:$B$94,'Live Medal Table'!$F$2:$F$94,0),0))</f>
        <v>20</v>
      </c>
      <c r="U128" s="29">
        <f t="array" ref="U128">IF(R128="",0,IFERROR(XLOOKUP(R128,'Live Medal Table'!$B$2:$B$94,'Live Medal Table'!$G$2:$G$94,0),0))</f>
        <v>1</v>
      </c>
      <c r="V128" s="29">
        <f t="array" ref="V128">IF(R128="",0,IFERROR(XLOOKUP(R128,'Live Medal Table'!$B$2:$B$94,'Live Medal Table'!$H$2:$H$94,0),0))</f>
        <v>0</v>
      </c>
      <c r="W128" s="29">
        <f t="array" ref="W128">IF(R128="",0,IFERROR(XLOOKUP(R128,'Live Medal Table'!$B$2:$B$94,'Live Medal Table'!$I$2:$I$94,0),0))</f>
        <v>0</v>
      </c>
      <c r="X128" s="29">
        <f t="shared" si="1"/>
        <v>60</v>
      </c>
      <c r="Y128" s="29">
        <f t="shared" si="2"/>
        <v>0</v>
      </c>
      <c r="Z128" s="29">
        <f t="shared" si="3"/>
        <v>0</v>
      </c>
      <c r="AA128" s="29">
        <f t="shared" si="4"/>
        <v>60</v>
      </c>
      <c r="AB128" s="29" t="b">
        <f t="array" ref="AB128">IF(R128="",FALSE,IFERROR(AND(ISNUMBER(MATCH(R128,'Live Medal Table'!$B$2:$B$94,0)),XLOOKUP(R128,'Live Medal Table'!$B$2:$B$94,Countries!$I$2:$I$72,FALSE)),FALSE))</f>
        <v>0</v>
      </c>
    </row>
    <row r="129" ht="15.75" hidden="1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29"/>
      <c r="M129" s="29"/>
      <c r="N129" s="29" t="str">
        <f t="array" ref="N129">IFERROR(IF(INDEX(Entries!$C$2:$C$47,16)="","",INDEX(Entries!$Q$2:$Q$47,16)),"")</f>
        <v>Alex_Kepple_Tate McRae </v>
      </c>
      <c r="O129" s="29" t="str">
        <f t="array" ref="O129">IF(N129="","",IFERROR(INDEX(Entries!$E$2:$E$47,16),""))</f>
        <v>Tate McRae </v>
      </c>
      <c r="P129" s="29" t="str">
        <f>IF(N129="","","Tier6_Pick2")</f>
        <v>Tier6_Pick2</v>
      </c>
      <c r="Q129" s="29">
        <f t="shared" si="36"/>
        <v>6</v>
      </c>
      <c r="R129" s="29" t="str">
        <f t="array" ref="R129">IF(N129="","",IFERROR(INDEX(Entries!$P$2:$P$47,16),""))</f>
        <v>Ukraine</v>
      </c>
      <c r="S129" s="29" t="str">
        <f t="array" ref="S129">IF(R129="","",IFERROR(XLOOKUP(R129,'Live Medal Table'!$B$2:$B$94,'Live Medal Table'!$C$2:$C$94,"???"),"???"))</f>
        <v>UKR</v>
      </c>
      <c r="T129" s="29">
        <f t="array" ref="T129">IF(R129="",0,IFERROR(XLOOKUP(R129,'Live Medal Table'!$B$2:$B$94,'Live Medal Table'!$F$2:$F$94,0),0))</f>
        <v>20</v>
      </c>
      <c r="U129" s="29">
        <f t="array" ref="U129">IF(R129="",0,IFERROR(XLOOKUP(R129,'Live Medal Table'!$B$2:$B$94,'Live Medal Table'!$G$2:$G$94,0),0))</f>
        <v>0</v>
      </c>
      <c r="V129" s="29">
        <f t="array" ref="V129">IF(R129="",0,IFERROR(XLOOKUP(R129,'Live Medal Table'!$B$2:$B$94,'Live Medal Table'!$H$2:$H$94,0),0))</f>
        <v>0</v>
      </c>
      <c r="W129" s="29">
        <f t="array" ref="W129">IF(R129="",0,IFERROR(XLOOKUP(R129,'Live Medal Table'!$B$2:$B$94,'Live Medal Table'!$I$2:$I$94,0),0))</f>
        <v>0</v>
      </c>
      <c r="X129" s="29">
        <f t="shared" si="1"/>
        <v>0</v>
      </c>
      <c r="Y129" s="29">
        <f t="shared" si="2"/>
        <v>0</v>
      </c>
      <c r="Z129" s="29">
        <f t="shared" si="3"/>
        <v>0</v>
      </c>
      <c r="AA129" s="29">
        <f t="shared" si="4"/>
        <v>0</v>
      </c>
      <c r="AB129" s="29" t="b">
        <f t="array" ref="AB129">IF(R129="",FALSE,IFERROR(AND(ISNUMBER(MATCH(R129,'Live Medal Table'!$B$2:$B$94,0)),XLOOKUP(R129,'Live Medal Table'!$B$2:$B$94,Countries!$I$2:$I$72,FALSE)),FALSE))</f>
        <v>0</v>
      </c>
    </row>
    <row r="130" ht="15.75" hidden="1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29"/>
      <c r="M130" s="29"/>
      <c r="N130" s="29" t="str">
        <f t="array" ref="N130">IFERROR(IF(INDEX(Entries!$C$2:$C$47,17)="","",INDEX(Entries!$Q$2:$Q$47,17)),"")</f>
        <v>Lucas_Flygare_LucasF</v>
      </c>
      <c r="O130" s="29" t="str">
        <f t="array" ref="O130">IF(N130="","",IFERROR(INDEX(Entries!$E$2:$E$47,17),""))</f>
        <v>LucasF</v>
      </c>
      <c r="P130" s="29" t="str">
        <f>IF(N130="","","Tier1_Pick1")</f>
        <v>Tier1_Pick1</v>
      </c>
      <c r="Q130" s="29">
        <f>IF(N130="","",1)</f>
        <v>1</v>
      </c>
      <c r="R130" s="29" t="str">
        <f t="array" ref="R130">IF(N130="","",IFERROR(INDEX(Entries!$F$2:$F$47,17),""))</f>
        <v>Germany</v>
      </c>
      <c r="S130" s="29" t="str">
        <f t="array" ref="S130">IF(R130="","",IFERROR(XLOOKUP(R130,'Live Medal Table'!$B$2:$B$94,'Live Medal Table'!$C$2:$C$94,"???"),"???"))</f>
        <v>GER</v>
      </c>
      <c r="T130" s="29">
        <f t="array" ref="T130">IF(R130="",0,IFERROR(XLOOKUP(R130,'Live Medal Table'!$B$2:$B$94,'Live Medal Table'!$F$2:$F$94,0),0))</f>
        <v>1</v>
      </c>
      <c r="U130" s="29">
        <f t="array" ref="U130">IF(R130="",0,IFERROR(XLOOKUP(R130,'Live Medal Table'!$B$2:$B$94,'Live Medal Table'!$G$2:$G$94,0),0))</f>
        <v>8</v>
      </c>
      <c r="V130" s="29">
        <f t="array" ref="V130">IF(R130="",0,IFERROR(XLOOKUP(R130,'Live Medal Table'!$B$2:$B$94,'Live Medal Table'!$H$2:$H$94,0),0))</f>
        <v>10</v>
      </c>
      <c r="W130" s="29">
        <f t="array" ref="W130">IF(R130="",0,IFERROR(XLOOKUP(R130,'Live Medal Table'!$B$2:$B$94,'Live Medal Table'!$I$2:$I$94,0),0))</f>
        <v>8</v>
      </c>
      <c r="X130" s="29">
        <f t="shared" si="1"/>
        <v>24</v>
      </c>
      <c r="Y130" s="29">
        <f t="shared" si="2"/>
        <v>20</v>
      </c>
      <c r="Z130" s="29">
        <f t="shared" si="3"/>
        <v>8</v>
      </c>
      <c r="AA130" s="29">
        <f t="shared" si="4"/>
        <v>52</v>
      </c>
      <c r="AB130" s="29" t="b">
        <f t="array" ref="AB130">IF(R130="",FALSE,IFERROR(AND(ISNUMBER(MATCH(R130,'Live Medal Table'!$B$2:$B$94,0)),XLOOKUP(R130,'Live Medal Table'!$B$2:$B$94,Countries!$I$2:$I$72,FALSE)),FALSE))</f>
        <v>0</v>
      </c>
    </row>
    <row r="131" ht="15.75" hidden="1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29"/>
      <c r="M131" s="29"/>
      <c r="N131" s="29" t="str">
        <f t="array" ref="N131">IFERROR(IF(INDEX(Entries!$C$2:$C$47,17)="","",INDEX(Entries!$Q$2:$Q$47,17)),"")</f>
        <v>Lucas_Flygare_LucasF</v>
      </c>
      <c r="O131" s="29" t="str">
        <f t="array" ref="O131">IF(N131="","",IFERROR(INDEX(Entries!$E$2:$E$47,17),""))</f>
        <v>LucasF</v>
      </c>
      <c r="P131" s="29" t="str">
        <f>IF(N131="","","Tier2_Pick1")</f>
        <v>Tier2_Pick1</v>
      </c>
      <c r="Q131" s="29">
        <f t="shared" ref="Q131:Q132" si="37">IF(N131="","",2)</f>
        <v>2</v>
      </c>
      <c r="R131" s="29" t="str">
        <f t="array" ref="R131">IF(N131="","",IFERROR(INDEX(Entries!$M$2:$M$47,17),""))</f>
        <v>Austria</v>
      </c>
      <c r="S131" s="29" t="str">
        <f t="array" ref="S131">IF(R131="","",IFERROR(XLOOKUP(R131,'Live Medal Table'!$B$2:$B$94,'Live Medal Table'!$C$2:$C$94,"???"),"???"))</f>
        <v>AUT</v>
      </c>
      <c r="T131" s="29">
        <f t="array" ref="T131">IF(R131="",0,IFERROR(XLOOKUP(R131,'Live Medal Table'!$B$2:$B$94,'Live Medal Table'!$F$2:$F$94,0),0))</f>
        <v>2</v>
      </c>
      <c r="U131" s="29">
        <f t="array" ref="U131">IF(R131="",0,IFERROR(XLOOKUP(R131,'Live Medal Table'!$B$2:$B$94,'Live Medal Table'!$G$2:$G$94,0),0))</f>
        <v>5</v>
      </c>
      <c r="V131" s="29">
        <f t="array" ref="V131">IF(R131="",0,IFERROR(XLOOKUP(R131,'Live Medal Table'!$B$2:$B$94,'Live Medal Table'!$H$2:$H$94,0),0))</f>
        <v>8</v>
      </c>
      <c r="W131" s="29">
        <f t="array" ref="W131">IF(R131="",0,IFERROR(XLOOKUP(R131,'Live Medal Table'!$B$2:$B$94,'Live Medal Table'!$I$2:$I$94,0),0))</f>
        <v>5</v>
      </c>
      <c r="X131" s="29">
        <f t="shared" si="1"/>
        <v>30</v>
      </c>
      <c r="Y131" s="29">
        <f t="shared" si="2"/>
        <v>32</v>
      </c>
      <c r="Z131" s="29">
        <f t="shared" si="3"/>
        <v>10</v>
      </c>
      <c r="AA131" s="29">
        <f t="shared" si="4"/>
        <v>72</v>
      </c>
      <c r="AB131" s="29" t="b">
        <f t="array" ref="AB131">IF(R131="",FALSE,IFERROR(AND(ISNUMBER(MATCH(R131,'Live Medal Table'!$B$2:$B$94,0)),XLOOKUP(R131,'Live Medal Table'!$B$2:$B$94,Countries!$I$2:$I$72,FALSE)),FALSE))</f>
        <v>0</v>
      </c>
    </row>
    <row r="132" ht="15.75" hidden="1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29"/>
      <c r="M132" s="29"/>
      <c r="N132" s="29" t="str">
        <f t="array" ref="N132">IFERROR(IF(INDEX(Entries!$C$2:$C$47,17)="","",INDEX(Entries!$Q$2:$Q$47,17)),"")</f>
        <v>Lucas_Flygare_LucasF</v>
      </c>
      <c r="O132" s="29" t="str">
        <f t="array" ref="O132">IF(N132="","",IFERROR(INDEX(Entries!$E$2:$E$47,17),""))</f>
        <v>LucasF</v>
      </c>
      <c r="P132" s="29" t="str">
        <f>IF(N132="","","Tier2_Pick2")</f>
        <v>Tier2_Pick2</v>
      </c>
      <c r="Q132" s="29">
        <f t="shared" si="37"/>
        <v>2</v>
      </c>
      <c r="R132" s="29" t="str">
        <f t="array" ref="R132">IF(N132="","",IFERROR(INDEX(Entries!$N$2:$N$47,17),""))</f>
        <v>Switzerland</v>
      </c>
      <c r="S132" s="29" t="str">
        <f t="array" ref="S132">IF(R132="","",IFERROR(XLOOKUP(R132,'Live Medal Table'!$B$2:$B$94,'Live Medal Table'!$C$2:$C$94,"???"),"???"))</f>
        <v>SUI</v>
      </c>
      <c r="T132" s="29">
        <f t="array" ref="T132">IF(R132="",0,IFERROR(XLOOKUP(R132,'Live Medal Table'!$B$2:$B$94,'Live Medal Table'!$F$2:$F$94,0),0))</f>
        <v>2</v>
      </c>
      <c r="U132" s="29">
        <f t="array" ref="U132">IF(R132="",0,IFERROR(XLOOKUP(R132,'Live Medal Table'!$B$2:$B$94,'Live Medal Table'!$G$2:$G$94,0),0))</f>
        <v>6</v>
      </c>
      <c r="V132" s="29">
        <f t="array" ref="V132">IF(R132="",0,IFERROR(XLOOKUP(R132,'Live Medal Table'!$B$2:$B$94,'Live Medal Table'!$H$2:$H$94,0),0))</f>
        <v>9</v>
      </c>
      <c r="W132" s="29">
        <f t="array" ref="W132">IF(R132="",0,IFERROR(XLOOKUP(R132,'Live Medal Table'!$B$2:$B$94,'Live Medal Table'!$I$2:$I$94,0),0))</f>
        <v>8</v>
      </c>
      <c r="X132" s="29">
        <f t="shared" si="1"/>
        <v>36</v>
      </c>
      <c r="Y132" s="29">
        <f t="shared" si="2"/>
        <v>36</v>
      </c>
      <c r="Z132" s="29">
        <f t="shared" si="3"/>
        <v>16</v>
      </c>
      <c r="AA132" s="29">
        <f t="shared" si="4"/>
        <v>88</v>
      </c>
      <c r="AB132" s="29" t="b">
        <f t="array" ref="AB132">IF(R132="",FALSE,IFERROR(AND(ISNUMBER(MATCH(R132,'Live Medal Table'!$B$2:$B$94,0)),XLOOKUP(R132,'Live Medal Table'!$B$2:$B$94,Countries!$I$2:$I$72,FALSE)),FALSE))</f>
        <v>0</v>
      </c>
    </row>
    <row r="133" ht="15.75" hidden="1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29"/>
      <c r="M133" s="29"/>
      <c r="N133" s="29" t="str">
        <f t="array" ref="N133">IFERROR(IF(INDEX(Entries!$C$2:$C$47,17)="","",INDEX(Entries!$Q$2:$Q$47,17)),"")</f>
        <v>Lucas_Flygare_LucasF</v>
      </c>
      <c r="O133" s="29" t="str">
        <f t="array" ref="O133">IF(N133="","",IFERROR(INDEX(Entries!$E$2:$E$47,17),""))</f>
        <v>LucasF</v>
      </c>
      <c r="P133" s="29" t="str">
        <f>IF(N133="","","Tier3_Pick1")</f>
        <v>Tier3_Pick1</v>
      </c>
      <c r="Q133" s="29">
        <f>IF(N133="","",3)</f>
        <v>3</v>
      </c>
      <c r="R133" s="29" t="str">
        <f t="array" ref="R133">IF(N133="","",IFERROR(INDEX(Entries!$H$2:$H$47,17),""))</f>
        <v>Italy</v>
      </c>
      <c r="S133" s="29" t="str">
        <f t="array" ref="S133">IF(R133="","",IFERROR(XLOOKUP(R133,'Live Medal Table'!$B$2:$B$94,'Live Medal Table'!$C$2:$C$94,"???"),"???"))</f>
        <v>ITA</v>
      </c>
      <c r="T133" s="29">
        <f t="array" ref="T133">IF(R133="",0,IFERROR(XLOOKUP(R133,'Live Medal Table'!$B$2:$B$94,'Live Medal Table'!$F$2:$F$94,0),0))</f>
        <v>3</v>
      </c>
      <c r="U133" s="29">
        <f t="array" ref="U133">IF(R133="",0,IFERROR(XLOOKUP(R133,'Live Medal Table'!$B$2:$B$94,'Live Medal Table'!$G$2:$G$94,0),0))</f>
        <v>10</v>
      </c>
      <c r="V133" s="29">
        <f t="array" ref="V133">IF(R133="",0,IFERROR(XLOOKUP(R133,'Live Medal Table'!$B$2:$B$94,'Live Medal Table'!$H$2:$H$94,0),0))</f>
        <v>6</v>
      </c>
      <c r="W133" s="29">
        <f t="array" ref="W133">IF(R133="",0,IFERROR(XLOOKUP(R133,'Live Medal Table'!$B$2:$B$94,'Live Medal Table'!$I$2:$I$94,0),0))</f>
        <v>14</v>
      </c>
      <c r="X133" s="29">
        <f t="shared" si="1"/>
        <v>90</v>
      </c>
      <c r="Y133" s="29">
        <f t="shared" si="2"/>
        <v>36</v>
      </c>
      <c r="Z133" s="29">
        <f t="shared" si="3"/>
        <v>42</v>
      </c>
      <c r="AA133" s="29">
        <f t="shared" si="4"/>
        <v>168</v>
      </c>
      <c r="AB133" s="29" t="b">
        <f t="array" ref="AB133">IF(R133="",FALSE,IFERROR(AND(ISNUMBER(MATCH(R133,'Live Medal Table'!$B$2:$B$94,0)),XLOOKUP(R133,'Live Medal Table'!$B$2:$B$94,Countries!$I$2:$I$72,FALSE)),FALSE))</f>
        <v>0</v>
      </c>
    </row>
    <row r="134" ht="15.75" hidden="1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29"/>
      <c r="M134" s="29"/>
      <c r="N134" s="29" t="str">
        <f t="array" ref="N134">IFERROR(IF(INDEX(Entries!$C$2:$C$47,17)="","",INDEX(Entries!$Q$2:$Q$47,17)),"")</f>
        <v>Lucas_Flygare_LucasF</v>
      </c>
      <c r="O134" s="29" t="str">
        <f t="array" ref="O134">IF(N134="","",IFERROR(INDEX(Entries!$E$2:$E$47,17),""))</f>
        <v>LucasF</v>
      </c>
      <c r="P134" s="29" t="str">
        <f>IF(N134="","","Tier4_Pick1")</f>
        <v>Tier4_Pick1</v>
      </c>
      <c r="Q134" s="29">
        <f>IF(N134="","",4)</f>
        <v>4</v>
      </c>
      <c r="R134" s="29" t="str">
        <f t="array" ref="R134">IF(N134="","",IFERROR(INDEX(Entries!$I$2:$I$47,17),""))</f>
        <v>Finland</v>
      </c>
      <c r="S134" s="29" t="str">
        <f t="array" ref="S134">IF(R134="","",IFERROR(XLOOKUP(R134,'Live Medal Table'!$B$2:$B$94,'Live Medal Table'!$C$2:$C$94,"???"),"???"))</f>
        <v>FIN</v>
      </c>
      <c r="T134" s="29">
        <f t="array" ref="T134">IF(R134="",0,IFERROR(XLOOKUP(R134,'Live Medal Table'!$B$2:$B$94,'Live Medal Table'!$F$2:$F$94,0),0))</f>
        <v>6</v>
      </c>
      <c r="U134" s="29">
        <f t="array" ref="U134">IF(R134="",0,IFERROR(XLOOKUP(R134,'Live Medal Table'!$B$2:$B$94,'Live Medal Table'!$G$2:$G$94,0),0))</f>
        <v>0</v>
      </c>
      <c r="V134" s="29">
        <f t="array" ref="V134">IF(R134="",0,IFERROR(XLOOKUP(R134,'Live Medal Table'!$B$2:$B$94,'Live Medal Table'!$H$2:$H$94,0),0))</f>
        <v>1</v>
      </c>
      <c r="W134" s="29">
        <f t="array" ref="W134">IF(R134="",0,IFERROR(XLOOKUP(R134,'Live Medal Table'!$B$2:$B$94,'Live Medal Table'!$I$2:$I$94,0),0))</f>
        <v>5</v>
      </c>
      <c r="X134" s="29">
        <f t="shared" si="1"/>
        <v>0</v>
      </c>
      <c r="Y134" s="29">
        <f t="shared" si="2"/>
        <v>12</v>
      </c>
      <c r="Z134" s="29">
        <f t="shared" si="3"/>
        <v>30</v>
      </c>
      <c r="AA134" s="29">
        <f t="shared" si="4"/>
        <v>42</v>
      </c>
      <c r="AB134" s="29" t="b">
        <f t="array" ref="AB134">IF(R134="",FALSE,IFERROR(AND(ISNUMBER(MATCH(R134,'Live Medal Table'!$B$2:$B$94,0)),XLOOKUP(R134,'Live Medal Table'!$B$2:$B$94,Countries!$I$2:$I$72,FALSE)),FALSE))</f>
        <v>0</v>
      </c>
    </row>
    <row r="135" ht="15.75" hidden="1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29"/>
      <c r="M135" s="29"/>
      <c r="N135" s="29" t="str">
        <f t="array" ref="N135">IFERROR(IF(INDEX(Entries!$C$2:$C$47,17)="","",INDEX(Entries!$Q$2:$Q$47,17)),"")</f>
        <v>Lucas_Flygare_LucasF</v>
      </c>
      <c r="O135" s="29" t="str">
        <f t="array" ref="O135">IF(N135="","",IFERROR(INDEX(Entries!$E$2:$E$47,17),""))</f>
        <v>LucasF</v>
      </c>
      <c r="P135" s="29" t="str">
        <f>IF(N135="","","Tier5_Pick1")</f>
        <v>Tier5_Pick1</v>
      </c>
      <c r="Q135" s="29">
        <f>IF(N135="","",5)</f>
        <v>5</v>
      </c>
      <c r="R135" s="29" t="str">
        <f t="array" ref="R135">IF(N135="","",IFERROR(INDEX(Entries!$J$2:$J$47,17),""))</f>
        <v>Australia</v>
      </c>
      <c r="S135" s="29" t="str">
        <f t="array" ref="S135">IF(R135="","",IFERROR(XLOOKUP(R135,'Live Medal Table'!$B$2:$B$94,'Live Medal Table'!$C$2:$C$94,"???"),"???"))</f>
        <v>AUS</v>
      </c>
      <c r="T135" s="29">
        <f t="array" ref="T135">IF(R135="",0,IFERROR(XLOOKUP(R135,'Live Medal Table'!$B$2:$B$94,'Live Medal Table'!$F$2:$F$94,0),0))</f>
        <v>10</v>
      </c>
      <c r="U135" s="29">
        <f t="array" ref="U135">IF(R135="",0,IFERROR(XLOOKUP(R135,'Live Medal Table'!$B$2:$B$94,'Live Medal Table'!$G$2:$G$94,0),0))</f>
        <v>3</v>
      </c>
      <c r="V135" s="29">
        <f t="array" ref="V135">IF(R135="",0,IFERROR(XLOOKUP(R135,'Live Medal Table'!$B$2:$B$94,'Live Medal Table'!$H$2:$H$94,0),0))</f>
        <v>2</v>
      </c>
      <c r="W135" s="29">
        <f t="array" ref="W135">IF(R135="",0,IFERROR(XLOOKUP(R135,'Live Medal Table'!$B$2:$B$94,'Live Medal Table'!$I$2:$I$94,0),0))</f>
        <v>1</v>
      </c>
      <c r="X135" s="29">
        <f t="shared" si="1"/>
        <v>90</v>
      </c>
      <c r="Y135" s="29">
        <f t="shared" si="2"/>
        <v>40</v>
      </c>
      <c r="Z135" s="29">
        <f t="shared" si="3"/>
        <v>10</v>
      </c>
      <c r="AA135" s="29">
        <f t="shared" si="4"/>
        <v>140</v>
      </c>
      <c r="AB135" s="29" t="b">
        <f t="array" ref="AB135">IF(R135="",FALSE,IFERROR(AND(ISNUMBER(MATCH(R135,'Live Medal Table'!$B$2:$B$94,0)),XLOOKUP(R135,'Live Medal Table'!$B$2:$B$94,Countries!$I$2:$I$72,FALSE)),FALSE))</f>
        <v>0</v>
      </c>
    </row>
    <row r="136" ht="15.75" hidden="1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29"/>
      <c r="M136" s="29"/>
      <c r="N136" s="29" t="str">
        <f t="array" ref="N136">IFERROR(IF(INDEX(Entries!$C$2:$C$47,17)="","",INDEX(Entries!$Q$2:$Q$47,17)),"")</f>
        <v>Lucas_Flygare_LucasF</v>
      </c>
      <c r="O136" s="29" t="str">
        <f t="array" ref="O136">IF(N136="","",IFERROR(INDEX(Entries!$E$2:$E$47,17),""))</f>
        <v>LucasF</v>
      </c>
      <c r="P136" s="29" t="str">
        <f>IF(N136="","","Tier6_Pick1")</f>
        <v>Tier6_Pick1</v>
      </c>
      <c r="Q136" s="29">
        <f t="shared" ref="Q136:Q137" si="38">IF(N136="","",6)</f>
        <v>6</v>
      </c>
      <c r="R136" s="29" t="str">
        <f t="array" ref="R136">IF(N136="","",IFERROR(INDEX(Entries!$O$2:$O$47,17),""))</f>
        <v>New Zealand</v>
      </c>
      <c r="S136" s="29" t="str">
        <f t="array" ref="S136">IF(R136="","",IFERROR(XLOOKUP(R136,'Live Medal Table'!$B$2:$B$94,'Live Medal Table'!$C$2:$C$94,"???"),"???"))</f>
        <v>NZL</v>
      </c>
      <c r="T136" s="29">
        <f t="array" ref="T136">IF(R136="",0,IFERROR(XLOOKUP(R136,'Live Medal Table'!$B$2:$B$94,'Live Medal Table'!$F$2:$F$94,0),0))</f>
        <v>20</v>
      </c>
      <c r="U136" s="29">
        <f t="array" ref="U136">IF(R136="",0,IFERROR(XLOOKUP(R136,'Live Medal Table'!$B$2:$B$94,'Live Medal Table'!$G$2:$G$94,0),0))</f>
        <v>0</v>
      </c>
      <c r="V136" s="29">
        <f t="array" ref="V136">IF(R136="",0,IFERROR(XLOOKUP(R136,'Live Medal Table'!$B$2:$B$94,'Live Medal Table'!$H$2:$H$94,0),0))</f>
        <v>2</v>
      </c>
      <c r="W136" s="29">
        <f t="array" ref="W136">IF(R136="",0,IFERROR(XLOOKUP(R136,'Live Medal Table'!$B$2:$B$94,'Live Medal Table'!$I$2:$I$94,0),0))</f>
        <v>1</v>
      </c>
      <c r="X136" s="29">
        <f t="shared" si="1"/>
        <v>0</v>
      </c>
      <c r="Y136" s="29">
        <f t="shared" si="2"/>
        <v>80</v>
      </c>
      <c r="Z136" s="29">
        <f t="shared" si="3"/>
        <v>20</v>
      </c>
      <c r="AA136" s="29">
        <f t="shared" si="4"/>
        <v>100</v>
      </c>
      <c r="AB136" s="29" t="b">
        <f t="array" ref="AB136">IF(R136="",FALSE,IFERROR(AND(ISNUMBER(MATCH(R136,'Live Medal Table'!$B$2:$B$94,0)),XLOOKUP(R136,'Live Medal Table'!$B$2:$B$94,Countries!$I$2:$I$72,FALSE)),FALSE))</f>
        <v>0</v>
      </c>
    </row>
    <row r="137" ht="15.75" hidden="1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29"/>
      <c r="M137" s="29"/>
      <c r="N137" s="29" t="str">
        <f t="array" ref="N137">IFERROR(IF(INDEX(Entries!$C$2:$C$47,17)="","",INDEX(Entries!$Q$2:$Q$47,17)),"")</f>
        <v>Lucas_Flygare_LucasF</v>
      </c>
      <c r="O137" s="29" t="str">
        <f t="array" ref="O137">IF(N137="","",IFERROR(INDEX(Entries!$E$2:$E$47,17),""))</f>
        <v>LucasF</v>
      </c>
      <c r="P137" s="29" t="str">
        <f>IF(N137="","","Tier6_Pick2")</f>
        <v>Tier6_Pick2</v>
      </c>
      <c r="Q137" s="29">
        <f t="shared" si="38"/>
        <v>6</v>
      </c>
      <c r="R137" s="29" t="str">
        <f t="array" ref="R137">IF(N137="","",IFERROR(INDEX(Entries!$P$2:$P$47,17),""))</f>
        <v>Spain</v>
      </c>
      <c r="S137" s="29" t="str">
        <f t="array" ref="S137">IF(R137="","",IFERROR(XLOOKUP(R137,'Live Medal Table'!$B$2:$B$94,'Live Medal Table'!$C$2:$C$94,"???"),"???"))</f>
        <v>ESP</v>
      </c>
      <c r="T137" s="29">
        <f t="array" ref="T137">IF(R137="",0,IFERROR(XLOOKUP(R137,'Live Medal Table'!$B$2:$B$94,'Live Medal Table'!$F$2:$F$94,0),0))</f>
        <v>20</v>
      </c>
      <c r="U137" s="29">
        <f t="array" ref="U137">IF(R137="",0,IFERROR(XLOOKUP(R137,'Live Medal Table'!$B$2:$B$94,'Live Medal Table'!$G$2:$G$94,0),0))</f>
        <v>1</v>
      </c>
      <c r="V137" s="29">
        <f t="array" ref="V137">IF(R137="",0,IFERROR(XLOOKUP(R137,'Live Medal Table'!$B$2:$B$94,'Live Medal Table'!$H$2:$H$94,0),0))</f>
        <v>0</v>
      </c>
      <c r="W137" s="29">
        <f t="array" ref="W137">IF(R137="",0,IFERROR(XLOOKUP(R137,'Live Medal Table'!$B$2:$B$94,'Live Medal Table'!$I$2:$I$94,0),0))</f>
        <v>2</v>
      </c>
      <c r="X137" s="29">
        <f t="shared" si="1"/>
        <v>60</v>
      </c>
      <c r="Y137" s="29">
        <f t="shared" si="2"/>
        <v>0</v>
      </c>
      <c r="Z137" s="29">
        <f t="shared" si="3"/>
        <v>40</v>
      </c>
      <c r="AA137" s="29">
        <f t="shared" si="4"/>
        <v>100</v>
      </c>
      <c r="AB137" s="29" t="b">
        <f t="array" ref="AB137">IF(R137="",FALSE,IFERROR(AND(ISNUMBER(MATCH(R137,'Live Medal Table'!$B$2:$B$94,0)),XLOOKUP(R137,'Live Medal Table'!$B$2:$B$94,Countries!$I$2:$I$72,FALSE)),FALSE))</f>
        <v>0</v>
      </c>
    </row>
    <row r="138" ht="15.75" hidden="1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29"/>
      <c r="M138" s="29"/>
      <c r="N138" s="29" t="str">
        <f t="array" ref="N138">IFERROR(IF(INDEX(Entries!$C$2:$C$47,18)="","",INDEX(Entries!$Q$2:$Q$47,18)),"")</f>
        <v>Bryan_Jakobsze_Bryan Jakobsze🇵🇱</v>
      </c>
      <c r="O138" s="29" t="str">
        <f t="array" ref="O138">IF(N138="","",IFERROR(INDEX(Entries!$E$2:$E$47,18),""))</f>
        <v>Bryan Jakobsze🇵🇱</v>
      </c>
      <c r="P138" s="29" t="str">
        <f>IF(N138="","","Tier1_Pick1")</f>
        <v>Tier1_Pick1</v>
      </c>
      <c r="Q138" s="29">
        <f>IF(N138="","",1)</f>
        <v>1</v>
      </c>
      <c r="R138" s="29" t="str">
        <f t="array" ref="R138">IF(N138="","",IFERROR(INDEX(Entries!$F$2:$F$47,18),""))</f>
        <v>Norway</v>
      </c>
      <c r="S138" s="29" t="str">
        <f t="array" ref="S138">IF(R138="","",IFERROR(XLOOKUP(R138,'Live Medal Table'!$B$2:$B$94,'Live Medal Table'!$C$2:$C$94,"???"),"???"))</f>
        <v>NOR</v>
      </c>
      <c r="T138" s="29">
        <f t="array" ref="T138">IF(R138="",0,IFERROR(XLOOKUP(R138,'Live Medal Table'!$B$2:$B$94,'Live Medal Table'!$F$2:$F$94,0),0))</f>
        <v>1</v>
      </c>
      <c r="U138" s="29">
        <f t="array" ref="U138">IF(R138="",0,IFERROR(XLOOKUP(R138,'Live Medal Table'!$B$2:$B$94,'Live Medal Table'!$G$2:$G$94,0),0))</f>
        <v>18</v>
      </c>
      <c r="V138" s="29">
        <f t="array" ref="V138">IF(R138="",0,IFERROR(XLOOKUP(R138,'Live Medal Table'!$B$2:$B$94,'Live Medal Table'!$H$2:$H$94,0),0))</f>
        <v>12</v>
      </c>
      <c r="W138" s="29">
        <f t="array" ref="W138">IF(R138="",0,IFERROR(XLOOKUP(R138,'Live Medal Table'!$B$2:$B$94,'Live Medal Table'!$I$2:$I$94,0),0))</f>
        <v>11</v>
      </c>
      <c r="X138" s="29">
        <f t="shared" si="1"/>
        <v>54</v>
      </c>
      <c r="Y138" s="29">
        <f t="shared" si="2"/>
        <v>24</v>
      </c>
      <c r="Z138" s="29">
        <f t="shared" si="3"/>
        <v>11</v>
      </c>
      <c r="AA138" s="29">
        <f t="shared" si="4"/>
        <v>89</v>
      </c>
      <c r="AB138" s="29" t="b">
        <f t="array" ref="AB138">IF(R138="",FALSE,IFERROR(AND(ISNUMBER(MATCH(R138,'Live Medal Table'!$B$2:$B$94,0)),XLOOKUP(R138,'Live Medal Table'!$B$2:$B$94,Countries!$I$2:$I$72,FALSE)),FALSE))</f>
        <v>0</v>
      </c>
    </row>
    <row r="139" ht="15.75" hidden="1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29"/>
      <c r="M139" s="29"/>
      <c r="N139" s="29" t="str">
        <f t="array" ref="N139">IFERROR(IF(INDEX(Entries!$C$2:$C$47,18)="","",INDEX(Entries!$Q$2:$Q$47,18)),"")</f>
        <v>Bryan_Jakobsze_Bryan Jakobsze🇵🇱</v>
      </c>
      <c r="O139" s="29" t="str">
        <f t="array" ref="O139">IF(N139="","",IFERROR(INDEX(Entries!$E$2:$E$47,18),""))</f>
        <v>Bryan Jakobsze🇵🇱</v>
      </c>
      <c r="P139" s="29" t="str">
        <f>IF(N139="","","Tier2_Pick1")</f>
        <v>Tier2_Pick1</v>
      </c>
      <c r="Q139" s="29">
        <f t="shared" ref="Q139:Q140" si="39">IF(N139="","",2)</f>
        <v>2</v>
      </c>
      <c r="R139" s="29" t="str">
        <f t="array" ref="R139">IF(N139="","",IFERROR(INDEX(Entries!$M$2:$M$47,18),""))</f>
        <v>France</v>
      </c>
      <c r="S139" s="29" t="str">
        <f t="array" ref="S139">IF(R139="","",IFERROR(XLOOKUP(R139,'Live Medal Table'!$B$2:$B$94,'Live Medal Table'!$C$2:$C$94,"???"),"???"))</f>
        <v>FRA</v>
      </c>
      <c r="T139" s="29">
        <f t="array" ref="T139">IF(R139="",0,IFERROR(XLOOKUP(R139,'Live Medal Table'!$B$2:$B$94,'Live Medal Table'!$F$2:$F$94,0),0))</f>
        <v>2</v>
      </c>
      <c r="U139" s="29">
        <f t="array" ref="U139">IF(R139="",0,IFERROR(XLOOKUP(R139,'Live Medal Table'!$B$2:$B$94,'Live Medal Table'!$G$2:$G$94,0),0))</f>
        <v>8</v>
      </c>
      <c r="V139" s="29">
        <f t="array" ref="V139">IF(R139="",0,IFERROR(XLOOKUP(R139,'Live Medal Table'!$B$2:$B$94,'Live Medal Table'!$H$2:$H$94,0),0))</f>
        <v>9</v>
      </c>
      <c r="W139" s="29">
        <f t="array" ref="W139">IF(R139="",0,IFERROR(XLOOKUP(R139,'Live Medal Table'!$B$2:$B$94,'Live Medal Table'!$I$2:$I$94,0),0))</f>
        <v>6</v>
      </c>
      <c r="X139" s="29">
        <f t="shared" si="1"/>
        <v>48</v>
      </c>
      <c r="Y139" s="29">
        <f t="shared" si="2"/>
        <v>36</v>
      </c>
      <c r="Z139" s="29">
        <f t="shared" si="3"/>
        <v>12</v>
      </c>
      <c r="AA139" s="29">
        <f t="shared" si="4"/>
        <v>96</v>
      </c>
      <c r="AB139" s="29" t="b">
        <f t="array" ref="AB139">IF(R139="",FALSE,IFERROR(AND(ISNUMBER(MATCH(R139,'Live Medal Table'!$B$2:$B$94,0)),XLOOKUP(R139,'Live Medal Table'!$B$2:$B$94,Countries!$I$2:$I$72,FALSE)),FALSE))</f>
        <v>0</v>
      </c>
    </row>
    <row r="140" ht="15.75" hidden="1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29"/>
      <c r="M140" s="29"/>
      <c r="N140" s="29" t="str">
        <f t="array" ref="N140">IFERROR(IF(INDEX(Entries!$C$2:$C$47,18)="","",INDEX(Entries!$Q$2:$Q$47,18)),"")</f>
        <v>Bryan_Jakobsze_Bryan Jakobsze🇵🇱</v>
      </c>
      <c r="O140" s="29" t="str">
        <f t="array" ref="O140">IF(N140="","",IFERROR(INDEX(Entries!$E$2:$E$47,18),""))</f>
        <v>Bryan Jakobsze🇵🇱</v>
      </c>
      <c r="P140" s="29" t="str">
        <f>IF(N140="","","Tier2_Pick2")</f>
        <v>Tier2_Pick2</v>
      </c>
      <c r="Q140" s="29">
        <f t="shared" si="39"/>
        <v>2</v>
      </c>
      <c r="R140" s="29" t="str">
        <f t="array" ref="R140">IF(N140="","",IFERROR(INDEX(Entries!$N$2:$N$47,18),""))</f>
        <v>Netherlands</v>
      </c>
      <c r="S140" s="29" t="str">
        <f t="array" ref="S140">IF(R140="","",IFERROR(XLOOKUP(R140,'Live Medal Table'!$B$2:$B$94,'Live Medal Table'!$C$2:$C$94,"???"),"???"))</f>
        <v>NED</v>
      </c>
      <c r="T140" s="29">
        <f t="array" ref="T140">IF(R140="",0,IFERROR(XLOOKUP(R140,'Live Medal Table'!$B$2:$B$94,'Live Medal Table'!$F$2:$F$94,0),0))</f>
        <v>2</v>
      </c>
      <c r="U140" s="29">
        <f t="array" ref="U140">IF(R140="",0,IFERROR(XLOOKUP(R140,'Live Medal Table'!$B$2:$B$94,'Live Medal Table'!$G$2:$G$94,0),0))</f>
        <v>10</v>
      </c>
      <c r="V140" s="29">
        <f t="array" ref="V140">IF(R140="",0,IFERROR(XLOOKUP(R140,'Live Medal Table'!$B$2:$B$94,'Live Medal Table'!$H$2:$H$94,0),0))</f>
        <v>7</v>
      </c>
      <c r="W140" s="29">
        <f t="array" ref="W140">IF(R140="",0,IFERROR(XLOOKUP(R140,'Live Medal Table'!$B$2:$B$94,'Live Medal Table'!$I$2:$I$94,0),0))</f>
        <v>3</v>
      </c>
      <c r="X140" s="29">
        <f t="shared" si="1"/>
        <v>60</v>
      </c>
      <c r="Y140" s="29">
        <f t="shared" si="2"/>
        <v>28</v>
      </c>
      <c r="Z140" s="29">
        <f t="shared" si="3"/>
        <v>6</v>
      </c>
      <c r="AA140" s="29">
        <f t="shared" si="4"/>
        <v>94</v>
      </c>
      <c r="AB140" s="29" t="b">
        <f t="array" ref="AB140">IF(R140="",FALSE,IFERROR(AND(ISNUMBER(MATCH(R140,'Live Medal Table'!$B$2:$B$94,0)),XLOOKUP(R140,'Live Medal Table'!$B$2:$B$94,Countries!$I$2:$I$72,FALSE)),FALSE))</f>
        <v>0</v>
      </c>
    </row>
    <row r="141" ht="15.75" hidden="1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29"/>
      <c r="M141" s="29"/>
      <c r="N141" s="29" t="str">
        <f t="array" ref="N141">IFERROR(IF(INDEX(Entries!$C$2:$C$47,18)="","",INDEX(Entries!$Q$2:$Q$47,18)),"")</f>
        <v>Bryan_Jakobsze_Bryan Jakobsze🇵🇱</v>
      </c>
      <c r="O141" s="29" t="str">
        <f t="array" ref="O141">IF(N141="","",IFERROR(INDEX(Entries!$E$2:$E$47,18),""))</f>
        <v>Bryan Jakobsze🇵🇱</v>
      </c>
      <c r="P141" s="29" t="str">
        <f>IF(N141="","","Tier3_Pick1")</f>
        <v>Tier3_Pick1</v>
      </c>
      <c r="Q141" s="29">
        <f>IF(N141="","",3)</f>
        <v>3</v>
      </c>
      <c r="R141" s="29" t="str">
        <f t="array" ref="R141">IF(N141="","",IFERROR(INDEX(Entries!$H$2:$H$47,18),""))</f>
        <v>Italy</v>
      </c>
      <c r="S141" s="29" t="str">
        <f t="array" ref="S141">IF(R141="","",IFERROR(XLOOKUP(R141,'Live Medal Table'!$B$2:$B$94,'Live Medal Table'!$C$2:$C$94,"???"),"???"))</f>
        <v>ITA</v>
      </c>
      <c r="T141" s="29">
        <f t="array" ref="T141">IF(R141="",0,IFERROR(XLOOKUP(R141,'Live Medal Table'!$B$2:$B$94,'Live Medal Table'!$F$2:$F$94,0),0))</f>
        <v>3</v>
      </c>
      <c r="U141" s="29">
        <f t="array" ref="U141">IF(R141="",0,IFERROR(XLOOKUP(R141,'Live Medal Table'!$B$2:$B$94,'Live Medal Table'!$G$2:$G$94,0),0))</f>
        <v>10</v>
      </c>
      <c r="V141" s="29">
        <f t="array" ref="V141">IF(R141="",0,IFERROR(XLOOKUP(R141,'Live Medal Table'!$B$2:$B$94,'Live Medal Table'!$H$2:$H$94,0),0))</f>
        <v>6</v>
      </c>
      <c r="W141" s="29">
        <f t="array" ref="W141">IF(R141="",0,IFERROR(XLOOKUP(R141,'Live Medal Table'!$B$2:$B$94,'Live Medal Table'!$I$2:$I$94,0),0))</f>
        <v>14</v>
      </c>
      <c r="X141" s="29">
        <f t="shared" si="1"/>
        <v>90</v>
      </c>
      <c r="Y141" s="29">
        <f t="shared" si="2"/>
        <v>36</v>
      </c>
      <c r="Z141" s="29">
        <f t="shared" si="3"/>
        <v>42</v>
      </c>
      <c r="AA141" s="29">
        <f t="shared" si="4"/>
        <v>168</v>
      </c>
      <c r="AB141" s="29" t="b">
        <f t="array" ref="AB141">IF(R141="",FALSE,IFERROR(AND(ISNUMBER(MATCH(R141,'Live Medal Table'!$B$2:$B$94,0)),XLOOKUP(R141,'Live Medal Table'!$B$2:$B$94,Countries!$I$2:$I$72,FALSE)),FALSE))</f>
        <v>0</v>
      </c>
    </row>
    <row r="142" ht="15.75" hidden="1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29"/>
      <c r="M142" s="29"/>
      <c r="N142" s="29" t="str">
        <f t="array" ref="N142">IFERROR(IF(INDEX(Entries!$C$2:$C$47,18)="","",INDEX(Entries!$Q$2:$Q$47,18)),"")</f>
        <v>Bryan_Jakobsze_Bryan Jakobsze🇵🇱</v>
      </c>
      <c r="O142" s="29" t="str">
        <f t="array" ref="O142">IF(N142="","",IFERROR(INDEX(Entries!$E$2:$E$47,18),""))</f>
        <v>Bryan Jakobsze🇵🇱</v>
      </c>
      <c r="P142" s="29" t="str">
        <f>IF(N142="","","Tier4_Pick1")</f>
        <v>Tier4_Pick1</v>
      </c>
      <c r="Q142" s="29">
        <f>IF(N142="","",4)</f>
        <v>4</v>
      </c>
      <c r="R142" s="29" t="str">
        <f t="array" ref="R142">IF(N142="","",IFERROR(INDEX(Entries!$I$2:$I$47,18),""))</f>
        <v>Finland</v>
      </c>
      <c r="S142" s="29" t="str">
        <f t="array" ref="S142">IF(R142="","",IFERROR(XLOOKUP(R142,'Live Medal Table'!$B$2:$B$94,'Live Medal Table'!$C$2:$C$94,"???"),"???"))</f>
        <v>FIN</v>
      </c>
      <c r="T142" s="29">
        <f t="array" ref="T142">IF(R142="",0,IFERROR(XLOOKUP(R142,'Live Medal Table'!$B$2:$B$94,'Live Medal Table'!$F$2:$F$94,0),0))</f>
        <v>6</v>
      </c>
      <c r="U142" s="29">
        <f t="array" ref="U142">IF(R142="",0,IFERROR(XLOOKUP(R142,'Live Medal Table'!$B$2:$B$94,'Live Medal Table'!$G$2:$G$94,0),0))</f>
        <v>0</v>
      </c>
      <c r="V142" s="29">
        <f t="array" ref="V142">IF(R142="",0,IFERROR(XLOOKUP(R142,'Live Medal Table'!$B$2:$B$94,'Live Medal Table'!$H$2:$H$94,0),0))</f>
        <v>1</v>
      </c>
      <c r="W142" s="29">
        <f t="array" ref="W142">IF(R142="",0,IFERROR(XLOOKUP(R142,'Live Medal Table'!$B$2:$B$94,'Live Medal Table'!$I$2:$I$94,0),0))</f>
        <v>5</v>
      </c>
      <c r="X142" s="29">
        <f t="shared" si="1"/>
        <v>0</v>
      </c>
      <c r="Y142" s="29">
        <f t="shared" si="2"/>
        <v>12</v>
      </c>
      <c r="Z142" s="29">
        <f t="shared" si="3"/>
        <v>30</v>
      </c>
      <c r="AA142" s="29">
        <f t="shared" si="4"/>
        <v>42</v>
      </c>
      <c r="AB142" s="29" t="b">
        <f t="array" ref="AB142">IF(R142="",FALSE,IFERROR(AND(ISNUMBER(MATCH(R142,'Live Medal Table'!$B$2:$B$94,0)),XLOOKUP(R142,'Live Medal Table'!$B$2:$B$94,Countries!$I$2:$I$72,FALSE)),FALSE))</f>
        <v>0</v>
      </c>
    </row>
    <row r="143" ht="15.75" hidden="1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29"/>
      <c r="M143" s="29"/>
      <c r="N143" s="29" t="str">
        <f t="array" ref="N143">IFERROR(IF(INDEX(Entries!$C$2:$C$47,18)="","",INDEX(Entries!$Q$2:$Q$47,18)),"")</f>
        <v>Bryan_Jakobsze_Bryan Jakobsze🇵🇱</v>
      </c>
      <c r="O143" s="29" t="str">
        <f t="array" ref="O143">IF(N143="","",IFERROR(INDEX(Entries!$E$2:$E$47,18),""))</f>
        <v>Bryan Jakobsze🇵🇱</v>
      </c>
      <c r="P143" s="29" t="str">
        <f>IF(N143="","","Tier5_Pick1")</f>
        <v>Tier5_Pick1</v>
      </c>
      <c r="Q143" s="29">
        <f>IF(N143="","",5)</f>
        <v>5</v>
      </c>
      <c r="R143" s="29" t="str">
        <f t="array" ref="R143">IF(N143="","",IFERROR(INDEX(Entries!$J$2:$J$47,18),""))</f>
        <v>Great Britain</v>
      </c>
      <c r="S143" s="29" t="str">
        <f t="array" ref="S143">IF(R143="","",IFERROR(XLOOKUP(R143,'Live Medal Table'!$B$2:$B$94,'Live Medal Table'!$C$2:$C$94,"???"),"???"))</f>
        <v>GBR</v>
      </c>
      <c r="T143" s="29">
        <f t="array" ref="T143">IF(R143="",0,IFERROR(XLOOKUP(R143,'Live Medal Table'!$B$2:$B$94,'Live Medal Table'!$F$2:$F$94,0),0))</f>
        <v>10</v>
      </c>
      <c r="U143" s="29">
        <f t="array" ref="U143">IF(R143="",0,IFERROR(XLOOKUP(R143,'Live Medal Table'!$B$2:$B$94,'Live Medal Table'!$G$2:$G$94,0),0))</f>
        <v>3</v>
      </c>
      <c r="V143" s="29">
        <f t="array" ref="V143">IF(R143="",0,IFERROR(XLOOKUP(R143,'Live Medal Table'!$B$2:$B$94,'Live Medal Table'!$H$2:$H$94,0),0))</f>
        <v>1</v>
      </c>
      <c r="W143" s="29">
        <f t="array" ref="W143">IF(R143="",0,IFERROR(XLOOKUP(R143,'Live Medal Table'!$B$2:$B$94,'Live Medal Table'!$I$2:$I$94,0),0))</f>
        <v>1</v>
      </c>
      <c r="X143" s="29">
        <f t="shared" si="1"/>
        <v>90</v>
      </c>
      <c r="Y143" s="29">
        <f t="shared" si="2"/>
        <v>20</v>
      </c>
      <c r="Z143" s="29">
        <f t="shared" si="3"/>
        <v>10</v>
      </c>
      <c r="AA143" s="29">
        <f t="shared" si="4"/>
        <v>120</v>
      </c>
      <c r="AB143" s="29" t="b">
        <f t="array" ref="AB143">IF(R143="",FALSE,IFERROR(AND(ISNUMBER(MATCH(R143,'Live Medal Table'!$B$2:$B$94,0)),XLOOKUP(R143,'Live Medal Table'!$B$2:$B$94,Countries!$I$2:$I$72,FALSE)),FALSE))</f>
        <v>0</v>
      </c>
    </row>
    <row r="144" ht="15.75" hidden="1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29"/>
      <c r="M144" s="29"/>
      <c r="N144" s="29" t="str">
        <f t="array" ref="N144">IFERROR(IF(INDEX(Entries!$C$2:$C$47,18)="","",INDEX(Entries!$Q$2:$Q$47,18)),"")</f>
        <v>Bryan_Jakobsze_Bryan Jakobsze🇵🇱</v>
      </c>
      <c r="O144" s="29" t="str">
        <f t="array" ref="O144">IF(N144="","",IFERROR(INDEX(Entries!$E$2:$E$47,18),""))</f>
        <v>Bryan Jakobsze🇵🇱</v>
      </c>
      <c r="P144" s="29" t="str">
        <f>IF(N144="","","Tier6_Pick1")</f>
        <v>Tier6_Pick1</v>
      </c>
      <c r="Q144" s="29">
        <f t="shared" ref="Q144:Q145" si="40">IF(N144="","",6)</f>
        <v>6</v>
      </c>
      <c r="R144" s="29" t="str">
        <f t="array" ref="R144">IF(N144="","",IFERROR(INDEX(Entries!$O$2:$O$47,18),""))</f>
        <v>Kazakhstan</v>
      </c>
      <c r="S144" s="29" t="str">
        <f t="array" ref="S144">IF(R144="","",IFERROR(XLOOKUP(R144,'Live Medal Table'!$B$2:$B$94,'Live Medal Table'!$C$2:$C$94,"???"),"???"))</f>
        <v>KAZ</v>
      </c>
      <c r="T144" s="29">
        <f t="array" ref="T144">IF(R144="",0,IFERROR(XLOOKUP(R144,'Live Medal Table'!$B$2:$B$94,'Live Medal Table'!$F$2:$F$94,0),0))</f>
        <v>20</v>
      </c>
      <c r="U144" s="29">
        <f t="array" ref="U144">IF(R144="",0,IFERROR(XLOOKUP(R144,'Live Medal Table'!$B$2:$B$94,'Live Medal Table'!$G$2:$G$94,0),0))</f>
        <v>1</v>
      </c>
      <c r="V144" s="29">
        <f t="array" ref="V144">IF(R144="",0,IFERROR(XLOOKUP(R144,'Live Medal Table'!$B$2:$B$94,'Live Medal Table'!$H$2:$H$94,0),0))</f>
        <v>0</v>
      </c>
      <c r="W144" s="29">
        <f t="array" ref="W144">IF(R144="",0,IFERROR(XLOOKUP(R144,'Live Medal Table'!$B$2:$B$94,'Live Medal Table'!$I$2:$I$94,0),0))</f>
        <v>0</v>
      </c>
      <c r="X144" s="29">
        <f t="shared" si="1"/>
        <v>60</v>
      </c>
      <c r="Y144" s="29">
        <f t="shared" si="2"/>
        <v>0</v>
      </c>
      <c r="Z144" s="29">
        <f t="shared" si="3"/>
        <v>0</v>
      </c>
      <c r="AA144" s="29">
        <f t="shared" si="4"/>
        <v>60</v>
      </c>
      <c r="AB144" s="29" t="b">
        <f t="array" ref="AB144">IF(R144="",FALSE,IFERROR(AND(ISNUMBER(MATCH(R144,'Live Medal Table'!$B$2:$B$94,0)),XLOOKUP(R144,'Live Medal Table'!$B$2:$B$94,Countries!$I$2:$I$72,FALSE)),FALSE))</f>
        <v>0</v>
      </c>
    </row>
    <row r="145" ht="15.75" hidden="1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29"/>
      <c r="M145" s="29"/>
      <c r="N145" s="29" t="str">
        <f t="array" ref="N145">IFERROR(IF(INDEX(Entries!$C$2:$C$47,18)="","",INDEX(Entries!$Q$2:$Q$47,18)),"")</f>
        <v>Bryan_Jakobsze_Bryan Jakobsze🇵🇱</v>
      </c>
      <c r="O145" s="29" t="str">
        <f t="array" ref="O145">IF(N145="","",IFERROR(INDEX(Entries!$E$2:$E$47,18),""))</f>
        <v>Bryan Jakobsze🇵🇱</v>
      </c>
      <c r="P145" s="29" t="str">
        <f>IF(N145="","","Tier6_Pick2")</f>
        <v>Tier6_Pick2</v>
      </c>
      <c r="Q145" s="29">
        <f t="shared" si="40"/>
        <v>6</v>
      </c>
      <c r="R145" s="29" t="str">
        <f t="array" ref="R145">IF(N145="","",IFERROR(INDEX(Entries!$P$2:$P$47,18),""))</f>
        <v>Ukraine</v>
      </c>
      <c r="S145" s="29" t="str">
        <f t="array" ref="S145">IF(R145="","",IFERROR(XLOOKUP(R145,'Live Medal Table'!$B$2:$B$94,'Live Medal Table'!$C$2:$C$94,"???"),"???"))</f>
        <v>UKR</v>
      </c>
      <c r="T145" s="29">
        <f t="array" ref="T145">IF(R145="",0,IFERROR(XLOOKUP(R145,'Live Medal Table'!$B$2:$B$94,'Live Medal Table'!$F$2:$F$94,0),0))</f>
        <v>20</v>
      </c>
      <c r="U145" s="29">
        <f t="array" ref="U145">IF(R145="",0,IFERROR(XLOOKUP(R145,'Live Medal Table'!$B$2:$B$94,'Live Medal Table'!$G$2:$G$94,0),0))</f>
        <v>0</v>
      </c>
      <c r="V145" s="29">
        <f t="array" ref="V145">IF(R145="",0,IFERROR(XLOOKUP(R145,'Live Medal Table'!$B$2:$B$94,'Live Medal Table'!$H$2:$H$94,0),0))</f>
        <v>0</v>
      </c>
      <c r="W145" s="29">
        <f t="array" ref="W145">IF(R145="",0,IFERROR(XLOOKUP(R145,'Live Medal Table'!$B$2:$B$94,'Live Medal Table'!$I$2:$I$94,0),0))</f>
        <v>0</v>
      </c>
      <c r="X145" s="29">
        <f t="shared" si="1"/>
        <v>0</v>
      </c>
      <c r="Y145" s="29">
        <f t="shared" si="2"/>
        <v>0</v>
      </c>
      <c r="Z145" s="29">
        <f t="shared" si="3"/>
        <v>0</v>
      </c>
      <c r="AA145" s="29">
        <f t="shared" si="4"/>
        <v>0</v>
      </c>
      <c r="AB145" s="29" t="b">
        <f t="array" ref="AB145">IF(R145="",FALSE,IFERROR(AND(ISNUMBER(MATCH(R145,'Live Medal Table'!$B$2:$B$94,0)),XLOOKUP(R145,'Live Medal Table'!$B$2:$B$94,Countries!$I$2:$I$72,FALSE)),FALSE))</f>
        <v>0</v>
      </c>
    </row>
    <row r="146" ht="15.75" hidden="1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29"/>
      <c r="M146" s="29"/>
      <c r="N146" s="29" t="str">
        <f t="array" ref="N146">IFERROR(IF(INDEX(Entries!$C$2:$C$47,19)="","",INDEX(Entries!$Q$2:$Q$47,19)),"")</f>
        <v>Tyler_Wicks_Wicks</v>
      </c>
      <c r="O146" s="29" t="str">
        <f t="array" ref="O146">IF(N146="","",IFERROR(INDEX(Entries!$E$2:$E$47,19),""))</f>
        <v>Wicks</v>
      </c>
      <c r="P146" s="29" t="str">
        <f>IF(N146="","","Tier1_Pick1")</f>
        <v>Tier1_Pick1</v>
      </c>
      <c r="Q146" s="29">
        <f>IF(N146="","",1)</f>
        <v>1</v>
      </c>
      <c r="R146" s="29" t="str">
        <f t="array" ref="R146">IF(N146="","",IFERROR(INDEX(Entries!$F$2:$F$47,19),""))</f>
        <v>Norway</v>
      </c>
      <c r="S146" s="29" t="str">
        <f t="array" ref="S146">IF(R146="","",IFERROR(XLOOKUP(R146,'Live Medal Table'!$B$2:$B$94,'Live Medal Table'!$C$2:$C$94,"???"),"???"))</f>
        <v>NOR</v>
      </c>
      <c r="T146" s="29">
        <f t="array" ref="T146">IF(R146="",0,IFERROR(XLOOKUP(R146,'Live Medal Table'!$B$2:$B$94,'Live Medal Table'!$F$2:$F$94,0),0))</f>
        <v>1</v>
      </c>
      <c r="U146" s="29">
        <f t="array" ref="U146">IF(R146="",0,IFERROR(XLOOKUP(R146,'Live Medal Table'!$B$2:$B$94,'Live Medal Table'!$G$2:$G$94,0),0))</f>
        <v>18</v>
      </c>
      <c r="V146" s="29">
        <f t="array" ref="V146">IF(R146="",0,IFERROR(XLOOKUP(R146,'Live Medal Table'!$B$2:$B$94,'Live Medal Table'!$H$2:$H$94,0),0))</f>
        <v>12</v>
      </c>
      <c r="W146" s="29">
        <f t="array" ref="W146">IF(R146="",0,IFERROR(XLOOKUP(R146,'Live Medal Table'!$B$2:$B$94,'Live Medal Table'!$I$2:$I$94,0),0))</f>
        <v>11</v>
      </c>
      <c r="X146" s="29">
        <f t="shared" si="1"/>
        <v>54</v>
      </c>
      <c r="Y146" s="29">
        <f t="shared" si="2"/>
        <v>24</v>
      </c>
      <c r="Z146" s="29">
        <f t="shared" si="3"/>
        <v>11</v>
      </c>
      <c r="AA146" s="29">
        <f t="shared" si="4"/>
        <v>89</v>
      </c>
      <c r="AB146" s="29" t="b">
        <f t="array" ref="AB146">IF(R146="",FALSE,IFERROR(AND(ISNUMBER(MATCH(R146,'Live Medal Table'!$B$2:$B$94,0)),XLOOKUP(R146,'Live Medal Table'!$B$2:$B$94,Countries!$I$2:$I$72,FALSE)),FALSE))</f>
        <v>0</v>
      </c>
    </row>
    <row r="147" ht="15.75" hidden="1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29"/>
      <c r="M147" s="29"/>
      <c r="N147" s="29" t="str">
        <f t="array" ref="N147">IFERROR(IF(INDEX(Entries!$C$2:$C$47,19)="","",INDEX(Entries!$Q$2:$Q$47,19)),"")</f>
        <v>Tyler_Wicks_Wicks</v>
      </c>
      <c r="O147" s="29" t="str">
        <f t="array" ref="O147">IF(N147="","",IFERROR(INDEX(Entries!$E$2:$E$47,19),""))</f>
        <v>Wicks</v>
      </c>
      <c r="P147" s="29" t="str">
        <f>IF(N147="","","Tier2_Pick1")</f>
        <v>Tier2_Pick1</v>
      </c>
      <c r="Q147" s="29">
        <f t="shared" ref="Q147:Q148" si="41">IF(N147="","",2)</f>
        <v>2</v>
      </c>
      <c r="R147" s="29" t="str">
        <f t="array" ref="R147">IF(N147="","",IFERROR(INDEX(Entries!$M$2:$M$47,19),""))</f>
        <v>Netherlands</v>
      </c>
      <c r="S147" s="29" t="str">
        <f t="array" ref="S147">IF(R147="","",IFERROR(XLOOKUP(R147,'Live Medal Table'!$B$2:$B$94,'Live Medal Table'!$C$2:$C$94,"???"),"???"))</f>
        <v>NED</v>
      </c>
      <c r="T147" s="29">
        <f t="array" ref="T147">IF(R147="",0,IFERROR(XLOOKUP(R147,'Live Medal Table'!$B$2:$B$94,'Live Medal Table'!$F$2:$F$94,0),0))</f>
        <v>2</v>
      </c>
      <c r="U147" s="29">
        <f t="array" ref="U147">IF(R147="",0,IFERROR(XLOOKUP(R147,'Live Medal Table'!$B$2:$B$94,'Live Medal Table'!$G$2:$G$94,0),0))</f>
        <v>10</v>
      </c>
      <c r="V147" s="29">
        <f t="array" ref="V147">IF(R147="",0,IFERROR(XLOOKUP(R147,'Live Medal Table'!$B$2:$B$94,'Live Medal Table'!$H$2:$H$94,0),0))</f>
        <v>7</v>
      </c>
      <c r="W147" s="29">
        <f t="array" ref="W147">IF(R147="",0,IFERROR(XLOOKUP(R147,'Live Medal Table'!$B$2:$B$94,'Live Medal Table'!$I$2:$I$94,0),0))</f>
        <v>3</v>
      </c>
      <c r="X147" s="29">
        <f t="shared" si="1"/>
        <v>60</v>
      </c>
      <c r="Y147" s="29">
        <f t="shared" si="2"/>
        <v>28</v>
      </c>
      <c r="Z147" s="29">
        <f t="shared" si="3"/>
        <v>6</v>
      </c>
      <c r="AA147" s="29">
        <f t="shared" si="4"/>
        <v>94</v>
      </c>
      <c r="AB147" s="29" t="b">
        <f t="array" ref="AB147">IF(R147="",FALSE,IFERROR(AND(ISNUMBER(MATCH(R147,'Live Medal Table'!$B$2:$B$94,0)),XLOOKUP(R147,'Live Medal Table'!$B$2:$B$94,Countries!$I$2:$I$72,FALSE)),FALSE))</f>
        <v>0</v>
      </c>
    </row>
    <row r="148" ht="15.75" hidden="1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29"/>
      <c r="M148" s="29"/>
      <c r="N148" s="29" t="str">
        <f t="array" ref="N148">IFERROR(IF(INDEX(Entries!$C$2:$C$47,19)="","",INDEX(Entries!$Q$2:$Q$47,19)),"")</f>
        <v>Tyler_Wicks_Wicks</v>
      </c>
      <c r="O148" s="29" t="str">
        <f t="array" ref="O148">IF(N148="","",IFERROR(INDEX(Entries!$E$2:$E$47,19),""))</f>
        <v>Wicks</v>
      </c>
      <c r="P148" s="29" t="str">
        <f>IF(N148="","","Tier2_Pick2")</f>
        <v>Tier2_Pick2</v>
      </c>
      <c r="Q148" s="29">
        <f t="shared" si="41"/>
        <v>2</v>
      </c>
      <c r="R148" s="29" t="str">
        <f t="array" ref="R148">IF(N148="","",IFERROR(INDEX(Entries!$N$2:$N$47,19),""))</f>
        <v>South Korea</v>
      </c>
      <c r="S148" s="29" t="str">
        <f t="array" ref="S148">IF(R148="","",IFERROR(XLOOKUP(R148,'Live Medal Table'!$B$2:$B$94,'Live Medal Table'!$C$2:$C$94,"???"),"???"))</f>
        <v>KOR</v>
      </c>
      <c r="T148" s="29">
        <f t="array" ref="T148">IF(R148="",0,IFERROR(XLOOKUP(R148,'Live Medal Table'!$B$2:$B$94,'Live Medal Table'!$F$2:$F$94,0),0))</f>
        <v>2</v>
      </c>
      <c r="U148" s="29">
        <f t="array" ref="U148">IF(R148="",0,IFERROR(XLOOKUP(R148,'Live Medal Table'!$B$2:$B$94,'Live Medal Table'!$G$2:$G$94,0),0))</f>
        <v>3</v>
      </c>
      <c r="V148" s="29">
        <f t="array" ref="V148">IF(R148="",0,IFERROR(XLOOKUP(R148,'Live Medal Table'!$B$2:$B$94,'Live Medal Table'!$H$2:$H$94,0),0))</f>
        <v>4</v>
      </c>
      <c r="W148" s="29">
        <f t="array" ref="W148">IF(R148="",0,IFERROR(XLOOKUP(R148,'Live Medal Table'!$B$2:$B$94,'Live Medal Table'!$I$2:$I$94,0),0))</f>
        <v>3</v>
      </c>
      <c r="X148" s="29">
        <f t="shared" si="1"/>
        <v>18</v>
      </c>
      <c r="Y148" s="29">
        <f t="shared" si="2"/>
        <v>16</v>
      </c>
      <c r="Z148" s="29">
        <f t="shared" si="3"/>
        <v>6</v>
      </c>
      <c r="AA148" s="29">
        <f t="shared" si="4"/>
        <v>40</v>
      </c>
      <c r="AB148" s="29" t="b">
        <f t="array" ref="AB148">IF(R148="",FALSE,IFERROR(AND(ISNUMBER(MATCH(R148,'Live Medal Table'!$B$2:$B$94,0)),XLOOKUP(R148,'Live Medal Table'!$B$2:$B$94,Countries!$I$2:$I$72,FALSE)),FALSE))</f>
        <v>0</v>
      </c>
    </row>
    <row r="149" ht="15.75" hidden="1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29"/>
      <c r="M149" s="29"/>
      <c r="N149" s="29" t="str">
        <f t="array" ref="N149">IFERROR(IF(INDEX(Entries!$C$2:$C$47,19)="","",INDEX(Entries!$Q$2:$Q$47,19)),"")</f>
        <v>Tyler_Wicks_Wicks</v>
      </c>
      <c r="O149" s="29" t="str">
        <f t="array" ref="O149">IF(N149="","",IFERROR(INDEX(Entries!$E$2:$E$47,19),""))</f>
        <v>Wicks</v>
      </c>
      <c r="P149" s="29" t="str">
        <f>IF(N149="","","Tier3_Pick1")</f>
        <v>Tier3_Pick1</v>
      </c>
      <c r="Q149" s="29">
        <f>IF(N149="","",3)</f>
        <v>3</v>
      </c>
      <c r="R149" s="29" t="str">
        <f t="array" ref="R149">IF(N149="","",IFERROR(INDEX(Entries!$H$2:$H$47,19),""))</f>
        <v>Japan</v>
      </c>
      <c r="S149" s="29" t="str">
        <f t="array" ref="S149">IF(R149="","",IFERROR(XLOOKUP(R149,'Live Medal Table'!$B$2:$B$94,'Live Medal Table'!$C$2:$C$94,"???"),"???"))</f>
        <v>JPN</v>
      </c>
      <c r="T149" s="29">
        <f t="array" ref="T149">IF(R149="",0,IFERROR(XLOOKUP(R149,'Live Medal Table'!$B$2:$B$94,'Live Medal Table'!$F$2:$F$94,0),0))</f>
        <v>3</v>
      </c>
      <c r="U149" s="29">
        <f t="array" ref="U149">IF(R149="",0,IFERROR(XLOOKUP(R149,'Live Medal Table'!$B$2:$B$94,'Live Medal Table'!$G$2:$G$94,0),0))</f>
        <v>5</v>
      </c>
      <c r="V149" s="29">
        <f t="array" ref="V149">IF(R149="",0,IFERROR(XLOOKUP(R149,'Live Medal Table'!$B$2:$B$94,'Live Medal Table'!$H$2:$H$94,0),0))</f>
        <v>7</v>
      </c>
      <c r="W149" s="29">
        <f t="array" ref="W149">IF(R149="",0,IFERROR(XLOOKUP(R149,'Live Medal Table'!$B$2:$B$94,'Live Medal Table'!$I$2:$I$94,0),0))</f>
        <v>12</v>
      </c>
      <c r="X149" s="29">
        <f t="shared" si="1"/>
        <v>45</v>
      </c>
      <c r="Y149" s="29">
        <f t="shared" si="2"/>
        <v>42</v>
      </c>
      <c r="Z149" s="29">
        <f t="shared" si="3"/>
        <v>36</v>
      </c>
      <c r="AA149" s="29">
        <f t="shared" si="4"/>
        <v>123</v>
      </c>
      <c r="AB149" s="29" t="b">
        <f t="array" ref="AB149">IF(R149="",FALSE,IFERROR(AND(ISNUMBER(MATCH(R149,'Live Medal Table'!$B$2:$B$94,0)),XLOOKUP(R149,'Live Medal Table'!$B$2:$B$94,Countries!$I$2:$I$72,FALSE)),FALSE))</f>
        <v>0</v>
      </c>
    </row>
    <row r="150" ht="15.75" hidden="1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29"/>
      <c r="M150" s="29"/>
      <c r="N150" s="29" t="str">
        <f t="array" ref="N150">IFERROR(IF(INDEX(Entries!$C$2:$C$47,19)="","",INDEX(Entries!$Q$2:$Q$47,19)),"")</f>
        <v>Tyler_Wicks_Wicks</v>
      </c>
      <c r="O150" s="29" t="str">
        <f t="array" ref="O150">IF(N150="","",IFERROR(INDEX(Entries!$E$2:$E$47,19),""))</f>
        <v>Wicks</v>
      </c>
      <c r="P150" s="29" t="str">
        <f>IF(N150="","","Tier4_Pick1")</f>
        <v>Tier4_Pick1</v>
      </c>
      <c r="Q150" s="29">
        <f>IF(N150="","",4)</f>
        <v>4</v>
      </c>
      <c r="R150" s="29" t="str">
        <f t="array" ref="R150">IF(N150="","",IFERROR(INDEX(Entries!$I$2:$I$47,19),""))</f>
        <v>Finland</v>
      </c>
      <c r="S150" s="29" t="str">
        <f t="array" ref="S150">IF(R150="","",IFERROR(XLOOKUP(R150,'Live Medal Table'!$B$2:$B$94,'Live Medal Table'!$C$2:$C$94,"???"),"???"))</f>
        <v>FIN</v>
      </c>
      <c r="T150" s="29">
        <f t="array" ref="T150">IF(R150="",0,IFERROR(XLOOKUP(R150,'Live Medal Table'!$B$2:$B$94,'Live Medal Table'!$F$2:$F$94,0),0))</f>
        <v>6</v>
      </c>
      <c r="U150" s="29">
        <f t="array" ref="U150">IF(R150="",0,IFERROR(XLOOKUP(R150,'Live Medal Table'!$B$2:$B$94,'Live Medal Table'!$G$2:$G$94,0),0))</f>
        <v>0</v>
      </c>
      <c r="V150" s="29">
        <f t="array" ref="V150">IF(R150="",0,IFERROR(XLOOKUP(R150,'Live Medal Table'!$B$2:$B$94,'Live Medal Table'!$H$2:$H$94,0),0))</f>
        <v>1</v>
      </c>
      <c r="W150" s="29">
        <f t="array" ref="W150">IF(R150="",0,IFERROR(XLOOKUP(R150,'Live Medal Table'!$B$2:$B$94,'Live Medal Table'!$I$2:$I$94,0),0))</f>
        <v>5</v>
      </c>
      <c r="X150" s="29">
        <f t="shared" si="1"/>
        <v>0</v>
      </c>
      <c r="Y150" s="29">
        <f t="shared" si="2"/>
        <v>12</v>
      </c>
      <c r="Z150" s="29">
        <f t="shared" si="3"/>
        <v>30</v>
      </c>
      <c r="AA150" s="29">
        <f t="shared" si="4"/>
        <v>42</v>
      </c>
      <c r="AB150" s="29" t="b">
        <f t="array" ref="AB150">IF(R150="",FALSE,IFERROR(AND(ISNUMBER(MATCH(R150,'Live Medal Table'!$B$2:$B$94,0)),XLOOKUP(R150,'Live Medal Table'!$B$2:$B$94,Countries!$I$2:$I$72,FALSE)),FALSE))</f>
        <v>0</v>
      </c>
    </row>
    <row r="151" ht="15.75" hidden="1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29"/>
      <c r="M151" s="29"/>
      <c r="N151" s="29" t="str">
        <f t="array" ref="N151">IFERROR(IF(INDEX(Entries!$C$2:$C$47,19)="","",INDEX(Entries!$Q$2:$Q$47,19)),"")</f>
        <v>Tyler_Wicks_Wicks</v>
      </c>
      <c r="O151" s="29" t="str">
        <f t="array" ref="O151">IF(N151="","",IFERROR(INDEX(Entries!$E$2:$E$47,19),""))</f>
        <v>Wicks</v>
      </c>
      <c r="P151" s="29" t="str">
        <f>IF(N151="","","Tier5_Pick1")</f>
        <v>Tier5_Pick1</v>
      </c>
      <c r="Q151" s="29">
        <f>IF(N151="","",5)</f>
        <v>5</v>
      </c>
      <c r="R151" s="29" t="str">
        <f t="array" ref="R151">IF(N151="","",IFERROR(INDEX(Entries!$J$2:$J$47,19),""))</f>
        <v>Poland</v>
      </c>
      <c r="S151" s="29" t="str">
        <f t="array" ref="S151">IF(R151="","",IFERROR(XLOOKUP(R151,'Live Medal Table'!$B$2:$B$94,'Live Medal Table'!$C$2:$C$94,"???"),"???"))</f>
        <v>POL</v>
      </c>
      <c r="T151" s="29">
        <f t="array" ref="T151">IF(R151="",0,IFERROR(XLOOKUP(R151,'Live Medal Table'!$B$2:$B$94,'Live Medal Table'!$F$2:$F$94,0),0))</f>
        <v>10</v>
      </c>
      <c r="U151" s="29">
        <f t="array" ref="U151">IF(R151="",0,IFERROR(XLOOKUP(R151,'Live Medal Table'!$B$2:$B$94,'Live Medal Table'!$G$2:$G$94,0),0))</f>
        <v>0</v>
      </c>
      <c r="V151" s="29">
        <f t="array" ref="V151">IF(R151="",0,IFERROR(XLOOKUP(R151,'Live Medal Table'!$B$2:$B$94,'Live Medal Table'!$H$2:$H$94,0),0))</f>
        <v>3</v>
      </c>
      <c r="W151" s="29">
        <f t="array" ref="W151">IF(R151="",0,IFERROR(XLOOKUP(R151,'Live Medal Table'!$B$2:$B$94,'Live Medal Table'!$I$2:$I$94,0),0))</f>
        <v>1</v>
      </c>
      <c r="X151" s="29">
        <f t="shared" si="1"/>
        <v>0</v>
      </c>
      <c r="Y151" s="29">
        <f t="shared" si="2"/>
        <v>60</v>
      </c>
      <c r="Z151" s="29">
        <f t="shared" si="3"/>
        <v>10</v>
      </c>
      <c r="AA151" s="29">
        <f t="shared" si="4"/>
        <v>70</v>
      </c>
      <c r="AB151" s="29" t="b">
        <f t="array" ref="AB151">IF(R151="",FALSE,IFERROR(AND(ISNUMBER(MATCH(R151,'Live Medal Table'!$B$2:$B$94,0)),XLOOKUP(R151,'Live Medal Table'!$B$2:$B$94,Countries!$I$2:$I$72,FALSE)),FALSE))</f>
        <v>0</v>
      </c>
    </row>
    <row r="152" ht="15.75" hidden="1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29"/>
      <c r="M152" s="29"/>
      <c r="N152" s="29" t="str">
        <f t="array" ref="N152">IFERROR(IF(INDEX(Entries!$C$2:$C$47,19)="","",INDEX(Entries!$Q$2:$Q$47,19)),"")</f>
        <v>Tyler_Wicks_Wicks</v>
      </c>
      <c r="O152" s="29" t="str">
        <f t="array" ref="O152">IF(N152="","",IFERROR(INDEX(Entries!$E$2:$E$47,19),""))</f>
        <v>Wicks</v>
      </c>
      <c r="P152" s="29" t="str">
        <f>IF(N152="","","Tier6_Pick1")</f>
        <v>Tier6_Pick1</v>
      </c>
      <c r="Q152" s="29">
        <f t="shared" ref="Q152:Q153" si="42">IF(N152="","",6)</f>
        <v>6</v>
      </c>
      <c r="R152" s="29" t="str">
        <f t="array" ref="R152">IF(N152="","",IFERROR(INDEX(Entries!$O$2:$O$47,19),""))</f>
        <v>Croatia</v>
      </c>
      <c r="S152" s="29" t="str">
        <f t="array" ref="S152">IF(R152="","",IFERROR(XLOOKUP(R152,'Live Medal Table'!$B$2:$B$94,'Live Medal Table'!$C$2:$C$94,"???"),"???"))</f>
        <v>CRO</v>
      </c>
      <c r="T152" s="29">
        <f t="array" ref="T152">IF(R152="",0,IFERROR(XLOOKUP(R152,'Live Medal Table'!$B$2:$B$94,'Live Medal Table'!$F$2:$F$94,0),0))</f>
        <v>20</v>
      </c>
      <c r="U152" s="29">
        <f t="array" ref="U152">IF(R152="",0,IFERROR(XLOOKUP(R152,'Live Medal Table'!$B$2:$B$94,'Live Medal Table'!$G$2:$G$94,0),0))</f>
        <v>0</v>
      </c>
      <c r="V152" s="29">
        <f t="array" ref="V152">IF(R152="",0,IFERROR(XLOOKUP(R152,'Live Medal Table'!$B$2:$B$94,'Live Medal Table'!$H$2:$H$94,0),0))</f>
        <v>0</v>
      </c>
      <c r="W152" s="29">
        <f t="array" ref="W152">IF(R152="",0,IFERROR(XLOOKUP(R152,'Live Medal Table'!$B$2:$B$94,'Live Medal Table'!$I$2:$I$94,0),0))</f>
        <v>0</v>
      </c>
      <c r="X152" s="29">
        <f t="shared" si="1"/>
        <v>0</v>
      </c>
      <c r="Y152" s="29">
        <f t="shared" si="2"/>
        <v>0</v>
      </c>
      <c r="Z152" s="29">
        <f t="shared" si="3"/>
        <v>0</v>
      </c>
      <c r="AA152" s="29">
        <f t="shared" si="4"/>
        <v>0</v>
      </c>
      <c r="AB152" s="29" t="b">
        <f t="array" ref="AB152">IF(R152="",FALSE,IFERROR(AND(ISNUMBER(MATCH(R152,'Live Medal Table'!$B$2:$B$94,0)),XLOOKUP(R152,'Live Medal Table'!$B$2:$B$94,Countries!$I$2:$I$72,FALSE)),FALSE))</f>
        <v>0</v>
      </c>
    </row>
    <row r="153" ht="15.75" hidden="1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29"/>
      <c r="M153" s="29"/>
      <c r="N153" s="29" t="str">
        <f t="array" ref="N153">IFERROR(IF(INDEX(Entries!$C$2:$C$47,19)="","",INDEX(Entries!$Q$2:$Q$47,19)),"")</f>
        <v>Tyler_Wicks_Wicks</v>
      </c>
      <c r="O153" s="29" t="str">
        <f t="array" ref="O153">IF(N153="","",IFERROR(INDEX(Entries!$E$2:$E$47,19),""))</f>
        <v>Wicks</v>
      </c>
      <c r="P153" s="29" t="str">
        <f>IF(N153="","","Tier6_Pick2")</f>
        <v>Tier6_Pick2</v>
      </c>
      <c r="Q153" s="29">
        <f t="shared" si="42"/>
        <v>6</v>
      </c>
      <c r="R153" s="29" t="str">
        <f t="array" ref="R153">IF(N153="","",IFERROR(INDEX(Entries!$P$2:$P$47,19),""))</f>
        <v>Israel</v>
      </c>
      <c r="S153" s="29" t="str">
        <f t="array" ref="S153">IF(R153="","",IFERROR(XLOOKUP(R153,'Live Medal Table'!$B$2:$B$94,'Live Medal Table'!$C$2:$C$94,"???"),"???"))</f>
        <v>ISR</v>
      </c>
      <c r="T153" s="29">
        <f t="array" ref="T153">IF(R153="",0,IFERROR(XLOOKUP(R153,'Live Medal Table'!$B$2:$B$94,'Live Medal Table'!$F$2:$F$94,0),0))</f>
        <v>20</v>
      </c>
      <c r="U153" s="29">
        <f t="array" ref="U153">IF(R153="",0,IFERROR(XLOOKUP(R153,'Live Medal Table'!$B$2:$B$94,'Live Medal Table'!$G$2:$G$94,0),0))</f>
        <v>0</v>
      </c>
      <c r="V153" s="29">
        <f t="array" ref="V153">IF(R153="",0,IFERROR(XLOOKUP(R153,'Live Medal Table'!$B$2:$B$94,'Live Medal Table'!$H$2:$H$94,0),0))</f>
        <v>0</v>
      </c>
      <c r="W153" s="29">
        <f t="array" ref="W153">IF(R153="",0,IFERROR(XLOOKUP(R153,'Live Medal Table'!$B$2:$B$94,'Live Medal Table'!$I$2:$I$94,0),0))</f>
        <v>0</v>
      </c>
      <c r="X153" s="29">
        <f t="shared" si="1"/>
        <v>0</v>
      </c>
      <c r="Y153" s="29">
        <f t="shared" si="2"/>
        <v>0</v>
      </c>
      <c r="Z153" s="29">
        <f t="shared" si="3"/>
        <v>0</v>
      </c>
      <c r="AA153" s="29">
        <f t="shared" si="4"/>
        <v>0</v>
      </c>
      <c r="AB153" s="29" t="b">
        <f t="array" ref="AB153">IF(R153="",FALSE,IFERROR(AND(ISNUMBER(MATCH(R153,'Live Medal Table'!$B$2:$B$94,0)),XLOOKUP(R153,'Live Medal Table'!$B$2:$B$94,Countries!$I$2:$I$72,FALSE)),FALSE))</f>
        <v>0</v>
      </c>
    </row>
    <row r="154" ht="15.75" hidden="1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29"/>
      <c r="M154" s="29"/>
      <c r="N154" s="29" t="str">
        <f t="array" ref="N154">IFERROR(IF(INDEX(Entries!$C$2:$C$47,20)="","",INDEX(Entries!$Q$2:$Q$47,20)),"")</f>
        <v>Shane_Supple_Brad’s Cousin’s Cousin</v>
      </c>
      <c r="O154" s="29" t="str">
        <f t="array" ref="O154">IF(N154="","",IFERROR(INDEX(Entries!$E$2:$E$47,20),""))</f>
        <v>Brad’s Cousin’s Cousin</v>
      </c>
      <c r="P154" s="29" t="str">
        <f>IF(N154="","","Tier1_Pick1")</f>
        <v>Tier1_Pick1</v>
      </c>
      <c r="Q154" s="29">
        <f>IF(N154="","",1)</f>
        <v>1</v>
      </c>
      <c r="R154" s="29" t="str">
        <f t="array" ref="R154">IF(N154="","",IFERROR(INDEX(Entries!$F$2:$F$47,20),""))</f>
        <v>Norway</v>
      </c>
      <c r="S154" s="29" t="str">
        <f t="array" ref="S154">IF(R154="","",IFERROR(XLOOKUP(R154,'Live Medal Table'!$B$2:$B$94,'Live Medal Table'!$C$2:$C$94,"???"),"???"))</f>
        <v>NOR</v>
      </c>
      <c r="T154" s="29">
        <f t="array" ref="T154">IF(R154="",0,IFERROR(XLOOKUP(R154,'Live Medal Table'!$B$2:$B$94,'Live Medal Table'!$F$2:$F$94,0),0))</f>
        <v>1</v>
      </c>
      <c r="U154" s="29">
        <f t="array" ref="U154">IF(R154="",0,IFERROR(XLOOKUP(R154,'Live Medal Table'!$B$2:$B$94,'Live Medal Table'!$G$2:$G$94,0),0))</f>
        <v>18</v>
      </c>
      <c r="V154" s="29">
        <f t="array" ref="V154">IF(R154="",0,IFERROR(XLOOKUP(R154,'Live Medal Table'!$B$2:$B$94,'Live Medal Table'!$H$2:$H$94,0),0))</f>
        <v>12</v>
      </c>
      <c r="W154" s="29">
        <f t="array" ref="W154">IF(R154="",0,IFERROR(XLOOKUP(R154,'Live Medal Table'!$B$2:$B$94,'Live Medal Table'!$I$2:$I$94,0),0))</f>
        <v>11</v>
      </c>
      <c r="X154" s="29">
        <f t="shared" si="1"/>
        <v>54</v>
      </c>
      <c r="Y154" s="29">
        <f t="shared" si="2"/>
        <v>24</v>
      </c>
      <c r="Z154" s="29">
        <f t="shared" si="3"/>
        <v>11</v>
      </c>
      <c r="AA154" s="29">
        <f t="shared" si="4"/>
        <v>89</v>
      </c>
      <c r="AB154" s="29" t="b">
        <f t="array" ref="AB154">IF(R154="",FALSE,IFERROR(AND(ISNUMBER(MATCH(R154,'Live Medal Table'!$B$2:$B$94,0)),XLOOKUP(R154,'Live Medal Table'!$B$2:$B$94,Countries!$I$2:$I$72,FALSE)),FALSE))</f>
        <v>0</v>
      </c>
    </row>
    <row r="155" ht="15.75" hidden="1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29"/>
      <c r="M155" s="29"/>
      <c r="N155" s="29" t="str">
        <f t="array" ref="N155">IFERROR(IF(INDEX(Entries!$C$2:$C$47,20)="","",INDEX(Entries!$Q$2:$Q$47,20)),"")</f>
        <v>Shane_Supple_Brad’s Cousin’s Cousin</v>
      </c>
      <c r="O155" s="29" t="str">
        <f t="array" ref="O155">IF(N155="","",IFERROR(INDEX(Entries!$E$2:$E$47,20),""))</f>
        <v>Brad’s Cousin’s Cousin</v>
      </c>
      <c r="P155" s="29" t="str">
        <f>IF(N155="","","Tier2_Pick1")</f>
        <v>Tier2_Pick1</v>
      </c>
      <c r="Q155" s="29">
        <f t="shared" ref="Q155:Q156" si="43">IF(N155="","",2)</f>
        <v>2</v>
      </c>
      <c r="R155" s="29" t="str">
        <f t="array" ref="R155">IF(N155="","",IFERROR(INDEX(Entries!$M$2:$M$47,20),""))</f>
        <v>Netherlands</v>
      </c>
      <c r="S155" s="29" t="str">
        <f t="array" ref="S155">IF(R155="","",IFERROR(XLOOKUP(R155,'Live Medal Table'!$B$2:$B$94,'Live Medal Table'!$C$2:$C$94,"???"),"???"))</f>
        <v>NED</v>
      </c>
      <c r="T155" s="29">
        <f t="array" ref="T155">IF(R155="",0,IFERROR(XLOOKUP(R155,'Live Medal Table'!$B$2:$B$94,'Live Medal Table'!$F$2:$F$94,0),0))</f>
        <v>2</v>
      </c>
      <c r="U155" s="29">
        <f t="array" ref="U155">IF(R155="",0,IFERROR(XLOOKUP(R155,'Live Medal Table'!$B$2:$B$94,'Live Medal Table'!$G$2:$G$94,0),0))</f>
        <v>10</v>
      </c>
      <c r="V155" s="29">
        <f t="array" ref="V155">IF(R155="",0,IFERROR(XLOOKUP(R155,'Live Medal Table'!$B$2:$B$94,'Live Medal Table'!$H$2:$H$94,0),0))</f>
        <v>7</v>
      </c>
      <c r="W155" s="29">
        <f t="array" ref="W155">IF(R155="",0,IFERROR(XLOOKUP(R155,'Live Medal Table'!$B$2:$B$94,'Live Medal Table'!$I$2:$I$94,0),0))</f>
        <v>3</v>
      </c>
      <c r="X155" s="29">
        <f t="shared" si="1"/>
        <v>60</v>
      </c>
      <c r="Y155" s="29">
        <f t="shared" si="2"/>
        <v>28</v>
      </c>
      <c r="Z155" s="29">
        <f t="shared" si="3"/>
        <v>6</v>
      </c>
      <c r="AA155" s="29">
        <f t="shared" si="4"/>
        <v>94</v>
      </c>
      <c r="AB155" s="29" t="b">
        <f t="array" ref="AB155">IF(R155="",FALSE,IFERROR(AND(ISNUMBER(MATCH(R155,'Live Medal Table'!$B$2:$B$94,0)),XLOOKUP(R155,'Live Medal Table'!$B$2:$B$94,Countries!$I$2:$I$72,FALSE)),FALSE))</f>
        <v>0</v>
      </c>
    </row>
    <row r="156" ht="15.75" hidden="1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29"/>
      <c r="M156" s="29"/>
      <c r="N156" s="29" t="str">
        <f t="array" ref="N156">IFERROR(IF(INDEX(Entries!$C$2:$C$47,20)="","",INDEX(Entries!$Q$2:$Q$47,20)),"")</f>
        <v>Shane_Supple_Brad’s Cousin’s Cousin</v>
      </c>
      <c r="O156" s="29" t="str">
        <f t="array" ref="O156">IF(N156="","",IFERROR(INDEX(Entries!$E$2:$E$47,20),""))</f>
        <v>Brad’s Cousin’s Cousin</v>
      </c>
      <c r="P156" s="29" t="str">
        <f>IF(N156="","","Tier2_Pick2")</f>
        <v>Tier2_Pick2</v>
      </c>
      <c r="Q156" s="29">
        <f t="shared" si="43"/>
        <v>2</v>
      </c>
      <c r="R156" s="29" t="str">
        <f t="array" ref="R156">IF(N156="","",IFERROR(INDEX(Entries!$N$2:$N$47,20),""))</f>
        <v>Switzerland</v>
      </c>
      <c r="S156" s="29" t="str">
        <f t="array" ref="S156">IF(R156="","",IFERROR(XLOOKUP(R156,'Live Medal Table'!$B$2:$B$94,'Live Medal Table'!$C$2:$C$94,"???"),"???"))</f>
        <v>SUI</v>
      </c>
      <c r="T156" s="29">
        <f t="array" ref="T156">IF(R156="",0,IFERROR(XLOOKUP(R156,'Live Medal Table'!$B$2:$B$94,'Live Medal Table'!$F$2:$F$94,0),0))</f>
        <v>2</v>
      </c>
      <c r="U156" s="29">
        <f t="array" ref="U156">IF(R156="",0,IFERROR(XLOOKUP(R156,'Live Medal Table'!$B$2:$B$94,'Live Medal Table'!$G$2:$G$94,0),0))</f>
        <v>6</v>
      </c>
      <c r="V156" s="29">
        <f t="array" ref="V156">IF(R156="",0,IFERROR(XLOOKUP(R156,'Live Medal Table'!$B$2:$B$94,'Live Medal Table'!$H$2:$H$94,0),0))</f>
        <v>9</v>
      </c>
      <c r="W156" s="29">
        <f t="array" ref="W156">IF(R156="",0,IFERROR(XLOOKUP(R156,'Live Medal Table'!$B$2:$B$94,'Live Medal Table'!$I$2:$I$94,0),0))</f>
        <v>8</v>
      </c>
      <c r="X156" s="29">
        <f t="shared" si="1"/>
        <v>36</v>
      </c>
      <c r="Y156" s="29">
        <f t="shared" si="2"/>
        <v>36</v>
      </c>
      <c r="Z156" s="29">
        <f t="shared" si="3"/>
        <v>16</v>
      </c>
      <c r="AA156" s="29">
        <f t="shared" si="4"/>
        <v>88</v>
      </c>
      <c r="AB156" s="29" t="b">
        <f t="array" ref="AB156">IF(R156="",FALSE,IFERROR(AND(ISNUMBER(MATCH(R156,'Live Medal Table'!$B$2:$B$94,0)),XLOOKUP(R156,'Live Medal Table'!$B$2:$B$94,Countries!$I$2:$I$72,FALSE)),FALSE))</f>
        <v>0</v>
      </c>
    </row>
    <row r="157" ht="15.75" hidden="1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29"/>
      <c r="M157" s="29"/>
      <c r="N157" s="29" t="str">
        <f t="array" ref="N157">IFERROR(IF(INDEX(Entries!$C$2:$C$47,20)="","",INDEX(Entries!$Q$2:$Q$47,20)),"")</f>
        <v>Shane_Supple_Brad’s Cousin’s Cousin</v>
      </c>
      <c r="O157" s="29" t="str">
        <f t="array" ref="O157">IF(N157="","",IFERROR(INDEX(Entries!$E$2:$E$47,20),""))</f>
        <v>Brad’s Cousin’s Cousin</v>
      </c>
      <c r="P157" s="29" t="str">
        <f>IF(N157="","","Tier3_Pick1")</f>
        <v>Tier3_Pick1</v>
      </c>
      <c r="Q157" s="29">
        <f>IF(N157="","",3)</f>
        <v>3</v>
      </c>
      <c r="R157" s="29" t="str">
        <f t="array" ref="R157">IF(N157="","",IFERROR(INDEX(Entries!$H$2:$H$47,20),""))</f>
        <v>Italy</v>
      </c>
      <c r="S157" s="29" t="str">
        <f t="array" ref="S157">IF(R157="","",IFERROR(XLOOKUP(R157,'Live Medal Table'!$B$2:$B$94,'Live Medal Table'!$C$2:$C$94,"???"),"???"))</f>
        <v>ITA</v>
      </c>
      <c r="T157" s="29">
        <f t="array" ref="T157">IF(R157="",0,IFERROR(XLOOKUP(R157,'Live Medal Table'!$B$2:$B$94,'Live Medal Table'!$F$2:$F$94,0),0))</f>
        <v>3</v>
      </c>
      <c r="U157" s="29">
        <f t="array" ref="U157">IF(R157="",0,IFERROR(XLOOKUP(R157,'Live Medal Table'!$B$2:$B$94,'Live Medal Table'!$G$2:$G$94,0),0))</f>
        <v>10</v>
      </c>
      <c r="V157" s="29">
        <f t="array" ref="V157">IF(R157="",0,IFERROR(XLOOKUP(R157,'Live Medal Table'!$B$2:$B$94,'Live Medal Table'!$H$2:$H$94,0),0))</f>
        <v>6</v>
      </c>
      <c r="W157" s="29">
        <f t="array" ref="W157">IF(R157="",0,IFERROR(XLOOKUP(R157,'Live Medal Table'!$B$2:$B$94,'Live Medal Table'!$I$2:$I$94,0),0))</f>
        <v>14</v>
      </c>
      <c r="X157" s="29">
        <f t="shared" si="1"/>
        <v>90</v>
      </c>
      <c r="Y157" s="29">
        <f t="shared" si="2"/>
        <v>36</v>
      </c>
      <c r="Z157" s="29">
        <f t="shared" si="3"/>
        <v>42</v>
      </c>
      <c r="AA157" s="29">
        <f t="shared" si="4"/>
        <v>168</v>
      </c>
      <c r="AB157" s="29" t="b">
        <f t="array" ref="AB157">IF(R157="",FALSE,IFERROR(AND(ISNUMBER(MATCH(R157,'Live Medal Table'!$B$2:$B$94,0)),XLOOKUP(R157,'Live Medal Table'!$B$2:$B$94,Countries!$I$2:$I$72,FALSE)),FALSE))</f>
        <v>0</v>
      </c>
    </row>
    <row r="158" ht="15.75" hidden="1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29"/>
      <c r="M158" s="29"/>
      <c r="N158" s="29" t="str">
        <f t="array" ref="N158">IFERROR(IF(INDEX(Entries!$C$2:$C$47,20)="","",INDEX(Entries!$Q$2:$Q$47,20)),"")</f>
        <v>Shane_Supple_Brad’s Cousin’s Cousin</v>
      </c>
      <c r="O158" s="29" t="str">
        <f t="array" ref="O158">IF(N158="","",IFERROR(INDEX(Entries!$E$2:$E$47,20),""))</f>
        <v>Brad’s Cousin’s Cousin</v>
      </c>
      <c r="P158" s="29" t="str">
        <f>IF(N158="","","Tier4_Pick1")</f>
        <v>Tier4_Pick1</v>
      </c>
      <c r="Q158" s="29">
        <f>IF(N158="","",4)</f>
        <v>4</v>
      </c>
      <c r="R158" s="29" t="str">
        <f t="array" ref="R158">IF(N158="","",IFERROR(INDEX(Entries!$I$2:$I$47,20),""))</f>
        <v>Finland</v>
      </c>
      <c r="S158" s="29" t="str">
        <f t="array" ref="S158">IF(R158="","",IFERROR(XLOOKUP(R158,'Live Medal Table'!$B$2:$B$94,'Live Medal Table'!$C$2:$C$94,"???"),"???"))</f>
        <v>FIN</v>
      </c>
      <c r="T158" s="29">
        <f t="array" ref="T158">IF(R158="",0,IFERROR(XLOOKUP(R158,'Live Medal Table'!$B$2:$B$94,'Live Medal Table'!$F$2:$F$94,0),0))</f>
        <v>6</v>
      </c>
      <c r="U158" s="29">
        <f t="array" ref="U158">IF(R158="",0,IFERROR(XLOOKUP(R158,'Live Medal Table'!$B$2:$B$94,'Live Medal Table'!$G$2:$G$94,0),0))</f>
        <v>0</v>
      </c>
      <c r="V158" s="29">
        <f t="array" ref="V158">IF(R158="",0,IFERROR(XLOOKUP(R158,'Live Medal Table'!$B$2:$B$94,'Live Medal Table'!$H$2:$H$94,0),0))</f>
        <v>1</v>
      </c>
      <c r="W158" s="29">
        <f t="array" ref="W158">IF(R158="",0,IFERROR(XLOOKUP(R158,'Live Medal Table'!$B$2:$B$94,'Live Medal Table'!$I$2:$I$94,0),0))</f>
        <v>5</v>
      </c>
      <c r="X158" s="29">
        <f t="shared" si="1"/>
        <v>0</v>
      </c>
      <c r="Y158" s="29">
        <f t="shared" si="2"/>
        <v>12</v>
      </c>
      <c r="Z158" s="29">
        <f t="shared" si="3"/>
        <v>30</v>
      </c>
      <c r="AA158" s="29">
        <f t="shared" si="4"/>
        <v>42</v>
      </c>
      <c r="AB158" s="29" t="b">
        <f t="array" ref="AB158">IF(R158="",FALSE,IFERROR(AND(ISNUMBER(MATCH(R158,'Live Medal Table'!$B$2:$B$94,0)),XLOOKUP(R158,'Live Medal Table'!$B$2:$B$94,Countries!$I$2:$I$72,FALSE)),FALSE))</f>
        <v>0</v>
      </c>
    </row>
    <row r="159" ht="15.75" hidden="1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29"/>
      <c r="M159" s="29"/>
      <c r="N159" s="29" t="str">
        <f t="array" ref="N159">IFERROR(IF(INDEX(Entries!$C$2:$C$47,20)="","",INDEX(Entries!$Q$2:$Q$47,20)),"")</f>
        <v>Shane_Supple_Brad’s Cousin’s Cousin</v>
      </c>
      <c r="O159" s="29" t="str">
        <f t="array" ref="O159">IF(N159="","",IFERROR(INDEX(Entries!$E$2:$E$47,20),""))</f>
        <v>Brad’s Cousin’s Cousin</v>
      </c>
      <c r="P159" s="29" t="str">
        <f>IF(N159="","","Tier5_Pick1")</f>
        <v>Tier5_Pick1</v>
      </c>
      <c r="Q159" s="29">
        <f>IF(N159="","",5)</f>
        <v>5</v>
      </c>
      <c r="R159" s="29" t="str">
        <f t="array" ref="R159">IF(N159="","",IFERROR(INDEX(Entries!$J$2:$J$47,20),""))</f>
        <v>Australia</v>
      </c>
      <c r="S159" s="29" t="str">
        <f t="array" ref="S159">IF(R159="","",IFERROR(XLOOKUP(R159,'Live Medal Table'!$B$2:$B$94,'Live Medal Table'!$C$2:$C$94,"???"),"???"))</f>
        <v>AUS</v>
      </c>
      <c r="T159" s="29">
        <f t="array" ref="T159">IF(R159="",0,IFERROR(XLOOKUP(R159,'Live Medal Table'!$B$2:$B$94,'Live Medal Table'!$F$2:$F$94,0),0))</f>
        <v>10</v>
      </c>
      <c r="U159" s="29">
        <f t="array" ref="U159">IF(R159="",0,IFERROR(XLOOKUP(R159,'Live Medal Table'!$B$2:$B$94,'Live Medal Table'!$G$2:$G$94,0),0))</f>
        <v>3</v>
      </c>
      <c r="V159" s="29">
        <f t="array" ref="V159">IF(R159="",0,IFERROR(XLOOKUP(R159,'Live Medal Table'!$B$2:$B$94,'Live Medal Table'!$H$2:$H$94,0),0))</f>
        <v>2</v>
      </c>
      <c r="W159" s="29">
        <f t="array" ref="W159">IF(R159="",0,IFERROR(XLOOKUP(R159,'Live Medal Table'!$B$2:$B$94,'Live Medal Table'!$I$2:$I$94,0),0))</f>
        <v>1</v>
      </c>
      <c r="X159" s="29">
        <f t="shared" si="1"/>
        <v>90</v>
      </c>
      <c r="Y159" s="29">
        <f t="shared" si="2"/>
        <v>40</v>
      </c>
      <c r="Z159" s="29">
        <f t="shared" si="3"/>
        <v>10</v>
      </c>
      <c r="AA159" s="29">
        <f t="shared" si="4"/>
        <v>140</v>
      </c>
      <c r="AB159" s="29" t="b">
        <f t="array" ref="AB159">IF(R159="",FALSE,IFERROR(AND(ISNUMBER(MATCH(R159,'Live Medal Table'!$B$2:$B$94,0)),XLOOKUP(R159,'Live Medal Table'!$B$2:$B$94,Countries!$I$2:$I$72,FALSE)),FALSE))</f>
        <v>0</v>
      </c>
    </row>
    <row r="160" ht="15.75" hidden="1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29"/>
      <c r="M160" s="29"/>
      <c r="N160" s="29" t="str">
        <f t="array" ref="N160">IFERROR(IF(INDEX(Entries!$C$2:$C$47,20)="","",INDEX(Entries!$Q$2:$Q$47,20)),"")</f>
        <v>Shane_Supple_Brad’s Cousin’s Cousin</v>
      </c>
      <c r="O160" s="29" t="str">
        <f t="array" ref="O160">IF(N160="","",IFERROR(INDEX(Entries!$E$2:$E$47,20),""))</f>
        <v>Brad’s Cousin’s Cousin</v>
      </c>
      <c r="P160" s="29" t="str">
        <f>IF(N160="","","Tier6_Pick1")</f>
        <v>Tier6_Pick1</v>
      </c>
      <c r="Q160" s="29">
        <f t="shared" ref="Q160:Q161" si="44">IF(N160="","",6)</f>
        <v>6</v>
      </c>
      <c r="R160" s="29" t="str">
        <f t="array" ref="R160">IF(N160="","",IFERROR(INDEX(Entries!$O$2:$O$47,20),""))</f>
        <v>Belgium</v>
      </c>
      <c r="S160" s="29" t="str">
        <f t="array" ref="S160">IF(R160="","",IFERROR(XLOOKUP(R160,'Live Medal Table'!$B$2:$B$94,'Live Medal Table'!$C$2:$C$94,"???"),"???"))</f>
        <v>BEL</v>
      </c>
      <c r="T160" s="29">
        <f t="array" ref="T160">IF(R160="",0,IFERROR(XLOOKUP(R160,'Live Medal Table'!$B$2:$B$94,'Live Medal Table'!$F$2:$F$94,0),0))</f>
        <v>20</v>
      </c>
      <c r="U160" s="29">
        <f t="array" ref="U160">IF(R160="",0,IFERROR(XLOOKUP(R160,'Live Medal Table'!$B$2:$B$94,'Live Medal Table'!$G$2:$G$94,0),0))</f>
        <v>0</v>
      </c>
      <c r="V160" s="29">
        <f t="array" ref="V160">IF(R160="",0,IFERROR(XLOOKUP(R160,'Live Medal Table'!$B$2:$B$94,'Live Medal Table'!$H$2:$H$94,0),0))</f>
        <v>0</v>
      </c>
      <c r="W160" s="29">
        <f t="array" ref="W160">IF(R160="",0,IFERROR(XLOOKUP(R160,'Live Medal Table'!$B$2:$B$94,'Live Medal Table'!$I$2:$I$94,0),0))</f>
        <v>1</v>
      </c>
      <c r="X160" s="29">
        <f t="shared" si="1"/>
        <v>0</v>
      </c>
      <c r="Y160" s="29">
        <f t="shared" si="2"/>
        <v>0</v>
      </c>
      <c r="Z160" s="29">
        <f t="shared" si="3"/>
        <v>20</v>
      </c>
      <c r="AA160" s="29">
        <f t="shared" si="4"/>
        <v>20</v>
      </c>
      <c r="AB160" s="29" t="b">
        <f t="array" ref="AB160">IF(R160="",FALSE,IFERROR(AND(ISNUMBER(MATCH(R160,'Live Medal Table'!$B$2:$B$94,0)),XLOOKUP(R160,'Live Medal Table'!$B$2:$B$94,Countries!$I$2:$I$72,FALSE)),FALSE))</f>
        <v>0</v>
      </c>
    </row>
    <row r="161" ht="15.75" hidden="1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29"/>
      <c r="M161" s="29"/>
      <c r="N161" s="29" t="str">
        <f t="array" ref="N161">IFERROR(IF(INDEX(Entries!$C$2:$C$47,20)="","",INDEX(Entries!$Q$2:$Q$47,20)),"")</f>
        <v>Shane_Supple_Brad’s Cousin’s Cousin</v>
      </c>
      <c r="O161" s="29" t="str">
        <f t="array" ref="O161">IF(N161="","",IFERROR(INDEX(Entries!$E$2:$E$47,20),""))</f>
        <v>Brad’s Cousin’s Cousin</v>
      </c>
      <c r="P161" s="29" t="str">
        <f>IF(N161="","","Tier6_Pick2")</f>
        <v>Tier6_Pick2</v>
      </c>
      <c r="Q161" s="29">
        <f t="shared" si="44"/>
        <v>6</v>
      </c>
      <c r="R161" s="29" t="str">
        <f t="array" ref="R161">IF(N161="","",IFERROR(INDEX(Entries!$P$2:$P$47,20),""))</f>
        <v>New Zealand</v>
      </c>
      <c r="S161" s="29" t="str">
        <f t="array" ref="S161">IF(R161="","",IFERROR(XLOOKUP(R161,'Live Medal Table'!$B$2:$B$94,'Live Medal Table'!$C$2:$C$94,"???"),"???"))</f>
        <v>NZL</v>
      </c>
      <c r="T161" s="29">
        <f t="array" ref="T161">IF(R161="",0,IFERROR(XLOOKUP(R161,'Live Medal Table'!$B$2:$B$94,'Live Medal Table'!$F$2:$F$94,0),0))</f>
        <v>20</v>
      </c>
      <c r="U161" s="29">
        <f t="array" ref="U161">IF(R161="",0,IFERROR(XLOOKUP(R161,'Live Medal Table'!$B$2:$B$94,'Live Medal Table'!$G$2:$G$94,0),0))</f>
        <v>0</v>
      </c>
      <c r="V161" s="29">
        <f t="array" ref="V161">IF(R161="",0,IFERROR(XLOOKUP(R161,'Live Medal Table'!$B$2:$B$94,'Live Medal Table'!$H$2:$H$94,0),0))</f>
        <v>2</v>
      </c>
      <c r="W161" s="29">
        <f t="array" ref="W161">IF(R161="",0,IFERROR(XLOOKUP(R161,'Live Medal Table'!$B$2:$B$94,'Live Medal Table'!$I$2:$I$94,0),0))</f>
        <v>1</v>
      </c>
      <c r="X161" s="29">
        <f t="shared" si="1"/>
        <v>0</v>
      </c>
      <c r="Y161" s="29">
        <f t="shared" si="2"/>
        <v>80</v>
      </c>
      <c r="Z161" s="29">
        <f t="shared" si="3"/>
        <v>20</v>
      </c>
      <c r="AA161" s="29">
        <f t="shared" si="4"/>
        <v>100</v>
      </c>
      <c r="AB161" s="29" t="b">
        <f t="array" ref="AB161">IF(R161="",FALSE,IFERROR(AND(ISNUMBER(MATCH(R161,'Live Medal Table'!$B$2:$B$94,0)),XLOOKUP(R161,'Live Medal Table'!$B$2:$B$94,Countries!$I$2:$I$72,FALSE)),FALSE))</f>
        <v>0</v>
      </c>
    </row>
    <row r="162" ht="15.75" hidden="1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29"/>
      <c r="M162" s="29"/>
      <c r="N162" s="29" t="str">
        <f t="array" ref="N162">IFERROR(IF(INDEX(Entries!$C$2:$C$47,21)="","",INDEX(Entries!$Q$2:$Q$47,21)),"")</f>
        <v>Jennie_Hagstrom_Jennie</v>
      </c>
      <c r="O162" s="29" t="str">
        <f t="array" ref="O162">IF(N162="","",IFERROR(INDEX(Entries!$E$2:$E$47,21),""))</f>
        <v>Jennie</v>
      </c>
      <c r="P162" s="29" t="str">
        <f>IF(N162="","","Tier1_Pick1")</f>
        <v>Tier1_Pick1</v>
      </c>
      <c r="Q162" s="29">
        <f>IF(N162="","",1)</f>
        <v>1</v>
      </c>
      <c r="R162" s="29" t="str">
        <f t="array" ref="R162">IF(N162="","",IFERROR(INDEX(Entries!$F$2:$F$47,21),""))</f>
        <v>United States</v>
      </c>
      <c r="S162" s="29" t="str">
        <f t="array" ref="S162">IF(R162="","",IFERROR(XLOOKUP(R162,'Live Medal Table'!$B$2:$B$94,'Live Medal Table'!$C$2:$C$94,"???"),"???"))</f>
        <v>USA</v>
      </c>
      <c r="T162" s="29">
        <f t="array" ref="T162">IF(R162="",0,IFERROR(XLOOKUP(R162,'Live Medal Table'!$B$2:$B$94,'Live Medal Table'!$F$2:$F$94,0),0))</f>
        <v>1</v>
      </c>
      <c r="U162" s="29">
        <f t="array" ref="U162">IF(R162="",0,IFERROR(XLOOKUP(R162,'Live Medal Table'!$B$2:$B$94,'Live Medal Table'!$G$2:$G$94,0),0))</f>
        <v>12</v>
      </c>
      <c r="V162" s="29">
        <f t="array" ref="V162">IF(R162="",0,IFERROR(XLOOKUP(R162,'Live Medal Table'!$B$2:$B$94,'Live Medal Table'!$H$2:$H$94,0),0))</f>
        <v>12</v>
      </c>
      <c r="W162" s="29">
        <f t="array" ref="W162">IF(R162="",0,IFERROR(XLOOKUP(R162,'Live Medal Table'!$B$2:$B$94,'Live Medal Table'!$I$2:$I$94,0),0))</f>
        <v>9</v>
      </c>
      <c r="X162" s="29">
        <f t="shared" si="1"/>
        <v>36</v>
      </c>
      <c r="Y162" s="29">
        <f t="shared" si="2"/>
        <v>24</v>
      </c>
      <c r="Z162" s="29">
        <f t="shared" si="3"/>
        <v>9</v>
      </c>
      <c r="AA162" s="29">
        <f t="shared" si="4"/>
        <v>69</v>
      </c>
      <c r="AB162" s="29" t="b">
        <f t="array" ref="AB162">IF(R162="",FALSE,IFERROR(AND(ISNUMBER(MATCH(R162,'Live Medal Table'!$B$2:$B$94,0)),XLOOKUP(R162,'Live Medal Table'!$B$2:$B$94,Countries!$I$2:$I$72,FALSE)),FALSE))</f>
        <v>0</v>
      </c>
    </row>
    <row r="163" ht="15.75" hidden="1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29"/>
      <c r="M163" s="29"/>
      <c r="N163" s="29" t="str">
        <f t="array" ref="N163">IFERROR(IF(INDEX(Entries!$C$2:$C$47,21)="","",INDEX(Entries!$Q$2:$Q$47,21)),"")</f>
        <v>Jennie_Hagstrom_Jennie</v>
      </c>
      <c r="O163" s="29" t="str">
        <f t="array" ref="O163">IF(N163="","",IFERROR(INDEX(Entries!$E$2:$E$47,21),""))</f>
        <v>Jennie</v>
      </c>
      <c r="P163" s="29" t="str">
        <f>IF(N163="","","Tier2_Pick1")</f>
        <v>Tier2_Pick1</v>
      </c>
      <c r="Q163" s="29">
        <f t="shared" ref="Q163:Q164" si="45">IF(N163="","",2)</f>
        <v>2</v>
      </c>
      <c r="R163" s="29" t="str">
        <f t="array" ref="R163">IF(N163="","",IFERROR(INDEX(Entries!$M$2:$M$47,21),""))</f>
        <v>Austria</v>
      </c>
      <c r="S163" s="29" t="str">
        <f t="array" ref="S163">IF(R163="","",IFERROR(XLOOKUP(R163,'Live Medal Table'!$B$2:$B$94,'Live Medal Table'!$C$2:$C$94,"???"),"???"))</f>
        <v>AUT</v>
      </c>
      <c r="T163" s="29">
        <f t="array" ref="T163">IF(R163="",0,IFERROR(XLOOKUP(R163,'Live Medal Table'!$B$2:$B$94,'Live Medal Table'!$F$2:$F$94,0),0))</f>
        <v>2</v>
      </c>
      <c r="U163" s="29">
        <f t="array" ref="U163">IF(R163="",0,IFERROR(XLOOKUP(R163,'Live Medal Table'!$B$2:$B$94,'Live Medal Table'!$G$2:$G$94,0),0))</f>
        <v>5</v>
      </c>
      <c r="V163" s="29">
        <f t="array" ref="V163">IF(R163="",0,IFERROR(XLOOKUP(R163,'Live Medal Table'!$B$2:$B$94,'Live Medal Table'!$H$2:$H$94,0),0))</f>
        <v>8</v>
      </c>
      <c r="W163" s="29">
        <f t="array" ref="W163">IF(R163="",0,IFERROR(XLOOKUP(R163,'Live Medal Table'!$B$2:$B$94,'Live Medal Table'!$I$2:$I$94,0),0))</f>
        <v>5</v>
      </c>
      <c r="X163" s="29">
        <f t="shared" si="1"/>
        <v>30</v>
      </c>
      <c r="Y163" s="29">
        <f t="shared" si="2"/>
        <v>32</v>
      </c>
      <c r="Z163" s="29">
        <f t="shared" si="3"/>
        <v>10</v>
      </c>
      <c r="AA163" s="29">
        <f t="shared" si="4"/>
        <v>72</v>
      </c>
      <c r="AB163" s="29" t="b">
        <f t="array" ref="AB163">IF(R163="",FALSE,IFERROR(AND(ISNUMBER(MATCH(R163,'Live Medal Table'!$B$2:$B$94,0)),XLOOKUP(R163,'Live Medal Table'!$B$2:$B$94,Countries!$I$2:$I$72,FALSE)),FALSE))</f>
        <v>0</v>
      </c>
    </row>
    <row r="164" ht="15.75" hidden="1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29"/>
      <c r="M164" s="29"/>
      <c r="N164" s="29" t="str">
        <f t="array" ref="N164">IFERROR(IF(INDEX(Entries!$C$2:$C$47,21)="","",INDEX(Entries!$Q$2:$Q$47,21)),"")</f>
        <v>Jennie_Hagstrom_Jennie</v>
      </c>
      <c r="O164" s="29" t="str">
        <f t="array" ref="O164">IF(N164="","",IFERROR(INDEX(Entries!$E$2:$E$47,21),""))</f>
        <v>Jennie</v>
      </c>
      <c r="P164" s="29" t="str">
        <f>IF(N164="","","Tier2_Pick2")</f>
        <v>Tier2_Pick2</v>
      </c>
      <c r="Q164" s="29">
        <f t="shared" si="45"/>
        <v>2</v>
      </c>
      <c r="R164" s="29" t="str">
        <f t="array" ref="R164">IF(N164="","",IFERROR(INDEX(Entries!$N$2:$N$47,21),""))</f>
        <v>Sweden</v>
      </c>
      <c r="S164" s="29" t="str">
        <f t="array" ref="S164">IF(R164="","",IFERROR(XLOOKUP(R164,'Live Medal Table'!$B$2:$B$94,'Live Medal Table'!$C$2:$C$94,"???"),"???"))</f>
        <v>SWE</v>
      </c>
      <c r="T164" s="29">
        <f t="array" ref="T164">IF(R164="",0,IFERROR(XLOOKUP(R164,'Live Medal Table'!$B$2:$B$94,'Live Medal Table'!$F$2:$F$94,0),0))</f>
        <v>2</v>
      </c>
      <c r="U164" s="29">
        <f t="array" ref="U164">IF(R164="",0,IFERROR(XLOOKUP(R164,'Live Medal Table'!$B$2:$B$94,'Live Medal Table'!$G$2:$G$94,0),0))</f>
        <v>8</v>
      </c>
      <c r="V164" s="29">
        <f t="array" ref="V164">IF(R164="",0,IFERROR(XLOOKUP(R164,'Live Medal Table'!$B$2:$B$94,'Live Medal Table'!$H$2:$H$94,0),0))</f>
        <v>6</v>
      </c>
      <c r="W164" s="29">
        <f t="array" ref="W164">IF(R164="",0,IFERROR(XLOOKUP(R164,'Live Medal Table'!$B$2:$B$94,'Live Medal Table'!$I$2:$I$94,0),0))</f>
        <v>4</v>
      </c>
      <c r="X164" s="29">
        <f t="shared" si="1"/>
        <v>48</v>
      </c>
      <c r="Y164" s="29">
        <f t="shared" si="2"/>
        <v>24</v>
      </c>
      <c r="Z164" s="29">
        <f t="shared" si="3"/>
        <v>8</v>
      </c>
      <c r="AA164" s="29">
        <f t="shared" si="4"/>
        <v>80</v>
      </c>
      <c r="AB164" s="29" t="b">
        <f t="array" ref="AB164">IF(R164="",FALSE,IFERROR(AND(ISNUMBER(MATCH(R164,'Live Medal Table'!$B$2:$B$94,0)),XLOOKUP(R164,'Live Medal Table'!$B$2:$B$94,Countries!$I$2:$I$72,FALSE)),FALSE))</f>
        <v>0</v>
      </c>
    </row>
    <row r="165" ht="15.75" hidden="1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29"/>
      <c r="M165" s="29"/>
      <c r="N165" s="29" t="str">
        <f t="array" ref="N165">IFERROR(IF(INDEX(Entries!$C$2:$C$47,21)="","",INDEX(Entries!$Q$2:$Q$47,21)),"")</f>
        <v>Jennie_Hagstrom_Jennie</v>
      </c>
      <c r="O165" s="29" t="str">
        <f t="array" ref="O165">IF(N165="","",IFERROR(INDEX(Entries!$E$2:$E$47,21),""))</f>
        <v>Jennie</v>
      </c>
      <c r="P165" s="29" t="str">
        <f>IF(N165="","","Tier3_Pick1")</f>
        <v>Tier3_Pick1</v>
      </c>
      <c r="Q165" s="29">
        <f>IF(N165="","",3)</f>
        <v>3</v>
      </c>
      <c r="R165" s="29" t="str">
        <f t="array" ref="R165">IF(N165="","",IFERROR(INDEX(Entries!$H$2:$H$47,21),""))</f>
        <v>Italy</v>
      </c>
      <c r="S165" s="29" t="str">
        <f t="array" ref="S165">IF(R165="","",IFERROR(XLOOKUP(R165,'Live Medal Table'!$B$2:$B$94,'Live Medal Table'!$C$2:$C$94,"???"),"???"))</f>
        <v>ITA</v>
      </c>
      <c r="T165" s="29">
        <f t="array" ref="T165">IF(R165="",0,IFERROR(XLOOKUP(R165,'Live Medal Table'!$B$2:$B$94,'Live Medal Table'!$F$2:$F$94,0),0))</f>
        <v>3</v>
      </c>
      <c r="U165" s="29">
        <f t="array" ref="U165">IF(R165="",0,IFERROR(XLOOKUP(R165,'Live Medal Table'!$B$2:$B$94,'Live Medal Table'!$G$2:$G$94,0),0))</f>
        <v>10</v>
      </c>
      <c r="V165" s="29">
        <f t="array" ref="V165">IF(R165="",0,IFERROR(XLOOKUP(R165,'Live Medal Table'!$B$2:$B$94,'Live Medal Table'!$H$2:$H$94,0),0))</f>
        <v>6</v>
      </c>
      <c r="W165" s="29">
        <f t="array" ref="W165">IF(R165="",0,IFERROR(XLOOKUP(R165,'Live Medal Table'!$B$2:$B$94,'Live Medal Table'!$I$2:$I$94,0),0))</f>
        <v>14</v>
      </c>
      <c r="X165" s="29">
        <f t="shared" si="1"/>
        <v>90</v>
      </c>
      <c r="Y165" s="29">
        <f t="shared" si="2"/>
        <v>36</v>
      </c>
      <c r="Z165" s="29">
        <f t="shared" si="3"/>
        <v>42</v>
      </c>
      <c r="AA165" s="29">
        <f t="shared" si="4"/>
        <v>168</v>
      </c>
      <c r="AB165" s="29" t="b">
        <f t="array" ref="AB165">IF(R165="",FALSE,IFERROR(AND(ISNUMBER(MATCH(R165,'Live Medal Table'!$B$2:$B$94,0)),XLOOKUP(R165,'Live Medal Table'!$B$2:$B$94,Countries!$I$2:$I$72,FALSE)),FALSE))</f>
        <v>0</v>
      </c>
    </row>
    <row r="166" ht="15.75" hidden="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29"/>
      <c r="M166" s="29"/>
      <c r="N166" s="29" t="str">
        <f t="array" ref="N166">IFERROR(IF(INDEX(Entries!$C$2:$C$47,21)="","",INDEX(Entries!$Q$2:$Q$47,21)),"")</f>
        <v>Jennie_Hagstrom_Jennie</v>
      </c>
      <c r="O166" s="29" t="str">
        <f t="array" ref="O166">IF(N166="","",IFERROR(INDEX(Entries!$E$2:$E$47,21),""))</f>
        <v>Jennie</v>
      </c>
      <c r="P166" s="29" t="str">
        <f>IF(N166="","","Tier4_Pick1")</f>
        <v>Tier4_Pick1</v>
      </c>
      <c r="Q166" s="29">
        <f>IF(N166="","",4)</f>
        <v>4</v>
      </c>
      <c r="R166" s="29" t="str">
        <f t="array" ref="R166">IF(N166="","",IFERROR(INDEX(Entries!$I$2:$I$47,21),""))</f>
        <v>Finland</v>
      </c>
      <c r="S166" s="29" t="str">
        <f t="array" ref="S166">IF(R166="","",IFERROR(XLOOKUP(R166,'Live Medal Table'!$B$2:$B$94,'Live Medal Table'!$C$2:$C$94,"???"),"???"))</f>
        <v>FIN</v>
      </c>
      <c r="T166" s="29">
        <f t="array" ref="T166">IF(R166="",0,IFERROR(XLOOKUP(R166,'Live Medal Table'!$B$2:$B$94,'Live Medal Table'!$F$2:$F$94,0),0))</f>
        <v>6</v>
      </c>
      <c r="U166" s="29">
        <f t="array" ref="U166">IF(R166="",0,IFERROR(XLOOKUP(R166,'Live Medal Table'!$B$2:$B$94,'Live Medal Table'!$G$2:$G$94,0),0))</f>
        <v>0</v>
      </c>
      <c r="V166" s="29">
        <f t="array" ref="V166">IF(R166="",0,IFERROR(XLOOKUP(R166,'Live Medal Table'!$B$2:$B$94,'Live Medal Table'!$H$2:$H$94,0),0))</f>
        <v>1</v>
      </c>
      <c r="W166" s="29">
        <f t="array" ref="W166">IF(R166="",0,IFERROR(XLOOKUP(R166,'Live Medal Table'!$B$2:$B$94,'Live Medal Table'!$I$2:$I$94,0),0))</f>
        <v>5</v>
      </c>
      <c r="X166" s="29">
        <f t="shared" si="1"/>
        <v>0</v>
      </c>
      <c r="Y166" s="29">
        <f t="shared" si="2"/>
        <v>12</v>
      </c>
      <c r="Z166" s="29">
        <f t="shared" si="3"/>
        <v>30</v>
      </c>
      <c r="AA166" s="29">
        <f t="shared" si="4"/>
        <v>42</v>
      </c>
      <c r="AB166" s="29" t="b">
        <f t="array" ref="AB166">IF(R166="",FALSE,IFERROR(AND(ISNUMBER(MATCH(R166,'Live Medal Table'!$B$2:$B$94,0)),XLOOKUP(R166,'Live Medal Table'!$B$2:$B$94,Countries!$I$2:$I$72,FALSE)),FALSE))</f>
        <v>0</v>
      </c>
    </row>
    <row r="167" ht="15.75" hidden="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29"/>
      <c r="M167" s="29"/>
      <c r="N167" s="29" t="str">
        <f t="array" ref="N167">IFERROR(IF(INDEX(Entries!$C$2:$C$47,21)="","",INDEX(Entries!$Q$2:$Q$47,21)),"")</f>
        <v>Jennie_Hagstrom_Jennie</v>
      </c>
      <c r="O167" s="29" t="str">
        <f t="array" ref="O167">IF(N167="","",IFERROR(INDEX(Entries!$E$2:$E$47,21),""))</f>
        <v>Jennie</v>
      </c>
      <c r="P167" s="29" t="str">
        <f>IF(N167="","","Tier5_Pick1")</f>
        <v>Tier5_Pick1</v>
      </c>
      <c r="Q167" s="29">
        <f>IF(N167="","",5)</f>
        <v>5</v>
      </c>
      <c r="R167" s="29" t="str">
        <f t="array" ref="R167">IF(N167="","",IFERROR(INDEX(Entries!$J$2:$J$47,21),""))</f>
        <v>Australia</v>
      </c>
      <c r="S167" s="29" t="str">
        <f t="array" ref="S167">IF(R167="","",IFERROR(XLOOKUP(R167,'Live Medal Table'!$B$2:$B$94,'Live Medal Table'!$C$2:$C$94,"???"),"???"))</f>
        <v>AUS</v>
      </c>
      <c r="T167" s="29">
        <f t="array" ref="T167">IF(R167="",0,IFERROR(XLOOKUP(R167,'Live Medal Table'!$B$2:$B$94,'Live Medal Table'!$F$2:$F$94,0),0))</f>
        <v>10</v>
      </c>
      <c r="U167" s="29">
        <f t="array" ref="U167">IF(R167="",0,IFERROR(XLOOKUP(R167,'Live Medal Table'!$B$2:$B$94,'Live Medal Table'!$G$2:$G$94,0),0))</f>
        <v>3</v>
      </c>
      <c r="V167" s="29">
        <f t="array" ref="V167">IF(R167="",0,IFERROR(XLOOKUP(R167,'Live Medal Table'!$B$2:$B$94,'Live Medal Table'!$H$2:$H$94,0),0))</f>
        <v>2</v>
      </c>
      <c r="W167" s="29">
        <f t="array" ref="W167">IF(R167="",0,IFERROR(XLOOKUP(R167,'Live Medal Table'!$B$2:$B$94,'Live Medal Table'!$I$2:$I$94,0),0))</f>
        <v>1</v>
      </c>
      <c r="X167" s="29">
        <f t="shared" si="1"/>
        <v>90</v>
      </c>
      <c r="Y167" s="29">
        <f t="shared" si="2"/>
        <v>40</v>
      </c>
      <c r="Z167" s="29">
        <f t="shared" si="3"/>
        <v>10</v>
      </c>
      <c r="AA167" s="29">
        <f t="shared" si="4"/>
        <v>140</v>
      </c>
      <c r="AB167" s="29" t="b">
        <f t="array" ref="AB167">IF(R167="",FALSE,IFERROR(AND(ISNUMBER(MATCH(R167,'Live Medal Table'!$B$2:$B$94,0)),XLOOKUP(R167,'Live Medal Table'!$B$2:$B$94,Countries!$I$2:$I$72,FALSE)),FALSE))</f>
        <v>0</v>
      </c>
    </row>
    <row r="168" ht="15.75" hidden="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29"/>
      <c r="M168" s="29"/>
      <c r="N168" s="29" t="str">
        <f t="array" ref="N168">IFERROR(IF(INDEX(Entries!$C$2:$C$47,21)="","",INDEX(Entries!$Q$2:$Q$47,21)),"")</f>
        <v>Jennie_Hagstrom_Jennie</v>
      </c>
      <c r="O168" s="29" t="str">
        <f t="array" ref="O168">IF(N168="","",IFERROR(INDEX(Entries!$E$2:$E$47,21),""))</f>
        <v>Jennie</v>
      </c>
      <c r="P168" s="29" t="str">
        <f>IF(N168="","","Tier6_Pick1")</f>
        <v>Tier6_Pick1</v>
      </c>
      <c r="Q168" s="29">
        <f t="shared" ref="Q168:Q169" si="46">IF(N168="","",6)</f>
        <v>6</v>
      </c>
      <c r="R168" s="29" t="str">
        <f t="array" ref="R168">IF(N168="","",IFERROR(INDEX(Entries!$O$2:$O$47,21),""))</f>
        <v>Croatia</v>
      </c>
      <c r="S168" s="29" t="str">
        <f t="array" ref="S168">IF(R168="","",IFERROR(XLOOKUP(R168,'Live Medal Table'!$B$2:$B$94,'Live Medal Table'!$C$2:$C$94,"???"),"???"))</f>
        <v>CRO</v>
      </c>
      <c r="T168" s="29">
        <f t="array" ref="T168">IF(R168="",0,IFERROR(XLOOKUP(R168,'Live Medal Table'!$B$2:$B$94,'Live Medal Table'!$F$2:$F$94,0),0))</f>
        <v>20</v>
      </c>
      <c r="U168" s="29">
        <f t="array" ref="U168">IF(R168="",0,IFERROR(XLOOKUP(R168,'Live Medal Table'!$B$2:$B$94,'Live Medal Table'!$G$2:$G$94,0),0))</f>
        <v>0</v>
      </c>
      <c r="V168" s="29">
        <f t="array" ref="V168">IF(R168="",0,IFERROR(XLOOKUP(R168,'Live Medal Table'!$B$2:$B$94,'Live Medal Table'!$H$2:$H$94,0),0))</f>
        <v>0</v>
      </c>
      <c r="W168" s="29">
        <f t="array" ref="W168">IF(R168="",0,IFERROR(XLOOKUP(R168,'Live Medal Table'!$B$2:$B$94,'Live Medal Table'!$I$2:$I$94,0),0))</f>
        <v>0</v>
      </c>
      <c r="X168" s="29">
        <f t="shared" si="1"/>
        <v>0</v>
      </c>
      <c r="Y168" s="29">
        <f t="shared" si="2"/>
        <v>0</v>
      </c>
      <c r="Z168" s="29">
        <f t="shared" si="3"/>
        <v>0</v>
      </c>
      <c r="AA168" s="29">
        <f t="shared" si="4"/>
        <v>0</v>
      </c>
      <c r="AB168" s="29" t="b">
        <f t="array" ref="AB168">IF(R168="",FALSE,IFERROR(AND(ISNUMBER(MATCH(R168,'Live Medal Table'!$B$2:$B$94,0)),XLOOKUP(R168,'Live Medal Table'!$B$2:$B$94,Countries!$I$2:$I$72,FALSE)),FALSE))</f>
        <v>0</v>
      </c>
    </row>
    <row r="169" ht="15.75" hidden="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29"/>
      <c r="M169" s="29"/>
      <c r="N169" s="29" t="str">
        <f t="array" ref="N169">IFERROR(IF(INDEX(Entries!$C$2:$C$47,21)="","",INDEX(Entries!$Q$2:$Q$47,21)),"")</f>
        <v>Jennie_Hagstrom_Jennie</v>
      </c>
      <c r="O169" s="29" t="str">
        <f t="array" ref="O169">IF(N169="","",IFERROR(INDEX(Entries!$E$2:$E$47,21),""))</f>
        <v>Jennie</v>
      </c>
      <c r="P169" s="29" t="str">
        <f>IF(N169="","","Tier6_Pick2")</f>
        <v>Tier6_Pick2</v>
      </c>
      <c r="Q169" s="29">
        <f t="shared" si="46"/>
        <v>6</v>
      </c>
      <c r="R169" s="29" t="str">
        <f t="array" ref="R169">IF(N169="","",IFERROR(INDEX(Entries!$P$2:$P$47,21),""))</f>
        <v>Ukraine</v>
      </c>
      <c r="S169" s="29" t="str">
        <f t="array" ref="S169">IF(R169="","",IFERROR(XLOOKUP(R169,'Live Medal Table'!$B$2:$B$94,'Live Medal Table'!$C$2:$C$94,"???"),"???"))</f>
        <v>UKR</v>
      </c>
      <c r="T169" s="29">
        <f t="array" ref="T169">IF(R169="",0,IFERROR(XLOOKUP(R169,'Live Medal Table'!$B$2:$B$94,'Live Medal Table'!$F$2:$F$94,0),0))</f>
        <v>20</v>
      </c>
      <c r="U169" s="29">
        <f t="array" ref="U169">IF(R169="",0,IFERROR(XLOOKUP(R169,'Live Medal Table'!$B$2:$B$94,'Live Medal Table'!$G$2:$G$94,0),0))</f>
        <v>0</v>
      </c>
      <c r="V169" s="29">
        <f t="array" ref="V169">IF(R169="",0,IFERROR(XLOOKUP(R169,'Live Medal Table'!$B$2:$B$94,'Live Medal Table'!$H$2:$H$94,0),0))</f>
        <v>0</v>
      </c>
      <c r="W169" s="29">
        <f t="array" ref="W169">IF(R169="",0,IFERROR(XLOOKUP(R169,'Live Medal Table'!$B$2:$B$94,'Live Medal Table'!$I$2:$I$94,0),0))</f>
        <v>0</v>
      </c>
      <c r="X169" s="29">
        <f t="shared" si="1"/>
        <v>0</v>
      </c>
      <c r="Y169" s="29">
        <f t="shared" si="2"/>
        <v>0</v>
      </c>
      <c r="Z169" s="29">
        <f t="shared" si="3"/>
        <v>0</v>
      </c>
      <c r="AA169" s="29">
        <f t="shared" si="4"/>
        <v>0</v>
      </c>
      <c r="AB169" s="29" t="b">
        <f t="array" ref="AB169">IF(R169="",FALSE,IFERROR(AND(ISNUMBER(MATCH(R169,'Live Medal Table'!$B$2:$B$94,0)),XLOOKUP(R169,'Live Medal Table'!$B$2:$B$94,Countries!$I$2:$I$72,FALSE)),FALSE))</f>
        <v>0</v>
      </c>
    </row>
    <row r="170" ht="15.75" hidden="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29"/>
      <c r="M170" s="29"/>
      <c r="N170" s="29" t="str">
        <f t="array" ref="N170">IFERROR(IF(INDEX(Entries!$C$2:$C$47,22)="","",INDEX(Entries!$Q$2:$Q$47,22)),"")</f>
        <v>Molly_Hagstrom_Molly </v>
      </c>
      <c r="O170" s="29" t="str">
        <f t="array" ref="O170">IF(N170="","",IFERROR(INDEX(Entries!$E$2:$E$47,22),""))</f>
        <v>Molly </v>
      </c>
      <c r="P170" s="29" t="str">
        <f>IF(N170="","","Tier1_Pick1")</f>
        <v>Tier1_Pick1</v>
      </c>
      <c r="Q170" s="29">
        <f>IF(N170="","",1)</f>
        <v>1</v>
      </c>
      <c r="R170" s="29" t="str">
        <f t="array" ref="R170">IF(N170="","",IFERROR(INDEX(Entries!$F$2:$F$47,22),""))</f>
        <v>Norway</v>
      </c>
      <c r="S170" s="29" t="str">
        <f t="array" ref="S170">IF(R170="","",IFERROR(XLOOKUP(R170,'Live Medal Table'!$B$2:$B$94,'Live Medal Table'!$C$2:$C$94,"???"),"???"))</f>
        <v>NOR</v>
      </c>
      <c r="T170" s="29">
        <f t="array" ref="T170">IF(R170="",0,IFERROR(XLOOKUP(R170,'Live Medal Table'!$B$2:$B$94,'Live Medal Table'!$F$2:$F$94,0),0))</f>
        <v>1</v>
      </c>
      <c r="U170" s="29">
        <f t="array" ref="U170">IF(R170="",0,IFERROR(XLOOKUP(R170,'Live Medal Table'!$B$2:$B$94,'Live Medal Table'!$G$2:$G$94,0),0))</f>
        <v>18</v>
      </c>
      <c r="V170" s="29">
        <f t="array" ref="V170">IF(R170="",0,IFERROR(XLOOKUP(R170,'Live Medal Table'!$B$2:$B$94,'Live Medal Table'!$H$2:$H$94,0),0))</f>
        <v>12</v>
      </c>
      <c r="W170" s="29">
        <f t="array" ref="W170">IF(R170="",0,IFERROR(XLOOKUP(R170,'Live Medal Table'!$B$2:$B$94,'Live Medal Table'!$I$2:$I$94,0),0))</f>
        <v>11</v>
      </c>
      <c r="X170" s="29">
        <f t="shared" si="1"/>
        <v>54</v>
      </c>
      <c r="Y170" s="29">
        <f t="shared" si="2"/>
        <v>24</v>
      </c>
      <c r="Z170" s="29">
        <f t="shared" si="3"/>
        <v>11</v>
      </c>
      <c r="AA170" s="29">
        <f t="shared" si="4"/>
        <v>89</v>
      </c>
      <c r="AB170" s="29" t="b">
        <f t="array" ref="AB170">IF(R170="",FALSE,IFERROR(AND(ISNUMBER(MATCH(R170,'Live Medal Table'!$B$2:$B$94,0)),XLOOKUP(R170,'Live Medal Table'!$B$2:$B$94,Countries!$I$2:$I$72,FALSE)),FALSE))</f>
        <v>0</v>
      </c>
    </row>
    <row r="171" ht="15.75" hidden="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29"/>
      <c r="M171" s="29"/>
      <c r="N171" s="29" t="str">
        <f t="array" ref="N171">IFERROR(IF(INDEX(Entries!$C$2:$C$47,22)="","",INDEX(Entries!$Q$2:$Q$47,22)),"")</f>
        <v>Molly_Hagstrom_Molly </v>
      </c>
      <c r="O171" s="29" t="str">
        <f t="array" ref="O171">IF(N171="","",IFERROR(INDEX(Entries!$E$2:$E$47,22),""))</f>
        <v>Molly </v>
      </c>
      <c r="P171" s="29" t="str">
        <f>IF(N171="","","Tier2_Pick1")</f>
        <v>Tier2_Pick1</v>
      </c>
      <c r="Q171" s="29">
        <f t="shared" ref="Q171:Q172" si="47">IF(N171="","",2)</f>
        <v>2</v>
      </c>
      <c r="R171" s="29" t="str">
        <f t="array" ref="R171">IF(N171="","",IFERROR(INDEX(Entries!$M$2:$M$47,22),""))</f>
        <v>Austria</v>
      </c>
      <c r="S171" s="29" t="str">
        <f t="array" ref="S171">IF(R171="","",IFERROR(XLOOKUP(R171,'Live Medal Table'!$B$2:$B$94,'Live Medal Table'!$C$2:$C$94,"???"),"???"))</f>
        <v>AUT</v>
      </c>
      <c r="T171" s="29">
        <f t="array" ref="T171">IF(R171="",0,IFERROR(XLOOKUP(R171,'Live Medal Table'!$B$2:$B$94,'Live Medal Table'!$F$2:$F$94,0),0))</f>
        <v>2</v>
      </c>
      <c r="U171" s="29">
        <f t="array" ref="U171">IF(R171="",0,IFERROR(XLOOKUP(R171,'Live Medal Table'!$B$2:$B$94,'Live Medal Table'!$G$2:$G$94,0),0))</f>
        <v>5</v>
      </c>
      <c r="V171" s="29">
        <f t="array" ref="V171">IF(R171="",0,IFERROR(XLOOKUP(R171,'Live Medal Table'!$B$2:$B$94,'Live Medal Table'!$H$2:$H$94,0),0))</f>
        <v>8</v>
      </c>
      <c r="W171" s="29">
        <f t="array" ref="W171">IF(R171="",0,IFERROR(XLOOKUP(R171,'Live Medal Table'!$B$2:$B$94,'Live Medal Table'!$I$2:$I$94,0),0))</f>
        <v>5</v>
      </c>
      <c r="X171" s="29">
        <f t="shared" si="1"/>
        <v>30</v>
      </c>
      <c r="Y171" s="29">
        <f t="shared" si="2"/>
        <v>32</v>
      </c>
      <c r="Z171" s="29">
        <f t="shared" si="3"/>
        <v>10</v>
      </c>
      <c r="AA171" s="29">
        <f t="shared" si="4"/>
        <v>72</v>
      </c>
      <c r="AB171" s="29" t="b">
        <f t="array" ref="AB171">IF(R171="",FALSE,IFERROR(AND(ISNUMBER(MATCH(R171,'Live Medal Table'!$B$2:$B$94,0)),XLOOKUP(R171,'Live Medal Table'!$B$2:$B$94,Countries!$I$2:$I$72,FALSE)),FALSE))</f>
        <v>0</v>
      </c>
    </row>
    <row r="172" ht="15.75" hidden="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29"/>
      <c r="M172" s="29"/>
      <c r="N172" s="29" t="str">
        <f t="array" ref="N172">IFERROR(IF(INDEX(Entries!$C$2:$C$47,22)="","",INDEX(Entries!$Q$2:$Q$47,22)),"")</f>
        <v>Molly_Hagstrom_Molly </v>
      </c>
      <c r="O172" s="29" t="str">
        <f t="array" ref="O172">IF(N172="","",IFERROR(INDEX(Entries!$E$2:$E$47,22),""))</f>
        <v>Molly </v>
      </c>
      <c r="P172" s="29" t="str">
        <f>IF(N172="","","Tier2_Pick2")</f>
        <v>Tier2_Pick2</v>
      </c>
      <c r="Q172" s="29">
        <f t="shared" si="47"/>
        <v>2</v>
      </c>
      <c r="R172" s="29" t="str">
        <f t="array" ref="R172">IF(N172="","",IFERROR(INDEX(Entries!$N$2:$N$47,22),""))</f>
        <v>Netherlands</v>
      </c>
      <c r="S172" s="29" t="str">
        <f t="array" ref="S172">IF(R172="","",IFERROR(XLOOKUP(R172,'Live Medal Table'!$B$2:$B$94,'Live Medal Table'!$C$2:$C$94,"???"),"???"))</f>
        <v>NED</v>
      </c>
      <c r="T172" s="29">
        <f t="array" ref="T172">IF(R172="",0,IFERROR(XLOOKUP(R172,'Live Medal Table'!$B$2:$B$94,'Live Medal Table'!$F$2:$F$94,0),0))</f>
        <v>2</v>
      </c>
      <c r="U172" s="29">
        <f t="array" ref="U172">IF(R172="",0,IFERROR(XLOOKUP(R172,'Live Medal Table'!$B$2:$B$94,'Live Medal Table'!$G$2:$G$94,0),0))</f>
        <v>10</v>
      </c>
      <c r="V172" s="29">
        <f t="array" ref="V172">IF(R172="",0,IFERROR(XLOOKUP(R172,'Live Medal Table'!$B$2:$B$94,'Live Medal Table'!$H$2:$H$94,0),0))</f>
        <v>7</v>
      </c>
      <c r="W172" s="29">
        <f t="array" ref="W172">IF(R172="",0,IFERROR(XLOOKUP(R172,'Live Medal Table'!$B$2:$B$94,'Live Medal Table'!$I$2:$I$94,0),0))</f>
        <v>3</v>
      </c>
      <c r="X172" s="29">
        <f t="shared" si="1"/>
        <v>60</v>
      </c>
      <c r="Y172" s="29">
        <f t="shared" si="2"/>
        <v>28</v>
      </c>
      <c r="Z172" s="29">
        <f t="shared" si="3"/>
        <v>6</v>
      </c>
      <c r="AA172" s="29">
        <f t="shared" si="4"/>
        <v>94</v>
      </c>
      <c r="AB172" s="29" t="b">
        <f t="array" ref="AB172">IF(R172="",FALSE,IFERROR(AND(ISNUMBER(MATCH(R172,'Live Medal Table'!$B$2:$B$94,0)),XLOOKUP(R172,'Live Medal Table'!$B$2:$B$94,Countries!$I$2:$I$72,FALSE)),FALSE))</f>
        <v>0</v>
      </c>
    </row>
    <row r="173" ht="15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29"/>
      <c r="M173" s="29"/>
      <c r="N173" s="29" t="str">
        <f t="array" ref="N173">IFERROR(IF(INDEX(Entries!$C$2:$C$47,22)="","",INDEX(Entries!$Q$2:$Q$47,22)),"")</f>
        <v>Molly_Hagstrom_Molly </v>
      </c>
      <c r="O173" s="29" t="str">
        <f t="array" ref="O173">IF(N173="","",IFERROR(INDEX(Entries!$E$2:$E$47,22),""))</f>
        <v>Molly </v>
      </c>
      <c r="P173" s="29" t="str">
        <f>IF(N173="","","Tier3_Pick1")</f>
        <v>Tier3_Pick1</v>
      </c>
      <c r="Q173" s="29">
        <f>IF(N173="","",3)</f>
        <v>3</v>
      </c>
      <c r="R173" s="29" t="str">
        <f t="array" ref="R173">IF(N173="","",IFERROR(INDEX(Entries!$H$2:$H$47,22),""))</f>
        <v>Italy</v>
      </c>
      <c r="S173" s="29" t="str">
        <f t="array" ref="S173">IF(R173="","",IFERROR(XLOOKUP(R173,'Live Medal Table'!$B$2:$B$94,'Live Medal Table'!$C$2:$C$94,"???"),"???"))</f>
        <v>ITA</v>
      </c>
      <c r="T173" s="29">
        <f t="array" ref="T173">IF(R173="",0,IFERROR(XLOOKUP(R173,'Live Medal Table'!$B$2:$B$94,'Live Medal Table'!$F$2:$F$94,0),0))</f>
        <v>3</v>
      </c>
      <c r="U173" s="29">
        <f t="array" ref="U173">IF(R173="",0,IFERROR(XLOOKUP(R173,'Live Medal Table'!$B$2:$B$94,'Live Medal Table'!$G$2:$G$94,0),0))</f>
        <v>10</v>
      </c>
      <c r="V173" s="29">
        <f t="array" ref="V173">IF(R173="",0,IFERROR(XLOOKUP(R173,'Live Medal Table'!$B$2:$B$94,'Live Medal Table'!$H$2:$H$94,0),0))</f>
        <v>6</v>
      </c>
      <c r="W173" s="29">
        <f t="array" ref="W173">IF(R173="",0,IFERROR(XLOOKUP(R173,'Live Medal Table'!$B$2:$B$94,'Live Medal Table'!$I$2:$I$94,0),0))</f>
        <v>14</v>
      </c>
      <c r="X173" s="29">
        <f t="shared" si="1"/>
        <v>90</v>
      </c>
      <c r="Y173" s="29">
        <f t="shared" si="2"/>
        <v>36</v>
      </c>
      <c r="Z173" s="29">
        <f t="shared" si="3"/>
        <v>42</v>
      </c>
      <c r="AA173" s="29">
        <f t="shared" si="4"/>
        <v>168</v>
      </c>
      <c r="AB173" s="29" t="b">
        <f t="array" ref="AB173">IF(R173="",FALSE,IFERROR(AND(ISNUMBER(MATCH(R173,'Live Medal Table'!$B$2:$B$94,0)),XLOOKUP(R173,'Live Medal Table'!$B$2:$B$94,Countries!$I$2:$I$72,FALSE)),FALSE))</f>
        <v>0</v>
      </c>
    </row>
    <row r="174" ht="15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29"/>
      <c r="M174" s="29"/>
      <c r="N174" s="29" t="str">
        <f t="array" ref="N174">IFERROR(IF(INDEX(Entries!$C$2:$C$47,22)="","",INDEX(Entries!$Q$2:$Q$47,22)),"")</f>
        <v>Molly_Hagstrom_Molly </v>
      </c>
      <c r="O174" s="29" t="str">
        <f t="array" ref="O174">IF(N174="","",IFERROR(INDEX(Entries!$E$2:$E$47,22),""))</f>
        <v>Molly </v>
      </c>
      <c r="P174" s="29" t="str">
        <f>IF(N174="","","Tier4_Pick1")</f>
        <v>Tier4_Pick1</v>
      </c>
      <c r="Q174" s="29">
        <f>IF(N174="","",4)</f>
        <v>4</v>
      </c>
      <c r="R174" s="29" t="str">
        <f t="array" ref="R174">IF(N174="","",IFERROR(INDEX(Entries!$I$2:$I$47,22),""))</f>
        <v>Finland</v>
      </c>
      <c r="S174" s="29" t="str">
        <f t="array" ref="S174">IF(R174="","",IFERROR(XLOOKUP(R174,'Live Medal Table'!$B$2:$B$94,'Live Medal Table'!$C$2:$C$94,"???"),"???"))</f>
        <v>FIN</v>
      </c>
      <c r="T174" s="29">
        <f t="array" ref="T174">IF(R174="",0,IFERROR(XLOOKUP(R174,'Live Medal Table'!$B$2:$B$94,'Live Medal Table'!$F$2:$F$94,0),0))</f>
        <v>6</v>
      </c>
      <c r="U174" s="29">
        <f t="array" ref="U174">IF(R174="",0,IFERROR(XLOOKUP(R174,'Live Medal Table'!$B$2:$B$94,'Live Medal Table'!$G$2:$G$94,0),0))</f>
        <v>0</v>
      </c>
      <c r="V174" s="29">
        <f t="array" ref="V174">IF(R174="",0,IFERROR(XLOOKUP(R174,'Live Medal Table'!$B$2:$B$94,'Live Medal Table'!$H$2:$H$94,0),0))</f>
        <v>1</v>
      </c>
      <c r="W174" s="29">
        <f t="array" ref="W174">IF(R174="",0,IFERROR(XLOOKUP(R174,'Live Medal Table'!$B$2:$B$94,'Live Medal Table'!$I$2:$I$94,0),0))</f>
        <v>5</v>
      </c>
      <c r="X174" s="29">
        <f t="shared" si="1"/>
        <v>0</v>
      </c>
      <c r="Y174" s="29">
        <f t="shared" si="2"/>
        <v>12</v>
      </c>
      <c r="Z174" s="29">
        <f t="shared" si="3"/>
        <v>30</v>
      </c>
      <c r="AA174" s="29">
        <f t="shared" si="4"/>
        <v>42</v>
      </c>
      <c r="AB174" s="29" t="b">
        <f t="array" ref="AB174">IF(R174="",FALSE,IFERROR(AND(ISNUMBER(MATCH(R174,'Live Medal Table'!$B$2:$B$94,0)),XLOOKUP(R174,'Live Medal Table'!$B$2:$B$94,Countries!$I$2:$I$72,FALSE)),FALSE))</f>
        <v>0</v>
      </c>
    </row>
    <row r="175" ht="15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29"/>
      <c r="M175" s="29"/>
      <c r="N175" s="29" t="str">
        <f t="array" ref="N175">IFERROR(IF(INDEX(Entries!$C$2:$C$47,22)="","",INDEX(Entries!$Q$2:$Q$47,22)),"")</f>
        <v>Molly_Hagstrom_Molly </v>
      </c>
      <c r="O175" s="29" t="str">
        <f t="array" ref="O175">IF(N175="","",IFERROR(INDEX(Entries!$E$2:$E$47,22),""))</f>
        <v>Molly </v>
      </c>
      <c r="P175" s="29" t="str">
        <f>IF(N175="","","Tier5_Pick1")</f>
        <v>Tier5_Pick1</v>
      </c>
      <c r="Q175" s="29">
        <f>IF(N175="","",5)</f>
        <v>5</v>
      </c>
      <c r="R175" s="29" t="str">
        <f t="array" ref="R175">IF(N175="","",IFERROR(INDEX(Entries!$J$2:$J$47,22),""))</f>
        <v>Great Britain</v>
      </c>
      <c r="S175" s="29" t="str">
        <f t="array" ref="S175">IF(R175="","",IFERROR(XLOOKUP(R175,'Live Medal Table'!$B$2:$B$94,'Live Medal Table'!$C$2:$C$94,"???"),"???"))</f>
        <v>GBR</v>
      </c>
      <c r="T175" s="29">
        <f t="array" ref="T175">IF(R175="",0,IFERROR(XLOOKUP(R175,'Live Medal Table'!$B$2:$B$94,'Live Medal Table'!$F$2:$F$94,0),0))</f>
        <v>10</v>
      </c>
      <c r="U175" s="29">
        <f t="array" ref="U175">IF(R175="",0,IFERROR(XLOOKUP(R175,'Live Medal Table'!$B$2:$B$94,'Live Medal Table'!$G$2:$G$94,0),0))</f>
        <v>3</v>
      </c>
      <c r="V175" s="29">
        <f t="array" ref="V175">IF(R175="",0,IFERROR(XLOOKUP(R175,'Live Medal Table'!$B$2:$B$94,'Live Medal Table'!$H$2:$H$94,0),0))</f>
        <v>1</v>
      </c>
      <c r="W175" s="29">
        <f t="array" ref="W175">IF(R175="",0,IFERROR(XLOOKUP(R175,'Live Medal Table'!$B$2:$B$94,'Live Medal Table'!$I$2:$I$94,0),0))</f>
        <v>1</v>
      </c>
      <c r="X175" s="29">
        <f t="shared" si="1"/>
        <v>90</v>
      </c>
      <c r="Y175" s="29">
        <f t="shared" si="2"/>
        <v>20</v>
      </c>
      <c r="Z175" s="29">
        <f t="shared" si="3"/>
        <v>10</v>
      </c>
      <c r="AA175" s="29">
        <f t="shared" si="4"/>
        <v>120</v>
      </c>
      <c r="AB175" s="29" t="b">
        <f t="array" ref="AB175">IF(R175="",FALSE,IFERROR(AND(ISNUMBER(MATCH(R175,'Live Medal Table'!$B$2:$B$94,0)),XLOOKUP(R175,'Live Medal Table'!$B$2:$B$94,Countries!$I$2:$I$72,FALSE)),FALSE))</f>
        <v>0</v>
      </c>
    </row>
    <row r="176" ht="15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29"/>
      <c r="M176" s="29"/>
      <c r="N176" s="29" t="str">
        <f t="array" ref="N176">IFERROR(IF(INDEX(Entries!$C$2:$C$47,22)="","",INDEX(Entries!$Q$2:$Q$47,22)),"")</f>
        <v>Molly_Hagstrom_Molly </v>
      </c>
      <c r="O176" s="29" t="str">
        <f t="array" ref="O176">IF(N176="","",IFERROR(INDEX(Entries!$E$2:$E$47,22),""))</f>
        <v>Molly </v>
      </c>
      <c r="P176" s="29" t="str">
        <f>IF(N176="","","Tier6_Pick1")</f>
        <v>Tier6_Pick1</v>
      </c>
      <c r="Q176" s="29">
        <f t="shared" ref="Q176:Q177" si="48">IF(N176="","",6)</f>
        <v>6</v>
      </c>
      <c r="R176" s="29" t="str">
        <f t="array" ref="R176">IF(N176="","",IFERROR(INDEX(Entries!$O$2:$O$47,22),""))</f>
        <v>Kazakhstan</v>
      </c>
      <c r="S176" s="29" t="str">
        <f t="array" ref="S176">IF(R176="","",IFERROR(XLOOKUP(R176,'Live Medal Table'!$B$2:$B$94,'Live Medal Table'!$C$2:$C$94,"???"),"???"))</f>
        <v>KAZ</v>
      </c>
      <c r="T176" s="29">
        <f t="array" ref="T176">IF(R176="",0,IFERROR(XLOOKUP(R176,'Live Medal Table'!$B$2:$B$94,'Live Medal Table'!$F$2:$F$94,0),0))</f>
        <v>20</v>
      </c>
      <c r="U176" s="29">
        <f t="array" ref="U176">IF(R176="",0,IFERROR(XLOOKUP(R176,'Live Medal Table'!$B$2:$B$94,'Live Medal Table'!$G$2:$G$94,0),0))</f>
        <v>1</v>
      </c>
      <c r="V176" s="29">
        <f t="array" ref="V176">IF(R176="",0,IFERROR(XLOOKUP(R176,'Live Medal Table'!$B$2:$B$94,'Live Medal Table'!$H$2:$H$94,0),0))</f>
        <v>0</v>
      </c>
      <c r="W176" s="29">
        <f t="array" ref="W176">IF(R176="",0,IFERROR(XLOOKUP(R176,'Live Medal Table'!$B$2:$B$94,'Live Medal Table'!$I$2:$I$94,0),0))</f>
        <v>0</v>
      </c>
      <c r="X176" s="29">
        <f t="shared" si="1"/>
        <v>60</v>
      </c>
      <c r="Y176" s="29">
        <f t="shared" si="2"/>
        <v>0</v>
      </c>
      <c r="Z176" s="29">
        <f t="shared" si="3"/>
        <v>0</v>
      </c>
      <c r="AA176" s="29">
        <f t="shared" si="4"/>
        <v>60</v>
      </c>
      <c r="AB176" s="29" t="b">
        <f t="array" ref="AB176">IF(R176="",FALSE,IFERROR(AND(ISNUMBER(MATCH(R176,'Live Medal Table'!$B$2:$B$94,0)),XLOOKUP(R176,'Live Medal Table'!$B$2:$B$94,Countries!$I$2:$I$72,FALSE)),FALSE))</f>
        <v>0</v>
      </c>
    </row>
    <row r="177" ht="15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29"/>
      <c r="M177" s="29"/>
      <c r="N177" s="29" t="str">
        <f t="array" ref="N177">IFERROR(IF(INDEX(Entries!$C$2:$C$47,22)="","",INDEX(Entries!$Q$2:$Q$47,22)),"")</f>
        <v>Molly_Hagstrom_Molly </v>
      </c>
      <c r="O177" s="29" t="str">
        <f t="array" ref="O177">IF(N177="","",IFERROR(INDEX(Entries!$E$2:$E$47,22),""))</f>
        <v>Molly </v>
      </c>
      <c r="P177" s="29" t="str">
        <f>IF(N177="","","Tier6_Pick2")</f>
        <v>Tier6_Pick2</v>
      </c>
      <c r="Q177" s="29">
        <f t="shared" si="48"/>
        <v>6</v>
      </c>
      <c r="R177" s="29" t="str">
        <f t="array" ref="R177">IF(N177="","",IFERROR(INDEX(Entries!$P$2:$P$47,22),""))</f>
        <v>Ukraine</v>
      </c>
      <c r="S177" s="29" t="str">
        <f t="array" ref="S177">IF(R177="","",IFERROR(XLOOKUP(R177,'Live Medal Table'!$B$2:$B$94,'Live Medal Table'!$C$2:$C$94,"???"),"???"))</f>
        <v>UKR</v>
      </c>
      <c r="T177" s="29">
        <f t="array" ref="T177">IF(R177="",0,IFERROR(XLOOKUP(R177,'Live Medal Table'!$B$2:$B$94,'Live Medal Table'!$F$2:$F$94,0),0))</f>
        <v>20</v>
      </c>
      <c r="U177" s="29">
        <f t="array" ref="U177">IF(R177="",0,IFERROR(XLOOKUP(R177,'Live Medal Table'!$B$2:$B$94,'Live Medal Table'!$G$2:$G$94,0),0))</f>
        <v>0</v>
      </c>
      <c r="V177" s="29">
        <f t="array" ref="V177">IF(R177="",0,IFERROR(XLOOKUP(R177,'Live Medal Table'!$B$2:$B$94,'Live Medal Table'!$H$2:$H$94,0),0))</f>
        <v>0</v>
      </c>
      <c r="W177" s="29">
        <f t="array" ref="W177">IF(R177="",0,IFERROR(XLOOKUP(R177,'Live Medal Table'!$B$2:$B$94,'Live Medal Table'!$I$2:$I$94,0),0))</f>
        <v>0</v>
      </c>
      <c r="X177" s="29">
        <f t="shared" si="1"/>
        <v>0</v>
      </c>
      <c r="Y177" s="29">
        <f t="shared" si="2"/>
        <v>0</v>
      </c>
      <c r="Z177" s="29">
        <f t="shared" si="3"/>
        <v>0</v>
      </c>
      <c r="AA177" s="29">
        <f t="shared" si="4"/>
        <v>0</v>
      </c>
      <c r="AB177" s="29" t="b">
        <f t="array" ref="AB177">IF(R177="",FALSE,IFERROR(AND(ISNUMBER(MATCH(R177,'Live Medal Table'!$B$2:$B$94,0)),XLOOKUP(R177,'Live Medal Table'!$B$2:$B$94,Countries!$I$2:$I$72,FALSE)),FALSE))</f>
        <v>0</v>
      </c>
    </row>
    <row r="178" ht="15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29"/>
      <c r="M178" s="29"/>
      <c r="N178" s="29" t="str">
        <f t="array" ref="N178">IFERROR(IF(INDEX(Entries!$C$2:$C$47,23)="","",INDEX(Entries!$Q$2:$Q$47,23)),"")</f>
        <v>Jack_Drobny_Jdrobny</v>
      </c>
      <c r="O178" s="29" t="str">
        <f t="array" ref="O178">IF(N178="","",IFERROR(INDEX(Entries!$E$2:$E$47,23),""))</f>
        <v>Jdrobny</v>
      </c>
      <c r="P178" s="29" t="str">
        <f>IF(N178="","","Tier1_Pick1")</f>
        <v>Tier1_Pick1</v>
      </c>
      <c r="Q178" s="29">
        <f>IF(N178="","",1)</f>
        <v>1</v>
      </c>
      <c r="R178" s="29" t="str">
        <f t="array" ref="R178">IF(N178="","",IFERROR(INDEX(Entries!$F$2:$F$47,23),""))</f>
        <v>Norway</v>
      </c>
      <c r="S178" s="29" t="str">
        <f t="array" ref="S178">IF(R178="","",IFERROR(XLOOKUP(R178,'Live Medal Table'!$B$2:$B$94,'Live Medal Table'!$C$2:$C$94,"???"),"???"))</f>
        <v>NOR</v>
      </c>
      <c r="T178" s="29">
        <f t="array" ref="T178">IF(R178="",0,IFERROR(XLOOKUP(R178,'Live Medal Table'!$B$2:$B$94,'Live Medal Table'!$F$2:$F$94,0),0))</f>
        <v>1</v>
      </c>
      <c r="U178" s="29">
        <f t="array" ref="U178">IF(R178="",0,IFERROR(XLOOKUP(R178,'Live Medal Table'!$B$2:$B$94,'Live Medal Table'!$G$2:$G$94,0),0))</f>
        <v>18</v>
      </c>
      <c r="V178" s="29">
        <f t="array" ref="V178">IF(R178="",0,IFERROR(XLOOKUP(R178,'Live Medal Table'!$B$2:$B$94,'Live Medal Table'!$H$2:$H$94,0),0))</f>
        <v>12</v>
      </c>
      <c r="W178" s="29">
        <f t="array" ref="W178">IF(R178="",0,IFERROR(XLOOKUP(R178,'Live Medal Table'!$B$2:$B$94,'Live Medal Table'!$I$2:$I$94,0),0))</f>
        <v>11</v>
      </c>
      <c r="X178" s="29">
        <f t="shared" si="1"/>
        <v>54</v>
      </c>
      <c r="Y178" s="29">
        <f t="shared" si="2"/>
        <v>24</v>
      </c>
      <c r="Z178" s="29">
        <f t="shared" si="3"/>
        <v>11</v>
      </c>
      <c r="AA178" s="29">
        <f t="shared" si="4"/>
        <v>89</v>
      </c>
      <c r="AB178" s="29" t="b">
        <f t="array" ref="AB178">IF(R178="",FALSE,IFERROR(AND(ISNUMBER(MATCH(R178,'Live Medal Table'!$B$2:$B$94,0)),XLOOKUP(R178,'Live Medal Table'!$B$2:$B$94,Countries!$I$2:$I$72,FALSE)),FALSE))</f>
        <v>0</v>
      </c>
    </row>
    <row r="179" ht="15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29"/>
      <c r="M179" s="29"/>
      <c r="N179" s="29" t="str">
        <f t="array" ref="N179">IFERROR(IF(INDEX(Entries!$C$2:$C$47,23)="","",INDEX(Entries!$Q$2:$Q$47,23)),"")</f>
        <v>Jack_Drobny_Jdrobny</v>
      </c>
      <c r="O179" s="29" t="str">
        <f t="array" ref="O179">IF(N179="","",IFERROR(INDEX(Entries!$E$2:$E$47,23),""))</f>
        <v>Jdrobny</v>
      </c>
      <c r="P179" s="29" t="str">
        <f>IF(N179="","","Tier2_Pick1")</f>
        <v>Tier2_Pick1</v>
      </c>
      <c r="Q179" s="29">
        <f t="shared" ref="Q179:Q180" si="49">IF(N179="","",2)</f>
        <v>2</v>
      </c>
      <c r="R179" s="29" t="str">
        <f t="array" ref="R179">IF(N179="","",IFERROR(INDEX(Entries!$M$2:$M$47,23),""))</f>
        <v>South Korea</v>
      </c>
      <c r="S179" s="29" t="str">
        <f t="array" ref="S179">IF(R179="","",IFERROR(XLOOKUP(R179,'Live Medal Table'!$B$2:$B$94,'Live Medal Table'!$C$2:$C$94,"???"),"???"))</f>
        <v>KOR</v>
      </c>
      <c r="T179" s="29">
        <f t="array" ref="T179">IF(R179="",0,IFERROR(XLOOKUP(R179,'Live Medal Table'!$B$2:$B$94,'Live Medal Table'!$F$2:$F$94,0),0))</f>
        <v>2</v>
      </c>
      <c r="U179" s="29">
        <f t="array" ref="U179">IF(R179="",0,IFERROR(XLOOKUP(R179,'Live Medal Table'!$B$2:$B$94,'Live Medal Table'!$G$2:$G$94,0),0))</f>
        <v>3</v>
      </c>
      <c r="V179" s="29">
        <f t="array" ref="V179">IF(R179="",0,IFERROR(XLOOKUP(R179,'Live Medal Table'!$B$2:$B$94,'Live Medal Table'!$H$2:$H$94,0),0))</f>
        <v>4</v>
      </c>
      <c r="W179" s="29">
        <f t="array" ref="W179">IF(R179="",0,IFERROR(XLOOKUP(R179,'Live Medal Table'!$B$2:$B$94,'Live Medal Table'!$I$2:$I$94,0),0))</f>
        <v>3</v>
      </c>
      <c r="X179" s="29">
        <f t="shared" si="1"/>
        <v>18</v>
      </c>
      <c r="Y179" s="29">
        <f t="shared" si="2"/>
        <v>16</v>
      </c>
      <c r="Z179" s="29">
        <f t="shared" si="3"/>
        <v>6</v>
      </c>
      <c r="AA179" s="29">
        <f t="shared" si="4"/>
        <v>40</v>
      </c>
      <c r="AB179" s="29" t="b">
        <f t="array" ref="AB179">IF(R179="",FALSE,IFERROR(AND(ISNUMBER(MATCH(R179,'Live Medal Table'!$B$2:$B$94,0)),XLOOKUP(R179,'Live Medal Table'!$B$2:$B$94,Countries!$I$2:$I$72,FALSE)),FALSE))</f>
        <v>0</v>
      </c>
    </row>
    <row r="180" ht="15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29"/>
      <c r="M180" s="29"/>
      <c r="N180" s="29" t="str">
        <f t="array" ref="N180">IFERROR(IF(INDEX(Entries!$C$2:$C$47,23)="","",INDEX(Entries!$Q$2:$Q$47,23)),"")</f>
        <v>Jack_Drobny_Jdrobny</v>
      </c>
      <c r="O180" s="29" t="str">
        <f t="array" ref="O180">IF(N180="","",IFERROR(INDEX(Entries!$E$2:$E$47,23),""))</f>
        <v>Jdrobny</v>
      </c>
      <c r="P180" s="29" t="str">
        <f>IF(N180="","","Tier2_Pick2")</f>
        <v>Tier2_Pick2</v>
      </c>
      <c r="Q180" s="29">
        <f t="shared" si="49"/>
        <v>2</v>
      </c>
      <c r="R180" s="29" t="str">
        <f t="array" ref="R180">IF(N180="","",IFERROR(INDEX(Entries!$N$2:$N$47,23),""))</f>
        <v>Sweden</v>
      </c>
      <c r="S180" s="29" t="str">
        <f t="array" ref="S180">IF(R180="","",IFERROR(XLOOKUP(R180,'Live Medal Table'!$B$2:$B$94,'Live Medal Table'!$C$2:$C$94,"???"),"???"))</f>
        <v>SWE</v>
      </c>
      <c r="T180" s="29">
        <f t="array" ref="T180">IF(R180="",0,IFERROR(XLOOKUP(R180,'Live Medal Table'!$B$2:$B$94,'Live Medal Table'!$F$2:$F$94,0),0))</f>
        <v>2</v>
      </c>
      <c r="U180" s="29">
        <f t="array" ref="U180">IF(R180="",0,IFERROR(XLOOKUP(R180,'Live Medal Table'!$B$2:$B$94,'Live Medal Table'!$G$2:$G$94,0),0))</f>
        <v>8</v>
      </c>
      <c r="V180" s="29">
        <f t="array" ref="V180">IF(R180="",0,IFERROR(XLOOKUP(R180,'Live Medal Table'!$B$2:$B$94,'Live Medal Table'!$H$2:$H$94,0),0))</f>
        <v>6</v>
      </c>
      <c r="W180" s="29">
        <f t="array" ref="W180">IF(R180="",0,IFERROR(XLOOKUP(R180,'Live Medal Table'!$B$2:$B$94,'Live Medal Table'!$I$2:$I$94,0),0))</f>
        <v>4</v>
      </c>
      <c r="X180" s="29">
        <f t="shared" si="1"/>
        <v>48</v>
      </c>
      <c r="Y180" s="29">
        <f t="shared" si="2"/>
        <v>24</v>
      </c>
      <c r="Z180" s="29">
        <f t="shared" si="3"/>
        <v>8</v>
      </c>
      <c r="AA180" s="29">
        <f t="shared" si="4"/>
        <v>80</v>
      </c>
      <c r="AB180" s="29" t="b">
        <f t="array" ref="AB180">IF(R180="",FALSE,IFERROR(AND(ISNUMBER(MATCH(R180,'Live Medal Table'!$B$2:$B$94,0)),XLOOKUP(R180,'Live Medal Table'!$B$2:$B$94,Countries!$I$2:$I$72,FALSE)),FALSE))</f>
        <v>0</v>
      </c>
    </row>
    <row r="181" ht="15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29"/>
      <c r="M181" s="29"/>
      <c r="N181" s="29" t="str">
        <f t="array" ref="N181">IFERROR(IF(INDEX(Entries!$C$2:$C$47,23)="","",INDEX(Entries!$Q$2:$Q$47,23)),"")</f>
        <v>Jack_Drobny_Jdrobny</v>
      </c>
      <c r="O181" s="29" t="str">
        <f t="array" ref="O181">IF(N181="","",IFERROR(INDEX(Entries!$E$2:$E$47,23),""))</f>
        <v>Jdrobny</v>
      </c>
      <c r="P181" s="29" t="str">
        <f>IF(N181="","","Tier3_Pick1")</f>
        <v>Tier3_Pick1</v>
      </c>
      <c r="Q181" s="29">
        <f>IF(N181="","",3)</f>
        <v>3</v>
      </c>
      <c r="R181" s="29" t="str">
        <f t="array" ref="R181">IF(N181="","",IFERROR(INDEX(Entries!$H$2:$H$47,23),""))</f>
        <v>Italy</v>
      </c>
      <c r="S181" s="29" t="str">
        <f t="array" ref="S181">IF(R181="","",IFERROR(XLOOKUP(R181,'Live Medal Table'!$B$2:$B$94,'Live Medal Table'!$C$2:$C$94,"???"),"???"))</f>
        <v>ITA</v>
      </c>
      <c r="T181" s="29">
        <f t="array" ref="T181">IF(R181="",0,IFERROR(XLOOKUP(R181,'Live Medal Table'!$B$2:$B$94,'Live Medal Table'!$F$2:$F$94,0),0))</f>
        <v>3</v>
      </c>
      <c r="U181" s="29">
        <f t="array" ref="U181">IF(R181="",0,IFERROR(XLOOKUP(R181,'Live Medal Table'!$B$2:$B$94,'Live Medal Table'!$G$2:$G$94,0),0))</f>
        <v>10</v>
      </c>
      <c r="V181" s="29">
        <f t="array" ref="V181">IF(R181="",0,IFERROR(XLOOKUP(R181,'Live Medal Table'!$B$2:$B$94,'Live Medal Table'!$H$2:$H$94,0),0))</f>
        <v>6</v>
      </c>
      <c r="W181" s="29">
        <f t="array" ref="W181">IF(R181="",0,IFERROR(XLOOKUP(R181,'Live Medal Table'!$B$2:$B$94,'Live Medal Table'!$I$2:$I$94,0),0))</f>
        <v>14</v>
      </c>
      <c r="X181" s="29">
        <f t="shared" si="1"/>
        <v>90</v>
      </c>
      <c r="Y181" s="29">
        <f t="shared" si="2"/>
        <v>36</v>
      </c>
      <c r="Z181" s="29">
        <f t="shared" si="3"/>
        <v>42</v>
      </c>
      <c r="AA181" s="29">
        <f t="shared" si="4"/>
        <v>168</v>
      </c>
      <c r="AB181" s="29" t="b">
        <f t="array" ref="AB181">IF(R181="",FALSE,IFERROR(AND(ISNUMBER(MATCH(R181,'Live Medal Table'!$B$2:$B$94,0)),XLOOKUP(R181,'Live Medal Table'!$B$2:$B$94,Countries!$I$2:$I$72,FALSE)),FALSE))</f>
        <v>0</v>
      </c>
    </row>
    <row r="182" ht="15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29"/>
      <c r="M182" s="29"/>
      <c r="N182" s="29" t="str">
        <f t="array" ref="N182">IFERROR(IF(INDEX(Entries!$C$2:$C$47,23)="","",INDEX(Entries!$Q$2:$Q$47,23)),"")</f>
        <v>Jack_Drobny_Jdrobny</v>
      </c>
      <c r="O182" s="29" t="str">
        <f t="array" ref="O182">IF(N182="","",IFERROR(INDEX(Entries!$E$2:$E$47,23),""))</f>
        <v>Jdrobny</v>
      </c>
      <c r="P182" s="29" t="str">
        <f>IF(N182="","","Tier4_Pick1")</f>
        <v>Tier4_Pick1</v>
      </c>
      <c r="Q182" s="29">
        <f>IF(N182="","",4)</f>
        <v>4</v>
      </c>
      <c r="R182" s="29" t="str">
        <f t="array" ref="R182">IF(N182="","",IFERROR(INDEX(Entries!$I$2:$I$47,23),""))</f>
        <v>Slovenia</v>
      </c>
      <c r="S182" s="29" t="str">
        <f t="array" ref="S182">IF(R182="","",IFERROR(XLOOKUP(R182,'Live Medal Table'!$B$2:$B$94,'Live Medal Table'!$C$2:$C$94,"???"),"???"))</f>
        <v>SLO</v>
      </c>
      <c r="T182" s="29">
        <f t="array" ref="T182">IF(R182="",0,IFERROR(XLOOKUP(R182,'Live Medal Table'!$B$2:$B$94,'Live Medal Table'!$F$2:$F$94,0),0))</f>
        <v>6</v>
      </c>
      <c r="U182" s="29">
        <f t="array" ref="U182">IF(R182="",0,IFERROR(XLOOKUP(R182,'Live Medal Table'!$B$2:$B$94,'Live Medal Table'!$G$2:$G$94,0),0))</f>
        <v>2</v>
      </c>
      <c r="V182" s="29">
        <f t="array" ref="V182">IF(R182="",0,IFERROR(XLOOKUP(R182,'Live Medal Table'!$B$2:$B$94,'Live Medal Table'!$H$2:$H$94,0),0))</f>
        <v>1</v>
      </c>
      <c r="W182" s="29">
        <f t="array" ref="W182">IF(R182="",0,IFERROR(XLOOKUP(R182,'Live Medal Table'!$B$2:$B$94,'Live Medal Table'!$I$2:$I$94,0),0))</f>
        <v>1</v>
      </c>
      <c r="X182" s="29">
        <f t="shared" si="1"/>
        <v>36</v>
      </c>
      <c r="Y182" s="29">
        <f t="shared" si="2"/>
        <v>12</v>
      </c>
      <c r="Z182" s="29">
        <f t="shared" si="3"/>
        <v>6</v>
      </c>
      <c r="AA182" s="29">
        <f t="shared" si="4"/>
        <v>54</v>
      </c>
      <c r="AB182" s="29" t="b">
        <f t="array" ref="AB182">IF(R182="",FALSE,IFERROR(AND(ISNUMBER(MATCH(R182,'Live Medal Table'!$B$2:$B$94,0)),XLOOKUP(R182,'Live Medal Table'!$B$2:$B$94,Countries!$I$2:$I$72,FALSE)),FALSE))</f>
        <v>0</v>
      </c>
    </row>
    <row r="183" ht="15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29"/>
      <c r="M183" s="29"/>
      <c r="N183" s="29" t="str">
        <f t="array" ref="N183">IFERROR(IF(INDEX(Entries!$C$2:$C$47,23)="","",INDEX(Entries!$Q$2:$Q$47,23)),"")</f>
        <v>Jack_Drobny_Jdrobny</v>
      </c>
      <c r="O183" s="29" t="str">
        <f t="array" ref="O183">IF(N183="","",IFERROR(INDEX(Entries!$E$2:$E$47,23),""))</f>
        <v>Jdrobny</v>
      </c>
      <c r="P183" s="29" t="str">
        <f>IF(N183="","","Tier5_Pick1")</f>
        <v>Tier5_Pick1</v>
      </c>
      <c r="Q183" s="29">
        <f>IF(N183="","",5)</f>
        <v>5</v>
      </c>
      <c r="R183" s="29" t="str">
        <f t="array" ref="R183">IF(N183="","",IFERROR(INDEX(Entries!$J$2:$J$47,23),""))</f>
        <v>Slovakia</v>
      </c>
      <c r="S183" s="29" t="str">
        <f t="array" ref="S183">IF(R183="","",IFERROR(XLOOKUP(R183,'Live Medal Table'!$B$2:$B$94,'Live Medal Table'!$C$2:$C$94,"???"),"???"))</f>
        <v>SVK</v>
      </c>
      <c r="T183" s="29">
        <f t="array" ref="T183">IF(R183="",0,IFERROR(XLOOKUP(R183,'Live Medal Table'!$B$2:$B$94,'Live Medal Table'!$F$2:$F$94,0),0))</f>
        <v>10</v>
      </c>
      <c r="U183" s="29">
        <f t="array" ref="U183">IF(R183="",0,IFERROR(XLOOKUP(R183,'Live Medal Table'!$B$2:$B$94,'Live Medal Table'!$G$2:$G$94,0),0))</f>
        <v>0</v>
      </c>
      <c r="V183" s="29">
        <f t="array" ref="V183">IF(R183="",0,IFERROR(XLOOKUP(R183,'Live Medal Table'!$B$2:$B$94,'Live Medal Table'!$H$2:$H$94,0),0))</f>
        <v>0</v>
      </c>
      <c r="W183" s="29">
        <f t="array" ref="W183">IF(R183="",0,IFERROR(XLOOKUP(R183,'Live Medal Table'!$B$2:$B$94,'Live Medal Table'!$I$2:$I$94,0),0))</f>
        <v>0</v>
      </c>
      <c r="X183" s="29">
        <f t="shared" si="1"/>
        <v>0</v>
      </c>
      <c r="Y183" s="29">
        <f t="shared" si="2"/>
        <v>0</v>
      </c>
      <c r="Z183" s="29">
        <f t="shared" si="3"/>
        <v>0</v>
      </c>
      <c r="AA183" s="29">
        <f t="shared" si="4"/>
        <v>0</v>
      </c>
      <c r="AB183" s="29" t="b">
        <f t="array" ref="AB183">IF(R183="",FALSE,IFERROR(AND(ISNUMBER(MATCH(R183,'Live Medal Table'!$B$2:$B$94,0)),XLOOKUP(R183,'Live Medal Table'!$B$2:$B$94,Countries!$I$2:$I$72,FALSE)),FALSE))</f>
        <v>0</v>
      </c>
    </row>
    <row r="184" ht="15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29"/>
      <c r="M184" s="29"/>
      <c r="N184" s="29" t="str">
        <f t="array" ref="N184">IFERROR(IF(INDEX(Entries!$C$2:$C$47,23)="","",INDEX(Entries!$Q$2:$Q$47,23)),"")</f>
        <v>Jack_Drobny_Jdrobny</v>
      </c>
      <c r="O184" s="29" t="str">
        <f t="array" ref="O184">IF(N184="","",IFERROR(INDEX(Entries!$E$2:$E$47,23),""))</f>
        <v>Jdrobny</v>
      </c>
      <c r="P184" s="29" t="str">
        <f>IF(N184="","","Tier6_Pick1")</f>
        <v>Tier6_Pick1</v>
      </c>
      <c r="Q184" s="29">
        <f t="shared" ref="Q184:Q185" si="50">IF(N184="","",6)</f>
        <v>6</v>
      </c>
      <c r="R184" s="29" t="str">
        <f t="array" ref="R184">IF(N184="","",IFERROR(INDEX(Entries!$O$2:$O$47,23),""))</f>
        <v>Belgium</v>
      </c>
      <c r="S184" s="29" t="str">
        <f t="array" ref="S184">IF(R184="","",IFERROR(XLOOKUP(R184,'Live Medal Table'!$B$2:$B$94,'Live Medal Table'!$C$2:$C$94,"???"),"???"))</f>
        <v>BEL</v>
      </c>
      <c r="T184" s="29">
        <f t="array" ref="T184">IF(R184="",0,IFERROR(XLOOKUP(R184,'Live Medal Table'!$B$2:$B$94,'Live Medal Table'!$F$2:$F$94,0),0))</f>
        <v>20</v>
      </c>
      <c r="U184" s="29">
        <f t="array" ref="U184">IF(R184="",0,IFERROR(XLOOKUP(R184,'Live Medal Table'!$B$2:$B$94,'Live Medal Table'!$G$2:$G$94,0),0))</f>
        <v>0</v>
      </c>
      <c r="V184" s="29">
        <f t="array" ref="V184">IF(R184="",0,IFERROR(XLOOKUP(R184,'Live Medal Table'!$B$2:$B$94,'Live Medal Table'!$H$2:$H$94,0),0))</f>
        <v>0</v>
      </c>
      <c r="W184" s="29">
        <f t="array" ref="W184">IF(R184="",0,IFERROR(XLOOKUP(R184,'Live Medal Table'!$B$2:$B$94,'Live Medal Table'!$I$2:$I$94,0),0))</f>
        <v>1</v>
      </c>
      <c r="X184" s="29">
        <f t="shared" si="1"/>
        <v>0</v>
      </c>
      <c r="Y184" s="29">
        <f t="shared" si="2"/>
        <v>0</v>
      </c>
      <c r="Z184" s="29">
        <f t="shared" si="3"/>
        <v>20</v>
      </c>
      <c r="AA184" s="29">
        <f t="shared" si="4"/>
        <v>20</v>
      </c>
      <c r="AB184" s="29" t="b">
        <f t="array" ref="AB184">IF(R184="",FALSE,IFERROR(AND(ISNUMBER(MATCH(R184,'Live Medal Table'!$B$2:$B$94,0)),XLOOKUP(R184,'Live Medal Table'!$B$2:$B$94,Countries!$I$2:$I$72,FALSE)),FALSE))</f>
        <v>0</v>
      </c>
    </row>
    <row r="185" ht="15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29"/>
      <c r="M185" s="29"/>
      <c r="N185" s="29" t="str">
        <f t="array" ref="N185">IFERROR(IF(INDEX(Entries!$C$2:$C$47,23)="","",INDEX(Entries!$Q$2:$Q$47,23)),"")</f>
        <v>Jack_Drobny_Jdrobny</v>
      </c>
      <c r="O185" s="29" t="str">
        <f t="array" ref="O185">IF(N185="","",IFERROR(INDEX(Entries!$E$2:$E$47,23),""))</f>
        <v>Jdrobny</v>
      </c>
      <c r="P185" s="29" t="str">
        <f>IF(N185="","","Tier6_Pick2")</f>
        <v>Tier6_Pick2</v>
      </c>
      <c r="Q185" s="29">
        <f t="shared" si="50"/>
        <v>6</v>
      </c>
      <c r="R185" s="29" t="str">
        <f t="array" ref="R185">IF(N185="","",IFERROR(INDEX(Entries!$P$2:$P$47,23),""))</f>
        <v>Ukraine</v>
      </c>
      <c r="S185" s="29" t="str">
        <f t="array" ref="S185">IF(R185="","",IFERROR(XLOOKUP(R185,'Live Medal Table'!$B$2:$B$94,'Live Medal Table'!$C$2:$C$94,"???"),"???"))</f>
        <v>UKR</v>
      </c>
      <c r="T185" s="29">
        <f t="array" ref="T185">IF(R185="",0,IFERROR(XLOOKUP(R185,'Live Medal Table'!$B$2:$B$94,'Live Medal Table'!$F$2:$F$94,0),0))</f>
        <v>20</v>
      </c>
      <c r="U185" s="29">
        <f t="array" ref="U185">IF(R185="",0,IFERROR(XLOOKUP(R185,'Live Medal Table'!$B$2:$B$94,'Live Medal Table'!$G$2:$G$94,0),0))</f>
        <v>0</v>
      </c>
      <c r="V185" s="29">
        <f t="array" ref="V185">IF(R185="",0,IFERROR(XLOOKUP(R185,'Live Medal Table'!$B$2:$B$94,'Live Medal Table'!$H$2:$H$94,0),0))</f>
        <v>0</v>
      </c>
      <c r="W185" s="29">
        <f t="array" ref="W185">IF(R185="",0,IFERROR(XLOOKUP(R185,'Live Medal Table'!$B$2:$B$94,'Live Medal Table'!$I$2:$I$94,0),0))</f>
        <v>0</v>
      </c>
      <c r="X185" s="29">
        <f t="shared" si="1"/>
        <v>0</v>
      </c>
      <c r="Y185" s="29">
        <f t="shared" si="2"/>
        <v>0</v>
      </c>
      <c r="Z185" s="29">
        <f t="shared" si="3"/>
        <v>0</v>
      </c>
      <c r="AA185" s="29">
        <f t="shared" si="4"/>
        <v>0</v>
      </c>
      <c r="AB185" s="29" t="b">
        <f t="array" ref="AB185">IF(R185="",FALSE,IFERROR(AND(ISNUMBER(MATCH(R185,'Live Medal Table'!$B$2:$B$94,0)),XLOOKUP(R185,'Live Medal Table'!$B$2:$B$94,Countries!$I$2:$I$72,FALSE)),FALSE))</f>
        <v>0</v>
      </c>
    </row>
    <row r="186" ht="15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29"/>
      <c r="M186" s="29"/>
      <c r="N186" s="29" t="str">
        <f t="array" ref="N186">IFERROR(IF(INDEX(Entries!$C$2:$C$47,24)="","",INDEX(Entries!$Q$2:$Q$47,24)),"")</f>
        <v/>
      </c>
      <c r="O186" s="29" t="str">
        <f t="array" ref="O186">IF(N186="","",IFERROR(INDEX(Entries!$E$2:$E$47,24),""))</f>
        <v/>
      </c>
      <c r="P186" s="29" t="str">
        <f>IF(N186="","","Tier1_Pick1")</f>
        <v/>
      </c>
      <c r="Q186" s="29" t="str">
        <f>IF(N186="","",1)</f>
        <v/>
      </c>
      <c r="R186" s="29" t="str">
        <f t="array" ref="R186">IF(N186="","",IFERROR(INDEX(Entries!$F$2:$F$47,24),""))</f>
        <v/>
      </c>
      <c r="S186" s="29" t="str">
        <f t="array" ref="S186">IF(R186="","",IFERROR(XLOOKUP(R186,'Live Medal Table'!$B$2:$B$94,'Live Medal Table'!$C$2:$C$94,"???"),"???"))</f>
        <v/>
      </c>
      <c r="T186" s="29">
        <f t="array" ref="T186">IF(R186="",0,IFERROR(XLOOKUP(R186,'Live Medal Table'!$B$2:$B$94,'Live Medal Table'!$F$2:$F$94,0),0))</f>
        <v>0</v>
      </c>
      <c r="U186" s="29">
        <f t="array" ref="U186">IF(R186="",0,IFERROR(XLOOKUP(R186,'Live Medal Table'!$B$2:$B$94,'Live Medal Table'!$G$2:$G$94,0),0))</f>
        <v>0</v>
      </c>
      <c r="V186" s="29">
        <f t="array" ref="V186">IF(R186="",0,IFERROR(XLOOKUP(R186,'Live Medal Table'!$B$2:$B$94,'Live Medal Table'!$H$2:$H$94,0),0))</f>
        <v>0</v>
      </c>
      <c r="W186" s="29">
        <f t="array" ref="W186">IF(R186="",0,IFERROR(XLOOKUP(R186,'Live Medal Table'!$B$2:$B$94,'Live Medal Table'!$I$2:$I$94,0),0))</f>
        <v>0</v>
      </c>
      <c r="X186" s="29">
        <f t="shared" si="1"/>
        <v>0</v>
      </c>
      <c r="Y186" s="29">
        <f t="shared" si="2"/>
        <v>0</v>
      </c>
      <c r="Z186" s="29">
        <f t="shared" si="3"/>
        <v>0</v>
      </c>
      <c r="AA186" s="29">
        <f t="shared" si="4"/>
        <v>0</v>
      </c>
      <c r="AB186" s="29" t="b">
        <f t="array" ref="AB186">IF(R186="",FALSE,IFERROR(AND(ISNUMBER(MATCH(R186,'Live Medal Table'!$B$2:$B$94,0)),XLOOKUP(R186,'Live Medal Table'!$B$2:$B$94,Countries!$I$2:$I$72,FALSE)),FALSE))</f>
        <v>0</v>
      </c>
    </row>
    <row r="187" ht="15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29"/>
      <c r="M187" s="29"/>
      <c r="N187" s="29" t="str">
        <f t="array" ref="N187">IFERROR(IF(INDEX(Entries!$C$2:$C$47,24)="","",INDEX(Entries!$Q$2:$Q$47,24)),"")</f>
        <v/>
      </c>
      <c r="O187" s="29" t="str">
        <f t="array" ref="O187">IF(N187="","",IFERROR(INDEX(Entries!$E$2:$E$47,24),""))</f>
        <v/>
      </c>
      <c r="P187" s="29" t="str">
        <f>IF(N187="","","Tier2_Pick1")</f>
        <v/>
      </c>
      <c r="Q187" s="29" t="str">
        <f t="shared" ref="Q187:Q188" si="51">IF(N187="","",2)</f>
        <v/>
      </c>
      <c r="R187" s="29" t="str">
        <f t="array" ref="R187">IF(N187="","",IFERROR(INDEX(Entries!$M$2:$M$47,24),""))</f>
        <v/>
      </c>
      <c r="S187" s="29" t="str">
        <f t="array" ref="S187">IF(R187="","",IFERROR(XLOOKUP(R187,'Live Medal Table'!$B$2:$B$94,'Live Medal Table'!$C$2:$C$94,"???"),"???"))</f>
        <v/>
      </c>
      <c r="T187" s="29">
        <f t="array" ref="T187">IF(R187="",0,IFERROR(XLOOKUP(R187,'Live Medal Table'!$B$2:$B$94,'Live Medal Table'!$F$2:$F$94,0),0))</f>
        <v>0</v>
      </c>
      <c r="U187" s="29">
        <f t="array" ref="U187">IF(R187="",0,IFERROR(XLOOKUP(R187,'Live Medal Table'!$B$2:$B$94,'Live Medal Table'!$G$2:$G$94,0),0))</f>
        <v>0</v>
      </c>
      <c r="V187" s="29">
        <f t="array" ref="V187">IF(R187="",0,IFERROR(XLOOKUP(R187,'Live Medal Table'!$B$2:$B$94,'Live Medal Table'!$H$2:$H$94,0),0))</f>
        <v>0</v>
      </c>
      <c r="W187" s="29">
        <f t="array" ref="W187">IF(R187="",0,IFERROR(XLOOKUP(R187,'Live Medal Table'!$B$2:$B$94,'Live Medal Table'!$I$2:$I$94,0),0))</f>
        <v>0</v>
      </c>
      <c r="X187" s="29">
        <f t="shared" si="1"/>
        <v>0</v>
      </c>
      <c r="Y187" s="29">
        <f t="shared" si="2"/>
        <v>0</v>
      </c>
      <c r="Z187" s="29">
        <f t="shared" si="3"/>
        <v>0</v>
      </c>
      <c r="AA187" s="29">
        <f t="shared" si="4"/>
        <v>0</v>
      </c>
      <c r="AB187" s="29" t="b">
        <f t="array" ref="AB187">IF(R187="",FALSE,IFERROR(AND(ISNUMBER(MATCH(R187,'Live Medal Table'!$B$2:$B$94,0)),XLOOKUP(R187,'Live Medal Table'!$B$2:$B$94,Countries!$I$2:$I$72,FALSE)),FALSE))</f>
        <v>0</v>
      </c>
    </row>
    <row r="188" ht="15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29"/>
      <c r="M188" s="29"/>
      <c r="N188" s="29" t="str">
        <f t="array" ref="N188">IFERROR(IF(INDEX(Entries!$C$2:$C$47,24)="","",INDEX(Entries!$Q$2:$Q$47,24)),"")</f>
        <v/>
      </c>
      <c r="O188" s="29" t="str">
        <f t="array" ref="O188">IF(N188="","",IFERROR(INDEX(Entries!$E$2:$E$47,24),""))</f>
        <v/>
      </c>
      <c r="P188" s="29" t="str">
        <f>IF(N188="","","Tier2_Pick2")</f>
        <v/>
      </c>
      <c r="Q188" s="29" t="str">
        <f t="shared" si="51"/>
        <v/>
      </c>
      <c r="R188" s="29" t="str">
        <f t="array" ref="R188">IF(N188="","",IFERROR(INDEX(Entries!$N$2:$N$47,24),""))</f>
        <v/>
      </c>
      <c r="S188" s="29" t="str">
        <f t="array" ref="S188">IF(R188="","",IFERROR(XLOOKUP(R188,'Live Medal Table'!$B$2:$B$94,'Live Medal Table'!$C$2:$C$94,"???"),"???"))</f>
        <v/>
      </c>
      <c r="T188" s="29">
        <f t="array" ref="T188">IF(R188="",0,IFERROR(XLOOKUP(R188,'Live Medal Table'!$B$2:$B$94,'Live Medal Table'!$F$2:$F$94,0),0))</f>
        <v>0</v>
      </c>
      <c r="U188" s="29">
        <f t="array" ref="U188">IF(R188="",0,IFERROR(XLOOKUP(R188,'Live Medal Table'!$B$2:$B$94,'Live Medal Table'!$G$2:$G$94,0),0))</f>
        <v>0</v>
      </c>
      <c r="V188" s="29">
        <f t="array" ref="V188">IF(R188="",0,IFERROR(XLOOKUP(R188,'Live Medal Table'!$B$2:$B$94,'Live Medal Table'!$H$2:$H$94,0),0))</f>
        <v>0</v>
      </c>
      <c r="W188" s="29">
        <f t="array" ref="W188">IF(R188="",0,IFERROR(XLOOKUP(R188,'Live Medal Table'!$B$2:$B$94,'Live Medal Table'!$I$2:$I$94,0),0))</f>
        <v>0</v>
      </c>
      <c r="X188" s="29">
        <f t="shared" si="1"/>
        <v>0</v>
      </c>
      <c r="Y188" s="29">
        <f t="shared" si="2"/>
        <v>0</v>
      </c>
      <c r="Z188" s="29">
        <f t="shared" si="3"/>
        <v>0</v>
      </c>
      <c r="AA188" s="29">
        <f t="shared" si="4"/>
        <v>0</v>
      </c>
      <c r="AB188" s="29" t="b">
        <f t="array" ref="AB188">IF(R188="",FALSE,IFERROR(AND(ISNUMBER(MATCH(R188,'Live Medal Table'!$B$2:$B$94,0)),XLOOKUP(R188,'Live Medal Table'!$B$2:$B$94,Countries!$I$2:$I$72,FALSE)),FALSE))</f>
        <v>0</v>
      </c>
    </row>
    <row r="189" ht="15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29"/>
      <c r="M189" s="29"/>
      <c r="N189" s="29" t="str">
        <f t="array" ref="N189">IFERROR(IF(INDEX(Entries!$C$2:$C$47,24)="","",INDEX(Entries!$Q$2:$Q$47,24)),"")</f>
        <v/>
      </c>
      <c r="O189" s="29" t="str">
        <f t="array" ref="O189">IF(N189="","",IFERROR(INDEX(Entries!$E$2:$E$47,24),""))</f>
        <v/>
      </c>
      <c r="P189" s="29" t="str">
        <f>IF(N189="","","Tier3_Pick1")</f>
        <v/>
      </c>
      <c r="Q189" s="29" t="str">
        <f>IF(N189="","",3)</f>
        <v/>
      </c>
      <c r="R189" s="29" t="str">
        <f t="array" ref="R189">IF(N189="","",IFERROR(INDEX(Entries!$H$2:$H$47,24),""))</f>
        <v/>
      </c>
      <c r="S189" s="29" t="str">
        <f t="array" ref="S189">IF(R189="","",IFERROR(XLOOKUP(R189,'Live Medal Table'!$B$2:$B$94,'Live Medal Table'!$C$2:$C$94,"???"),"???"))</f>
        <v/>
      </c>
      <c r="T189" s="29">
        <f t="array" ref="T189">IF(R189="",0,IFERROR(XLOOKUP(R189,'Live Medal Table'!$B$2:$B$94,'Live Medal Table'!$F$2:$F$94,0),0))</f>
        <v>0</v>
      </c>
      <c r="U189" s="29">
        <f t="array" ref="U189">IF(R189="",0,IFERROR(XLOOKUP(R189,'Live Medal Table'!$B$2:$B$94,'Live Medal Table'!$G$2:$G$94,0),0))</f>
        <v>0</v>
      </c>
      <c r="V189" s="29">
        <f t="array" ref="V189">IF(R189="",0,IFERROR(XLOOKUP(R189,'Live Medal Table'!$B$2:$B$94,'Live Medal Table'!$H$2:$H$94,0),0))</f>
        <v>0</v>
      </c>
      <c r="W189" s="29">
        <f t="array" ref="W189">IF(R189="",0,IFERROR(XLOOKUP(R189,'Live Medal Table'!$B$2:$B$94,'Live Medal Table'!$I$2:$I$94,0),0))</f>
        <v>0</v>
      </c>
      <c r="X189" s="29">
        <f t="shared" si="1"/>
        <v>0</v>
      </c>
      <c r="Y189" s="29">
        <f t="shared" si="2"/>
        <v>0</v>
      </c>
      <c r="Z189" s="29">
        <f t="shared" si="3"/>
        <v>0</v>
      </c>
      <c r="AA189" s="29">
        <f t="shared" si="4"/>
        <v>0</v>
      </c>
      <c r="AB189" s="29" t="b">
        <f t="array" ref="AB189">IF(R189="",FALSE,IFERROR(AND(ISNUMBER(MATCH(R189,'Live Medal Table'!$B$2:$B$94,0)),XLOOKUP(R189,'Live Medal Table'!$B$2:$B$94,Countries!$I$2:$I$72,FALSE)),FALSE))</f>
        <v>0</v>
      </c>
    </row>
    <row r="190" ht="15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29"/>
      <c r="M190" s="29"/>
      <c r="N190" s="29" t="str">
        <f t="array" ref="N190">IFERROR(IF(INDEX(Entries!$C$2:$C$47,24)="","",INDEX(Entries!$Q$2:$Q$47,24)),"")</f>
        <v/>
      </c>
      <c r="O190" s="29" t="str">
        <f t="array" ref="O190">IF(N190="","",IFERROR(INDEX(Entries!$E$2:$E$47,24),""))</f>
        <v/>
      </c>
      <c r="P190" s="29" t="str">
        <f>IF(N190="","","Tier4_Pick1")</f>
        <v/>
      </c>
      <c r="Q190" s="29" t="str">
        <f>IF(N190="","",4)</f>
        <v/>
      </c>
      <c r="R190" s="29" t="str">
        <f t="array" ref="R190">IF(N190="","",IFERROR(INDEX(Entries!$I$2:$I$47,24),""))</f>
        <v/>
      </c>
      <c r="S190" s="29" t="str">
        <f t="array" ref="S190">IF(R190="","",IFERROR(XLOOKUP(R190,'Live Medal Table'!$B$2:$B$94,'Live Medal Table'!$C$2:$C$94,"???"),"???"))</f>
        <v/>
      </c>
      <c r="T190" s="29">
        <f t="array" ref="T190">IF(R190="",0,IFERROR(XLOOKUP(R190,'Live Medal Table'!$B$2:$B$94,'Live Medal Table'!$F$2:$F$94,0),0))</f>
        <v>0</v>
      </c>
      <c r="U190" s="29">
        <f t="array" ref="U190">IF(R190="",0,IFERROR(XLOOKUP(R190,'Live Medal Table'!$B$2:$B$94,'Live Medal Table'!$G$2:$G$94,0),0))</f>
        <v>0</v>
      </c>
      <c r="V190" s="29">
        <f t="array" ref="V190">IF(R190="",0,IFERROR(XLOOKUP(R190,'Live Medal Table'!$B$2:$B$94,'Live Medal Table'!$H$2:$H$94,0),0))</f>
        <v>0</v>
      </c>
      <c r="W190" s="29">
        <f t="array" ref="W190">IF(R190="",0,IFERROR(XLOOKUP(R190,'Live Medal Table'!$B$2:$B$94,'Live Medal Table'!$I$2:$I$94,0),0))</f>
        <v>0</v>
      </c>
      <c r="X190" s="29">
        <f t="shared" si="1"/>
        <v>0</v>
      </c>
      <c r="Y190" s="29">
        <f t="shared" si="2"/>
        <v>0</v>
      </c>
      <c r="Z190" s="29">
        <f t="shared" si="3"/>
        <v>0</v>
      </c>
      <c r="AA190" s="29">
        <f t="shared" si="4"/>
        <v>0</v>
      </c>
      <c r="AB190" s="29" t="b">
        <f t="array" ref="AB190">IF(R190="",FALSE,IFERROR(AND(ISNUMBER(MATCH(R190,'Live Medal Table'!$B$2:$B$94,0)),XLOOKUP(R190,'Live Medal Table'!$B$2:$B$94,Countries!$I$2:$I$72,FALSE)),FALSE))</f>
        <v>0</v>
      </c>
    </row>
    <row r="191" ht="15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29"/>
      <c r="M191" s="29"/>
      <c r="N191" s="29" t="str">
        <f t="array" ref="N191">IFERROR(IF(INDEX(Entries!$C$2:$C$47,24)="","",INDEX(Entries!$Q$2:$Q$47,24)),"")</f>
        <v/>
      </c>
      <c r="O191" s="29" t="str">
        <f t="array" ref="O191">IF(N191="","",IFERROR(INDEX(Entries!$E$2:$E$47,24),""))</f>
        <v/>
      </c>
      <c r="P191" s="29" t="str">
        <f>IF(N191="","","Tier5_Pick1")</f>
        <v/>
      </c>
      <c r="Q191" s="29" t="str">
        <f>IF(N191="","",5)</f>
        <v/>
      </c>
      <c r="R191" s="29" t="str">
        <f t="array" ref="R191">IF(N191="","",IFERROR(INDEX(Entries!$J$2:$J$47,24),""))</f>
        <v/>
      </c>
      <c r="S191" s="29" t="str">
        <f t="array" ref="S191">IF(R191="","",IFERROR(XLOOKUP(R191,'Live Medal Table'!$B$2:$B$94,'Live Medal Table'!$C$2:$C$94,"???"),"???"))</f>
        <v/>
      </c>
      <c r="T191" s="29">
        <f t="array" ref="T191">IF(R191="",0,IFERROR(XLOOKUP(R191,'Live Medal Table'!$B$2:$B$94,'Live Medal Table'!$F$2:$F$94,0),0))</f>
        <v>0</v>
      </c>
      <c r="U191" s="29">
        <f t="array" ref="U191">IF(R191="",0,IFERROR(XLOOKUP(R191,'Live Medal Table'!$B$2:$B$94,'Live Medal Table'!$G$2:$G$94,0),0))</f>
        <v>0</v>
      </c>
      <c r="V191" s="29">
        <f t="array" ref="V191">IF(R191="",0,IFERROR(XLOOKUP(R191,'Live Medal Table'!$B$2:$B$94,'Live Medal Table'!$H$2:$H$94,0),0))</f>
        <v>0</v>
      </c>
      <c r="W191" s="29">
        <f t="array" ref="W191">IF(R191="",0,IFERROR(XLOOKUP(R191,'Live Medal Table'!$B$2:$B$94,'Live Medal Table'!$I$2:$I$94,0),0))</f>
        <v>0</v>
      </c>
      <c r="X191" s="29">
        <f t="shared" si="1"/>
        <v>0</v>
      </c>
      <c r="Y191" s="29">
        <f t="shared" si="2"/>
        <v>0</v>
      </c>
      <c r="Z191" s="29">
        <f t="shared" si="3"/>
        <v>0</v>
      </c>
      <c r="AA191" s="29">
        <f t="shared" si="4"/>
        <v>0</v>
      </c>
      <c r="AB191" s="29" t="b">
        <f t="array" ref="AB191">IF(R191="",FALSE,IFERROR(AND(ISNUMBER(MATCH(R191,'Live Medal Table'!$B$2:$B$94,0)),XLOOKUP(R191,'Live Medal Table'!$B$2:$B$94,Countries!$I$2:$I$72,FALSE)),FALSE))</f>
        <v>0</v>
      </c>
    </row>
    <row r="192" ht="15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29"/>
      <c r="M192" s="29"/>
      <c r="N192" s="29" t="str">
        <f t="array" ref="N192">IFERROR(IF(INDEX(Entries!$C$2:$C$47,24)="","",INDEX(Entries!$Q$2:$Q$47,24)),"")</f>
        <v/>
      </c>
      <c r="O192" s="29" t="str">
        <f t="array" ref="O192">IF(N192="","",IFERROR(INDEX(Entries!$E$2:$E$47,24),""))</f>
        <v/>
      </c>
      <c r="P192" s="29" t="str">
        <f>IF(N192="","","Tier6_Pick1")</f>
        <v/>
      </c>
      <c r="Q192" s="29" t="str">
        <f t="shared" ref="Q192:Q193" si="52">IF(N192="","",6)</f>
        <v/>
      </c>
      <c r="R192" s="29" t="str">
        <f t="array" ref="R192">IF(N192="","",IFERROR(INDEX(Entries!$O$2:$O$47,24),""))</f>
        <v/>
      </c>
      <c r="S192" s="29" t="str">
        <f t="array" ref="S192">IF(R192="","",IFERROR(XLOOKUP(R192,'Live Medal Table'!$B$2:$B$94,'Live Medal Table'!$C$2:$C$94,"???"),"???"))</f>
        <v/>
      </c>
      <c r="T192" s="29">
        <f t="array" ref="T192">IF(R192="",0,IFERROR(XLOOKUP(R192,'Live Medal Table'!$B$2:$B$94,'Live Medal Table'!$F$2:$F$94,0),0))</f>
        <v>0</v>
      </c>
      <c r="U192" s="29">
        <f t="array" ref="U192">IF(R192="",0,IFERROR(XLOOKUP(R192,'Live Medal Table'!$B$2:$B$94,'Live Medal Table'!$G$2:$G$94,0),0))</f>
        <v>0</v>
      </c>
      <c r="V192" s="29">
        <f t="array" ref="V192">IF(R192="",0,IFERROR(XLOOKUP(R192,'Live Medal Table'!$B$2:$B$94,'Live Medal Table'!$H$2:$H$94,0),0))</f>
        <v>0</v>
      </c>
      <c r="W192" s="29">
        <f t="array" ref="W192">IF(R192="",0,IFERROR(XLOOKUP(R192,'Live Medal Table'!$B$2:$B$94,'Live Medal Table'!$I$2:$I$94,0),0))</f>
        <v>0</v>
      </c>
      <c r="X192" s="29">
        <f t="shared" si="1"/>
        <v>0</v>
      </c>
      <c r="Y192" s="29">
        <f t="shared" si="2"/>
        <v>0</v>
      </c>
      <c r="Z192" s="29">
        <f t="shared" si="3"/>
        <v>0</v>
      </c>
      <c r="AA192" s="29">
        <f t="shared" si="4"/>
        <v>0</v>
      </c>
      <c r="AB192" s="29" t="b">
        <f t="array" ref="AB192">IF(R192="",FALSE,IFERROR(AND(ISNUMBER(MATCH(R192,'Live Medal Table'!$B$2:$B$94,0)),XLOOKUP(R192,'Live Medal Table'!$B$2:$B$94,Countries!$I$2:$I$72,FALSE)),FALSE))</f>
        <v>0</v>
      </c>
    </row>
    <row r="193" ht="15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29"/>
      <c r="M193" s="29"/>
      <c r="N193" s="29" t="str">
        <f t="array" ref="N193">IFERROR(IF(INDEX(Entries!$C$2:$C$47,24)="","",INDEX(Entries!$Q$2:$Q$47,24)),"")</f>
        <v/>
      </c>
      <c r="O193" s="29" t="str">
        <f t="array" ref="O193">IF(N193="","",IFERROR(INDEX(Entries!$E$2:$E$47,24),""))</f>
        <v/>
      </c>
      <c r="P193" s="29" t="str">
        <f>IF(N193="","","Tier6_Pick2")</f>
        <v/>
      </c>
      <c r="Q193" s="29" t="str">
        <f t="shared" si="52"/>
        <v/>
      </c>
      <c r="R193" s="29" t="str">
        <f t="array" ref="R193">IF(N193="","",IFERROR(INDEX(Entries!$P$2:$P$47,24),""))</f>
        <v/>
      </c>
      <c r="S193" s="29" t="str">
        <f t="array" ref="S193">IF(R193="","",IFERROR(XLOOKUP(R193,'Live Medal Table'!$B$2:$B$94,'Live Medal Table'!$C$2:$C$94,"???"),"???"))</f>
        <v/>
      </c>
      <c r="T193" s="29">
        <f t="array" ref="T193">IF(R193="",0,IFERROR(XLOOKUP(R193,'Live Medal Table'!$B$2:$B$94,'Live Medal Table'!$F$2:$F$94,0),0))</f>
        <v>0</v>
      </c>
      <c r="U193" s="29">
        <f t="array" ref="U193">IF(R193="",0,IFERROR(XLOOKUP(R193,'Live Medal Table'!$B$2:$B$94,'Live Medal Table'!$G$2:$G$94,0),0))</f>
        <v>0</v>
      </c>
      <c r="V193" s="29">
        <f t="array" ref="V193">IF(R193="",0,IFERROR(XLOOKUP(R193,'Live Medal Table'!$B$2:$B$94,'Live Medal Table'!$H$2:$H$94,0),0))</f>
        <v>0</v>
      </c>
      <c r="W193" s="29">
        <f t="array" ref="W193">IF(R193="",0,IFERROR(XLOOKUP(R193,'Live Medal Table'!$B$2:$B$94,'Live Medal Table'!$I$2:$I$94,0),0))</f>
        <v>0</v>
      </c>
      <c r="X193" s="29">
        <f t="shared" si="1"/>
        <v>0</v>
      </c>
      <c r="Y193" s="29">
        <f t="shared" si="2"/>
        <v>0</v>
      </c>
      <c r="Z193" s="29">
        <f t="shared" si="3"/>
        <v>0</v>
      </c>
      <c r="AA193" s="29">
        <f t="shared" si="4"/>
        <v>0</v>
      </c>
      <c r="AB193" s="29" t="b">
        <f t="array" ref="AB193">IF(R193="",FALSE,IFERROR(AND(ISNUMBER(MATCH(R193,'Live Medal Table'!$B$2:$B$94,0)),XLOOKUP(R193,'Live Medal Table'!$B$2:$B$94,Countries!$I$2:$I$72,FALSE)),FALSE))</f>
        <v>0</v>
      </c>
    </row>
    <row r="194" ht="15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29"/>
      <c r="M194" s="29"/>
      <c r="N194" s="29" t="str">
        <f t="array" ref="N194">IFERROR(IF(INDEX(Entries!$C$2:$C$47,25)="","",INDEX(Entries!$Q$2:$Q$47,25)),"")</f>
        <v/>
      </c>
      <c r="O194" s="29" t="str">
        <f t="array" ref="O194">IF(N194="","",IFERROR(INDEX(Entries!$E$2:$E$47,25),""))</f>
        <v/>
      </c>
      <c r="P194" s="29" t="str">
        <f>IF(N194="","","Tier1_Pick1")</f>
        <v/>
      </c>
      <c r="Q194" s="29" t="str">
        <f>IF(N194="","",1)</f>
        <v/>
      </c>
      <c r="R194" s="29" t="str">
        <f t="array" ref="R194">IF(N194="","",IFERROR(INDEX(Entries!$F$2:$F$47,25),""))</f>
        <v/>
      </c>
      <c r="S194" s="29" t="str">
        <f t="array" ref="S194">IF(R194="","",IFERROR(XLOOKUP(R194,'Live Medal Table'!$B$2:$B$94,'Live Medal Table'!$C$2:$C$94,"???"),"???"))</f>
        <v/>
      </c>
      <c r="T194" s="29">
        <f t="array" ref="T194">IF(R194="",0,IFERROR(XLOOKUP(R194,'Live Medal Table'!$B$2:$B$94,'Live Medal Table'!$F$2:$F$94,0),0))</f>
        <v>0</v>
      </c>
      <c r="U194" s="29">
        <f t="array" ref="U194">IF(R194="",0,IFERROR(XLOOKUP(R194,'Live Medal Table'!$B$2:$B$94,'Live Medal Table'!$G$2:$G$94,0),0))</f>
        <v>0</v>
      </c>
      <c r="V194" s="29">
        <f t="array" ref="V194">IF(R194="",0,IFERROR(XLOOKUP(R194,'Live Medal Table'!$B$2:$B$94,'Live Medal Table'!$H$2:$H$94,0),0))</f>
        <v>0</v>
      </c>
      <c r="W194" s="29">
        <f t="array" ref="W194">IF(R194="",0,IFERROR(XLOOKUP(R194,'Live Medal Table'!$B$2:$B$94,'Live Medal Table'!$I$2:$I$94,0),0))</f>
        <v>0</v>
      </c>
      <c r="X194" s="29">
        <f t="shared" si="1"/>
        <v>0</v>
      </c>
      <c r="Y194" s="29">
        <f t="shared" si="2"/>
        <v>0</v>
      </c>
      <c r="Z194" s="29">
        <f t="shared" si="3"/>
        <v>0</v>
      </c>
      <c r="AA194" s="29">
        <f t="shared" si="4"/>
        <v>0</v>
      </c>
      <c r="AB194" s="29" t="b">
        <f t="array" ref="AB194">IF(R194="",FALSE,IFERROR(AND(ISNUMBER(MATCH(R194,'Live Medal Table'!$B$2:$B$94,0)),XLOOKUP(R194,'Live Medal Table'!$B$2:$B$94,Countries!$I$2:$I$72,FALSE)),FALSE))</f>
        <v>0</v>
      </c>
    </row>
    <row r="195" ht="15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29"/>
      <c r="M195" s="29"/>
      <c r="N195" s="29" t="str">
        <f t="array" ref="N195">IFERROR(IF(INDEX(Entries!$C$2:$C$47,25)="","",INDEX(Entries!$Q$2:$Q$47,25)),"")</f>
        <v/>
      </c>
      <c r="O195" s="29" t="str">
        <f t="array" ref="O195">IF(N195="","",IFERROR(INDEX(Entries!$E$2:$E$47,25),""))</f>
        <v/>
      </c>
      <c r="P195" s="29" t="str">
        <f>IF(N195="","","Tier2_Pick1")</f>
        <v/>
      </c>
      <c r="Q195" s="29" t="str">
        <f t="shared" ref="Q195:Q196" si="53">IF(N195="","",2)</f>
        <v/>
      </c>
      <c r="R195" s="29" t="str">
        <f t="array" ref="R195">IF(N195="","",IFERROR(INDEX(Entries!$M$2:$M$47,25),""))</f>
        <v/>
      </c>
      <c r="S195" s="29" t="str">
        <f t="array" ref="S195">IF(R195="","",IFERROR(XLOOKUP(R195,'Live Medal Table'!$B$2:$B$94,'Live Medal Table'!$C$2:$C$94,"???"),"???"))</f>
        <v/>
      </c>
      <c r="T195" s="29">
        <f t="array" ref="T195">IF(R195="",0,IFERROR(XLOOKUP(R195,'Live Medal Table'!$B$2:$B$94,'Live Medal Table'!$F$2:$F$94,0),0))</f>
        <v>0</v>
      </c>
      <c r="U195" s="29">
        <f t="array" ref="U195">IF(R195="",0,IFERROR(XLOOKUP(R195,'Live Medal Table'!$B$2:$B$94,'Live Medal Table'!$G$2:$G$94,0),0))</f>
        <v>0</v>
      </c>
      <c r="V195" s="29">
        <f t="array" ref="V195">IF(R195="",0,IFERROR(XLOOKUP(R195,'Live Medal Table'!$B$2:$B$94,'Live Medal Table'!$H$2:$H$94,0),0))</f>
        <v>0</v>
      </c>
      <c r="W195" s="29">
        <f t="array" ref="W195">IF(R195="",0,IFERROR(XLOOKUP(R195,'Live Medal Table'!$B$2:$B$94,'Live Medal Table'!$I$2:$I$94,0),0))</f>
        <v>0</v>
      </c>
      <c r="X195" s="29">
        <f t="shared" si="1"/>
        <v>0</v>
      </c>
      <c r="Y195" s="29">
        <f t="shared" si="2"/>
        <v>0</v>
      </c>
      <c r="Z195" s="29">
        <f t="shared" si="3"/>
        <v>0</v>
      </c>
      <c r="AA195" s="29">
        <f t="shared" si="4"/>
        <v>0</v>
      </c>
      <c r="AB195" s="29" t="b">
        <f t="array" ref="AB195">IF(R195="",FALSE,IFERROR(AND(ISNUMBER(MATCH(R195,'Live Medal Table'!$B$2:$B$94,0)),XLOOKUP(R195,'Live Medal Table'!$B$2:$B$94,Countries!$I$2:$I$72,FALSE)),FALSE))</f>
        <v>0</v>
      </c>
    </row>
    <row r="196" ht="15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29"/>
      <c r="M196" s="29"/>
      <c r="N196" s="29" t="str">
        <f t="array" ref="N196">IFERROR(IF(INDEX(Entries!$C$2:$C$47,25)="","",INDEX(Entries!$Q$2:$Q$47,25)),"")</f>
        <v/>
      </c>
      <c r="O196" s="29" t="str">
        <f t="array" ref="O196">IF(N196="","",IFERROR(INDEX(Entries!$E$2:$E$47,25),""))</f>
        <v/>
      </c>
      <c r="P196" s="29" t="str">
        <f>IF(N196="","","Tier2_Pick2")</f>
        <v/>
      </c>
      <c r="Q196" s="29" t="str">
        <f t="shared" si="53"/>
        <v/>
      </c>
      <c r="R196" s="29" t="str">
        <f t="array" ref="R196">IF(N196="","",IFERROR(INDEX(Entries!$N$2:$N$47,25),""))</f>
        <v/>
      </c>
      <c r="S196" s="29" t="str">
        <f t="array" ref="S196">IF(R196="","",IFERROR(XLOOKUP(R196,'Live Medal Table'!$B$2:$B$94,'Live Medal Table'!$C$2:$C$94,"???"),"???"))</f>
        <v/>
      </c>
      <c r="T196" s="29">
        <f t="array" ref="T196">IF(R196="",0,IFERROR(XLOOKUP(R196,'Live Medal Table'!$B$2:$B$94,'Live Medal Table'!$F$2:$F$94,0),0))</f>
        <v>0</v>
      </c>
      <c r="U196" s="29">
        <f t="array" ref="U196">IF(R196="",0,IFERROR(XLOOKUP(R196,'Live Medal Table'!$B$2:$B$94,'Live Medal Table'!$G$2:$G$94,0),0))</f>
        <v>0</v>
      </c>
      <c r="V196" s="29">
        <f t="array" ref="V196">IF(R196="",0,IFERROR(XLOOKUP(R196,'Live Medal Table'!$B$2:$B$94,'Live Medal Table'!$H$2:$H$94,0),0))</f>
        <v>0</v>
      </c>
      <c r="W196" s="29">
        <f t="array" ref="W196">IF(R196="",0,IFERROR(XLOOKUP(R196,'Live Medal Table'!$B$2:$B$94,'Live Medal Table'!$I$2:$I$94,0),0))</f>
        <v>0</v>
      </c>
      <c r="X196" s="29">
        <f t="shared" si="1"/>
        <v>0</v>
      </c>
      <c r="Y196" s="29">
        <f t="shared" si="2"/>
        <v>0</v>
      </c>
      <c r="Z196" s="29">
        <f t="shared" si="3"/>
        <v>0</v>
      </c>
      <c r="AA196" s="29">
        <f t="shared" si="4"/>
        <v>0</v>
      </c>
      <c r="AB196" s="29" t="b">
        <f t="array" ref="AB196">IF(R196="",FALSE,IFERROR(AND(ISNUMBER(MATCH(R196,'Live Medal Table'!$B$2:$B$94,0)),XLOOKUP(R196,'Live Medal Table'!$B$2:$B$94,Countries!$I$2:$I$72,FALSE)),FALSE))</f>
        <v>0</v>
      </c>
    </row>
    <row r="197" ht="15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29"/>
      <c r="M197" s="29"/>
      <c r="N197" s="29" t="str">
        <f t="array" ref="N197">IFERROR(IF(INDEX(Entries!$C$2:$C$47,25)="","",INDEX(Entries!$Q$2:$Q$47,25)),"")</f>
        <v/>
      </c>
      <c r="O197" s="29" t="str">
        <f t="array" ref="O197">IF(N197="","",IFERROR(INDEX(Entries!$E$2:$E$47,25),""))</f>
        <v/>
      </c>
      <c r="P197" s="29" t="str">
        <f>IF(N197="","","Tier3_Pick1")</f>
        <v/>
      </c>
      <c r="Q197" s="29" t="str">
        <f>IF(N197="","",3)</f>
        <v/>
      </c>
      <c r="R197" s="29" t="str">
        <f t="array" ref="R197">IF(N197="","",IFERROR(INDEX(Entries!$H$2:$H$47,25),""))</f>
        <v/>
      </c>
      <c r="S197" s="29" t="str">
        <f t="array" ref="S197">IF(R197="","",IFERROR(XLOOKUP(R197,'Live Medal Table'!$B$2:$B$94,'Live Medal Table'!$C$2:$C$94,"???"),"???"))</f>
        <v/>
      </c>
      <c r="T197" s="29">
        <f t="array" ref="T197">IF(R197="",0,IFERROR(XLOOKUP(R197,'Live Medal Table'!$B$2:$B$94,'Live Medal Table'!$F$2:$F$94,0),0))</f>
        <v>0</v>
      </c>
      <c r="U197" s="29">
        <f t="array" ref="U197">IF(R197="",0,IFERROR(XLOOKUP(R197,'Live Medal Table'!$B$2:$B$94,'Live Medal Table'!$G$2:$G$94,0),0))</f>
        <v>0</v>
      </c>
      <c r="V197" s="29">
        <f t="array" ref="V197">IF(R197="",0,IFERROR(XLOOKUP(R197,'Live Medal Table'!$B$2:$B$94,'Live Medal Table'!$H$2:$H$94,0),0))</f>
        <v>0</v>
      </c>
      <c r="W197" s="29">
        <f t="array" ref="W197">IF(R197="",0,IFERROR(XLOOKUP(R197,'Live Medal Table'!$B$2:$B$94,'Live Medal Table'!$I$2:$I$94,0),0))</f>
        <v>0</v>
      </c>
      <c r="X197" s="29">
        <f t="shared" si="1"/>
        <v>0</v>
      </c>
      <c r="Y197" s="29">
        <f t="shared" si="2"/>
        <v>0</v>
      </c>
      <c r="Z197" s="29">
        <f t="shared" si="3"/>
        <v>0</v>
      </c>
      <c r="AA197" s="29">
        <f t="shared" si="4"/>
        <v>0</v>
      </c>
      <c r="AB197" s="29" t="b">
        <f t="array" ref="AB197">IF(R197="",FALSE,IFERROR(AND(ISNUMBER(MATCH(R197,'Live Medal Table'!$B$2:$B$94,0)),XLOOKUP(R197,'Live Medal Table'!$B$2:$B$94,Countries!$I$2:$I$72,FALSE)),FALSE))</f>
        <v>0</v>
      </c>
    </row>
    <row r="198" ht="15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29"/>
      <c r="M198" s="29"/>
      <c r="N198" s="29" t="str">
        <f t="array" ref="N198">IFERROR(IF(INDEX(Entries!$C$2:$C$47,25)="","",INDEX(Entries!$Q$2:$Q$47,25)),"")</f>
        <v/>
      </c>
      <c r="O198" s="29" t="str">
        <f t="array" ref="O198">IF(N198="","",IFERROR(INDEX(Entries!$E$2:$E$47,25),""))</f>
        <v/>
      </c>
      <c r="P198" s="29" t="str">
        <f>IF(N198="","","Tier4_Pick1")</f>
        <v/>
      </c>
      <c r="Q198" s="29" t="str">
        <f>IF(N198="","",4)</f>
        <v/>
      </c>
      <c r="R198" s="29" t="str">
        <f t="array" ref="R198">IF(N198="","",IFERROR(INDEX(Entries!$I$2:$I$47,25),""))</f>
        <v/>
      </c>
      <c r="S198" s="29" t="str">
        <f t="array" ref="S198">IF(R198="","",IFERROR(XLOOKUP(R198,'Live Medal Table'!$B$2:$B$94,'Live Medal Table'!$C$2:$C$94,"???"),"???"))</f>
        <v/>
      </c>
      <c r="T198" s="29">
        <f t="array" ref="T198">IF(R198="",0,IFERROR(XLOOKUP(R198,'Live Medal Table'!$B$2:$B$94,'Live Medal Table'!$F$2:$F$94,0),0))</f>
        <v>0</v>
      </c>
      <c r="U198" s="29">
        <f t="array" ref="U198">IF(R198="",0,IFERROR(XLOOKUP(R198,'Live Medal Table'!$B$2:$B$94,'Live Medal Table'!$G$2:$G$94,0),0))</f>
        <v>0</v>
      </c>
      <c r="V198" s="29">
        <f t="array" ref="V198">IF(R198="",0,IFERROR(XLOOKUP(R198,'Live Medal Table'!$B$2:$B$94,'Live Medal Table'!$H$2:$H$94,0),0))</f>
        <v>0</v>
      </c>
      <c r="W198" s="29">
        <f t="array" ref="W198">IF(R198="",0,IFERROR(XLOOKUP(R198,'Live Medal Table'!$B$2:$B$94,'Live Medal Table'!$I$2:$I$94,0),0))</f>
        <v>0</v>
      </c>
      <c r="X198" s="29">
        <f t="shared" si="1"/>
        <v>0</v>
      </c>
      <c r="Y198" s="29">
        <f t="shared" si="2"/>
        <v>0</v>
      </c>
      <c r="Z198" s="29">
        <f t="shared" si="3"/>
        <v>0</v>
      </c>
      <c r="AA198" s="29">
        <f t="shared" si="4"/>
        <v>0</v>
      </c>
      <c r="AB198" s="29" t="b">
        <f t="array" ref="AB198">IF(R198="",FALSE,IFERROR(AND(ISNUMBER(MATCH(R198,'Live Medal Table'!$B$2:$B$94,0)),XLOOKUP(R198,'Live Medal Table'!$B$2:$B$94,Countries!$I$2:$I$72,FALSE)),FALSE))</f>
        <v>0</v>
      </c>
    </row>
    <row r="199" ht="15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29"/>
      <c r="M199" s="29"/>
      <c r="N199" s="29" t="str">
        <f t="array" ref="N199">IFERROR(IF(INDEX(Entries!$C$2:$C$47,25)="","",INDEX(Entries!$Q$2:$Q$47,25)),"")</f>
        <v/>
      </c>
      <c r="O199" s="29" t="str">
        <f t="array" ref="O199">IF(N199="","",IFERROR(INDEX(Entries!$E$2:$E$47,25),""))</f>
        <v/>
      </c>
      <c r="P199" s="29" t="str">
        <f>IF(N199="","","Tier5_Pick1")</f>
        <v/>
      </c>
      <c r="Q199" s="29" t="str">
        <f>IF(N199="","",5)</f>
        <v/>
      </c>
      <c r="R199" s="29" t="str">
        <f t="array" ref="R199">IF(N199="","",IFERROR(INDEX(Entries!$J$2:$J$47,25),""))</f>
        <v/>
      </c>
      <c r="S199" s="29" t="str">
        <f t="array" ref="S199">IF(R199="","",IFERROR(XLOOKUP(R199,'Live Medal Table'!$B$2:$B$94,'Live Medal Table'!$C$2:$C$94,"???"),"???"))</f>
        <v/>
      </c>
      <c r="T199" s="29">
        <f t="array" ref="T199">IF(R199="",0,IFERROR(XLOOKUP(R199,'Live Medal Table'!$B$2:$B$94,'Live Medal Table'!$F$2:$F$94,0),0))</f>
        <v>0</v>
      </c>
      <c r="U199" s="29">
        <f t="array" ref="U199">IF(R199="",0,IFERROR(XLOOKUP(R199,'Live Medal Table'!$B$2:$B$94,'Live Medal Table'!$G$2:$G$94,0),0))</f>
        <v>0</v>
      </c>
      <c r="V199" s="29">
        <f t="array" ref="V199">IF(R199="",0,IFERROR(XLOOKUP(R199,'Live Medal Table'!$B$2:$B$94,'Live Medal Table'!$H$2:$H$94,0),0))</f>
        <v>0</v>
      </c>
      <c r="W199" s="29">
        <f t="array" ref="W199">IF(R199="",0,IFERROR(XLOOKUP(R199,'Live Medal Table'!$B$2:$B$94,'Live Medal Table'!$I$2:$I$94,0),0))</f>
        <v>0</v>
      </c>
      <c r="X199" s="29">
        <f t="shared" si="1"/>
        <v>0</v>
      </c>
      <c r="Y199" s="29">
        <f t="shared" si="2"/>
        <v>0</v>
      </c>
      <c r="Z199" s="29">
        <f t="shared" si="3"/>
        <v>0</v>
      </c>
      <c r="AA199" s="29">
        <f t="shared" si="4"/>
        <v>0</v>
      </c>
      <c r="AB199" s="29" t="b">
        <f t="array" ref="AB199">IF(R199="",FALSE,IFERROR(AND(ISNUMBER(MATCH(R199,'Live Medal Table'!$B$2:$B$94,0)),XLOOKUP(R199,'Live Medal Table'!$B$2:$B$94,Countries!$I$2:$I$72,FALSE)),FALSE))</f>
        <v>0</v>
      </c>
    </row>
    <row r="200" ht="15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29"/>
      <c r="M200" s="29"/>
      <c r="N200" s="29" t="str">
        <f t="array" ref="N200">IFERROR(IF(INDEX(Entries!$C$2:$C$47,25)="","",INDEX(Entries!$Q$2:$Q$47,25)),"")</f>
        <v/>
      </c>
      <c r="O200" s="29" t="str">
        <f t="array" ref="O200">IF(N200="","",IFERROR(INDEX(Entries!$E$2:$E$47,25),""))</f>
        <v/>
      </c>
      <c r="P200" s="29" t="str">
        <f>IF(N200="","","Tier6_Pick1")</f>
        <v/>
      </c>
      <c r="Q200" s="29" t="str">
        <f t="shared" ref="Q200:Q201" si="54">IF(N200="","",6)</f>
        <v/>
      </c>
      <c r="R200" s="29" t="str">
        <f t="array" ref="R200">IF(N200="","",IFERROR(INDEX(Entries!$O$2:$O$47,25),""))</f>
        <v/>
      </c>
      <c r="S200" s="29" t="str">
        <f t="array" ref="S200">IF(R200="","",IFERROR(XLOOKUP(R200,'Live Medal Table'!$B$2:$B$94,'Live Medal Table'!$C$2:$C$94,"???"),"???"))</f>
        <v/>
      </c>
      <c r="T200" s="29">
        <f t="array" ref="T200">IF(R200="",0,IFERROR(XLOOKUP(R200,'Live Medal Table'!$B$2:$B$94,'Live Medal Table'!$F$2:$F$94,0),0))</f>
        <v>0</v>
      </c>
      <c r="U200" s="29">
        <f t="array" ref="U200">IF(R200="",0,IFERROR(XLOOKUP(R200,'Live Medal Table'!$B$2:$B$94,'Live Medal Table'!$G$2:$G$94,0),0))</f>
        <v>0</v>
      </c>
      <c r="V200" s="29">
        <f t="array" ref="V200">IF(R200="",0,IFERROR(XLOOKUP(R200,'Live Medal Table'!$B$2:$B$94,'Live Medal Table'!$H$2:$H$94,0),0))</f>
        <v>0</v>
      </c>
      <c r="W200" s="29">
        <f t="array" ref="W200">IF(R200="",0,IFERROR(XLOOKUP(R200,'Live Medal Table'!$B$2:$B$94,'Live Medal Table'!$I$2:$I$94,0),0))</f>
        <v>0</v>
      </c>
      <c r="X200" s="29">
        <f t="shared" si="1"/>
        <v>0</v>
      </c>
      <c r="Y200" s="29">
        <f t="shared" si="2"/>
        <v>0</v>
      </c>
      <c r="Z200" s="29">
        <f t="shared" si="3"/>
        <v>0</v>
      </c>
      <c r="AA200" s="29">
        <f t="shared" si="4"/>
        <v>0</v>
      </c>
      <c r="AB200" s="29" t="b">
        <f t="array" ref="AB200">IF(R200="",FALSE,IFERROR(AND(ISNUMBER(MATCH(R200,'Live Medal Table'!$B$2:$B$94,0)),XLOOKUP(R200,'Live Medal Table'!$B$2:$B$94,Countries!$I$2:$I$72,FALSE)),FALSE))</f>
        <v>0</v>
      </c>
    </row>
    <row r="201" ht="15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29"/>
      <c r="M201" s="29"/>
      <c r="N201" s="29" t="str">
        <f t="array" ref="N201">IFERROR(IF(INDEX(Entries!$C$2:$C$47,25)="","",INDEX(Entries!$Q$2:$Q$47,25)),"")</f>
        <v/>
      </c>
      <c r="O201" s="29" t="str">
        <f t="array" ref="O201">IF(N201="","",IFERROR(INDEX(Entries!$E$2:$E$47,25),""))</f>
        <v/>
      </c>
      <c r="P201" s="29" t="str">
        <f>IF(N201="","","Tier6_Pick2")</f>
        <v/>
      </c>
      <c r="Q201" s="29" t="str">
        <f t="shared" si="54"/>
        <v/>
      </c>
      <c r="R201" s="29" t="str">
        <f t="array" ref="R201">IF(N201="","",IFERROR(INDEX(Entries!$P$2:$P$47,25),""))</f>
        <v/>
      </c>
      <c r="S201" s="29" t="str">
        <f t="array" ref="S201">IF(R201="","",IFERROR(XLOOKUP(R201,'Live Medal Table'!$B$2:$B$94,'Live Medal Table'!$C$2:$C$94,"???"),"???"))</f>
        <v/>
      </c>
      <c r="T201" s="29">
        <f t="array" ref="T201">IF(R201="",0,IFERROR(XLOOKUP(R201,'Live Medal Table'!$B$2:$B$94,'Live Medal Table'!$F$2:$F$94,0),0))</f>
        <v>0</v>
      </c>
      <c r="U201" s="29">
        <f t="array" ref="U201">IF(R201="",0,IFERROR(XLOOKUP(R201,'Live Medal Table'!$B$2:$B$94,'Live Medal Table'!$G$2:$G$94,0),0))</f>
        <v>0</v>
      </c>
      <c r="V201" s="29">
        <f t="array" ref="V201">IF(R201="",0,IFERROR(XLOOKUP(R201,'Live Medal Table'!$B$2:$B$94,'Live Medal Table'!$H$2:$H$94,0),0))</f>
        <v>0</v>
      </c>
      <c r="W201" s="29">
        <f t="array" ref="W201">IF(R201="",0,IFERROR(XLOOKUP(R201,'Live Medal Table'!$B$2:$B$94,'Live Medal Table'!$I$2:$I$94,0),0))</f>
        <v>0</v>
      </c>
      <c r="X201" s="29">
        <f t="shared" si="1"/>
        <v>0</v>
      </c>
      <c r="Y201" s="29">
        <f t="shared" si="2"/>
        <v>0</v>
      </c>
      <c r="Z201" s="29">
        <f t="shared" si="3"/>
        <v>0</v>
      </c>
      <c r="AA201" s="29">
        <f t="shared" si="4"/>
        <v>0</v>
      </c>
      <c r="AB201" s="29" t="b">
        <f t="array" ref="AB201">IF(R201="",FALSE,IFERROR(AND(ISNUMBER(MATCH(R201,'Live Medal Table'!$B$2:$B$94,0)),XLOOKUP(R201,'Live Medal Table'!$B$2:$B$94,Countries!$I$2:$I$72,FALSE)),FALSE))</f>
        <v>0</v>
      </c>
    </row>
    <row r="202" ht="15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29"/>
      <c r="M202" s="29"/>
      <c r="N202" s="29" t="str">
        <f t="array" ref="N202">IFERROR(IF(INDEX(Entries!$C$2:$C$47,26)="","",INDEX(Entries!$Q$2:$Q$47,26)),"")</f>
        <v/>
      </c>
      <c r="O202" s="29" t="str">
        <f t="array" ref="O202">IF(N202="","",IFERROR(INDEX(Entries!$E$2:$E$47,26),""))</f>
        <v/>
      </c>
      <c r="P202" s="29" t="str">
        <f>IF(N202="","","Tier1_Pick1")</f>
        <v/>
      </c>
      <c r="Q202" s="29" t="str">
        <f>IF(N202="","",1)</f>
        <v/>
      </c>
      <c r="R202" s="29" t="str">
        <f t="array" ref="R202">IF(N202="","",IFERROR(INDEX(Entries!$F$2:$F$47,26),""))</f>
        <v/>
      </c>
      <c r="S202" s="29" t="str">
        <f t="array" ref="S202">IF(R202="","",IFERROR(XLOOKUP(R202,'Live Medal Table'!$B$2:$B$94,'Live Medal Table'!$C$2:$C$94,"???"),"???"))</f>
        <v/>
      </c>
      <c r="T202" s="29">
        <f t="array" ref="T202">IF(R202="",0,IFERROR(XLOOKUP(R202,'Live Medal Table'!$B$2:$B$94,'Live Medal Table'!$F$2:$F$94,0),0))</f>
        <v>0</v>
      </c>
      <c r="U202" s="29">
        <f t="array" ref="U202">IF(R202="",0,IFERROR(XLOOKUP(R202,'Live Medal Table'!$B$2:$B$94,'Live Medal Table'!$G$2:$G$94,0),0))</f>
        <v>0</v>
      </c>
      <c r="V202" s="29">
        <f t="array" ref="V202">IF(R202="",0,IFERROR(XLOOKUP(R202,'Live Medal Table'!$B$2:$B$94,'Live Medal Table'!$H$2:$H$94,0),0))</f>
        <v>0</v>
      </c>
      <c r="W202" s="29">
        <f t="array" ref="W202">IF(R202="",0,IFERROR(XLOOKUP(R202,'Live Medal Table'!$B$2:$B$94,'Live Medal Table'!$I$2:$I$94,0),0))</f>
        <v>0</v>
      </c>
      <c r="X202" s="29">
        <f t="shared" si="1"/>
        <v>0</v>
      </c>
      <c r="Y202" s="29">
        <f t="shared" si="2"/>
        <v>0</v>
      </c>
      <c r="Z202" s="29">
        <f t="shared" si="3"/>
        <v>0</v>
      </c>
      <c r="AA202" s="29">
        <f t="shared" si="4"/>
        <v>0</v>
      </c>
      <c r="AB202" s="29" t="b">
        <f t="array" ref="AB202">IF(R202="",FALSE,IFERROR(AND(ISNUMBER(MATCH(R202,'Live Medal Table'!$B$2:$B$94,0)),XLOOKUP(R202,'Live Medal Table'!$B$2:$B$94,Countries!$I$2:$I$72,FALSE)),FALSE))</f>
        <v>0</v>
      </c>
    </row>
    <row r="203" ht="15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29"/>
      <c r="M203" s="29"/>
      <c r="N203" s="29" t="str">
        <f t="array" ref="N203">IFERROR(IF(INDEX(Entries!$C$2:$C$47,26)="","",INDEX(Entries!$Q$2:$Q$47,26)),"")</f>
        <v/>
      </c>
      <c r="O203" s="29" t="str">
        <f t="array" ref="O203">IF(N203="","",IFERROR(INDEX(Entries!$E$2:$E$47,26),""))</f>
        <v/>
      </c>
      <c r="P203" s="29" t="str">
        <f>IF(N203="","","Tier2_Pick1")</f>
        <v/>
      </c>
      <c r="Q203" s="29" t="str">
        <f t="shared" ref="Q203:Q204" si="55">IF(N203="","",2)</f>
        <v/>
      </c>
      <c r="R203" s="29" t="str">
        <f t="array" ref="R203">IF(N203="","",IFERROR(INDEX(Entries!$M$2:$M$47,26),""))</f>
        <v/>
      </c>
      <c r="S203" s="29" t="str">
        <f t="array" ref="S203">IF(R203="","",IFERROR(XLOOKUP(R203,'Live Medal Table'!$B$2:$B$94,'Live Medal Table'!$C$2:$C$94,"???"),"???"))</f>
        <v/>
      </c>
      <c r="T203" s="29">
        <f t="array" ref="T203">IF(R203="",0,IFERROR(XLOOKUP(R203,'Live Medal Table'!$B$2:$B$94,'Live Medal Table'!$F$2:$F$94,0),0))</f>
        <v>0</v>
      </c>
      <c r="U203" s="29">
        <f t="array" ref="U203">IF(R203="",0,IFERROR(XLOOKUP(R203,'Live Medal Table'!$B$2:$B$94,'Live Medal Table'!$G$2:$G$94,0),0))</f>
        <v>0</v>
      </c>
      <c r="V203" s="29">
        <f t="array" ref="V203">IF(R203="",0,IFERROR(XLOOKUP(R203,'Live Medal Table'!$B$2:$B$94,'Live Medal Table'!$H$2:$H$94,0),0))</f>
        <v>0</v>
      </c>
      <c r="W203" s="29">
        <f t="array" ref="W203">IF(R203="",0,IFERROR(XLOOKUP(R203,'Live Medal Table'!$B$2:$B$94,'Live Medal Table'!$I$2:$I$94,0),0))</f>
        <v>0</v>
      </c>
      <c r="X203" s="29">
        <f t="shared" si="1"/>
        <v>0</v>
      </c>
      <c r="Y203" s="29">
        <f t="shared" si="2"/>
        <v>0</v>
      </c>
      <c r="Z203" s="29">
        <f t="shared" si="3"/>
        <v>0</v>
      </c>
      <c r="AA203" s="29">
        <f t="shared" si="4"/>
        <v>0</v>
      </c>
      <c r="AB203" s="29" t="b">
        <f t="array" ref="AB203">IF(R203="",FALSE,IFERROR(AND(ISNUMBER(MATCH(R203,'Live Medal Table'!$B$2:$B$94,0)),XLOOKUP(R203,'Live Medal Table'!$B$2:$B$94,Countries!$I$2:$I$72,FALSE)),FALSE))</f>
        <v>0</v>
      </c>
    </row>
    <row r="204" ht="15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29"/>
      <c r="M204" s="29"/>
      <c r="N204" s="29" t="str">
        <f t="array" ref="N204">IFERROR(IF(INDEX(Entries!$C$2:$C$47,26)="","",INDEX(Entries!$Q$2:$Q$47,26)),"")</f>
        <v/>
      </c>
      <c r="O204" s="29" t="str">
        <f t="array" ref="O204">IF(N204="","",IFERROR(INDEX(Entries!$E$2:$E$47,26),""))</f>
        <v/>
      </c>
      <c r="P204" s="29" t="str">
        <f>IF(N204="","","Tier2_Pick2")</f>
        <v/>
      </c>
      <c r="Q204" s="29" t="str">
        <f t="shared" si="55"/>
        <v/>
      </c>
      <c r="R204" s="29" t="str">
        <f t="array" ref="R204">IF(N204="","",IFERROR(INDEX(Entries!$N$2:$N$47,26),""))</f>
        <v/>
      </c>
      <c r="S204" s="29" t="str">
        <f t="array" ref="S204">IF(R204="","",IFERROR(XLOOKUP(R204,'Live Medal Table'!$B$2:$B$94,'Live Medal Table'!$C$2:$C$94,"???"),"???"))</f>
        <v/>
      </c>
      <c r="T204" s="29">
        <f t="array" ref="T204">IF(R204="",0,IFERROR(XLOOKUP(R204,'Live Medal Table'!$B$2:$B$94,'Live Medal Table'!$F$2:$F$94,0),0))</f>
        <v>0</v>
      </c>
      <c r="U204" s="29">
        <f t="array" ref="U204">IF(R204="",0,IFERROR(XLOOKUP(R204,'Live Medal Table'!$B$2:$B$94,'Live Medal Table'!$G$2:$G$94,0),0))</f>
        <v>0</v>
      </c>
      <c r="V204" s="29">
        <f t="array" ref="V204">IF(R204="",0,IFERROR(XLOOKUP(R204,'Live Medal Table'!$B$2:$B$94,'Live Medal Table'!$H$2:$H$94,0),0))</f>
        <v>0</v>
      </c>
      <c r="W204" s="29">
        <f t="array" ref="W204">IF(R204="",0,IFERROR(XLOOKUP(R204,'Live Medal Table'!$B$2:$B$94,'Live Medal Table'!$I$2:$I$94,0),0))</f>
        <v>0</v>
      </c>
      <c r="X204" s="29">
        <f t="shared" si="1"/>
        <v>0</v>
      </c>
      <c r="Y204" s="29">
        <f t="shared" si="2"/>
        <v>0</v>
      </c>
      <c r="Z204" s="29">
        <f t="shared" si="3"/>
        <v>0</v>
      </c>
      <c r="AA204" s="29">
        <f t="shared" si="4"/>
        <v>0</v>
      </c>
      <c r="AB204" s="29" t="b">
        <f t="array" ref="AB204">IF(R204="",FALSE,IFERROR(AND(ISNUMBER(MATCH(R204,'Live Medal Table'!$B$2:$B$94,0)),XLOOKUP(R204,'Live Medal Table'!$B$2:$B$94,Countries!$I$2:$I$72,FALSE)),FALSE))</f>
        <v>0</v>
      </c>
    </row>
    <row r="205" ht="15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29"/>
      <c r="M205" s="29"/>
      <c r="N205" s="29" t="str">
        <f t="array" ref="N205">IFERROR(IF(INDEX(Entries!$C$2:$C$47,26)="","",INDEX(Entries!$Q$2:$Q$47,26)),"")</f>
        <v/>
      </c>
      <c r="O205" s="29" t="str">
        <f t="array" ref="O205">IF(N205="","",IFERROR(INDEX(Entries!$E$2:$E$47,26),""))</f>
        <v/>
      </c>
      <c r="P205" s="29" t="str">
        <f>IF(N205="","","Tier3_Pick1")</f>
        <v/>
      </c>
      <c r="Q205" s="29" t="str">
        <f>IF(N205="","",3)</f>
        <v/>
      </c>
      <c r="R205" s="29" t="str">
        <f t="array" ref="R205">IF(N205="","",IFERROR(INDEX(Entries!$H$2:$H$47,26),""))</f>
        <v/>
      </c>
      <c r="S205" s="29" t="str">
        <f t="array" ref="S205">IF(R205="","",IFERROR(XLOOKUP(R205,'Live Medal Table'!$B$2:$B$94,'Live Medal Table'!$C$2:$C$94,"???"),"???"))</f>
        <v/>
      </c>
      <c r="T205" s="29">
        <f t="array" ref="T205">IF(R205="",0,IFERROR(XLOOKUP(R205,'Live Medal Table'!$B$2:$B$94,'Live Medal Table'!$F$2:$F$94,0),0))</f>
        <v>0</v>
      </c>
      <c r="U205" s="29">
        <f t="array" ref="U205">IF(R205="",0,IFERROR(XLOOKUP(R205,'Live Medal Table'!$B$2:$B$94,'Live Medal Table'!$G$2:$G$94,0),0))</f>
        <v>0</v>
      </c>
      <c r="V205" s="29">
        <f t="array" ref="V205">IF(R205="",0,IFERROR(XLOOKUP(R205,'Live Medal Table'!$B$2:$B$94,'Live Medal Table'!$H$2:$H$94,0),0))</f>
        <v>0</v>
      </c>
      <c r="W205" s="29">
        <f t="array" ref="W205">IF(R205="",0,IFERROR(XLOOKUP(R205,'Live Medal Table'!$B$2:$B$94,'Live Medal Table'!$I$2:$I$94,0),0))</f>
        <v>0</v>
      </c>
      <c r="X205" s="29">
        <f t="shared" si="1"/>
        <v>0</v>
      </c>
      <c r="Y205" s="29">
        <f t="shared" si="2"/>
        <v>0</v>
      </c>
      <c r="Z205" s="29">
        <f t="shared" si="3"/>
        <v>0</v>
      </c>
      <c r="AA205" s="29">
        <f t="shared" si="4"/>
        <v>0</v>
      </c>
      <c r="AB205" s="29" t="b">
        <f t="array" ref="AB205">IF(R205="",FALSE,IFERROR(AND(ISNUMBER(MATCH(R205,'Live Medal Table'!$B$2:$B$94,0)),XLOOKUP(R205,'Live Medal Table'!$B$2:$B$94,Countries!$I$2:$I$72,FALSE)),FALSE))</f>
        <v>0</v>
      </c>
    </row>
    <row r="206" ht="15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29"/>
      <c r="M206" s="29"/>
      <c r="N206" s="29" t="str">
        <f t="array" ref="N206">IFERROR(IF(INDEX(Entries!$C$2:$C$47,26)="","",INDEX(Entries!$Q$2:$Q$47,26)),"")</f>
        <v/>
      </c>
      <c r="O206" s="29" t="str">
        <f t="array" ref="O206">IF(N206="","",IFERROR(INDEX(Entries!$E$2:$E$47,26),""))</f>
        <v/>
      </c>
      <c r="P206" s="29" t="str">
        <f>IF(N206="","","Tier4_Pick1")</f>
        <v/>
      </c>
      <c r="Q206" s="29" t="str">
        <f>IF(N206="","",4)</f>
        <v/>
      </c>
      <c r="R206" s="29" t="str">
        <f t="array" ref="R206">IF(N206="","",IFERROR(INDEX(Entries!$I$2:$I$47,26),""))</f>
        <v/>
      </c>
      <c r="S206" s="29" t="str">
        <f t="array" ref="S206">IF(R206="","",IFERROR(XLOOKUP(R206,'Live Medal Table'!$B$2:$B$94,'Live Medal Table'!$C$2:$C$94,"???"),"???"))</f>
        <v/>
      </c>
      <c r="T206" s="29">
        <f t="array" ref="T206">IF(R206="",0,IFERROR(XLOOKUP(R206,'Live Medal Table'!$B$2:$B$94,'Live Medal Table'!$F$2:$F$94,0),0))</f>
        <v>0</v>
      </c>
      <c r="U206" s="29">
        <f t="array" ref="U206">IF(R206="",0,IFERROR(XLOOKUP(R206,'Live Medal Table'!$B$2:$B$94,'Live Medal Table'!$G$2:$G$94,0),0))</f>
        <v>0</v>
      </c>
      <c r="V206" s="29">
        <f t="array" ref="V206">IF(R206="",0,IFERROR(XLOOKUP(R206,'Live Medal Table'!$B$2:$B$94,'Live Medal Table'!$H$2:$H$94,0),0))</f>
        <v>0</v>
      </c>
      <c r="W206" s="29">
        <f t="array" ref="W206">IF(R206="",0,IFERROR(XLOOKUP(R206,'Live Medal Table'!$B$2:$B$94,'Live Medal Table'!$I$2:$I$94,0),0))</f>
        <v>0</v>
      </c>
      <c r="X206" s="29">
        <f t="shared" si="1"/>
        <v>0</v>
      </c>
      <c r="Y206" s="29">
        <f t="shared" si="2"/>
        <v>0</v>
      </c>
      <c r="Z206" s="29">
        <f t="shared" si="3"/>
        <v>0</v>
      </c>
      <c r="AA206" s="29">
        <f t="shared" si="4"/>
        <v>0</v>
      </c>
      <c r="AB206" s="29" t="b">
        <f t="array" ref="AB206">IF(R206="",FALSE,IFERROR(AND(ISNUMBER(MATCH(R206,'Live Medal Table'!$B$2:$B$94,0)),XLOOKUP(R206,'Live Medal Table'!$B$2:$B$94,Countries!$I$2:$I$72,FALSE)),FALSE))</f>
        <v>0</v>
      </c>
    </row>
    <row r="207" ht="15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29"/>
      <c r="M207" s="29"/>
      <c r="N207" s="29" t="str">
        <f t="array" ref="N207">IFERROR(IF(INDEX(Entries!$C$2:$C$47,26)="","",INDEX(Entries!$Q$2:$Q$47,26)),"")</f>
        <v/>
      </c>
      <c r="O207" s="29" t="str">
        <f t="array" ref="O207">IF(N207="","",IFERROR(INDEX(Entries!$E$2:$E$47,26),""))</f>
        <v/>
      </c>
      <c r="P207" s="29" t="str">
        <f>IF(N207="","","Tier5_Pick1")</f>
        <v/>
      </c>
      <c r="Q207" s="29" t="str">
        <f>IF(N207="","",5)</f>
        <v/>
      </c>
      <c r="R207" s="29" t="str">
        <f t="array" ref="R207">IF(N207="","",IFERROR(INDEX(Entries!$J$2:$J$47,26),""))</f>
        <v/>
      </c>
      <c r="S207" s="29" t="str">
        <f t="array" ref="S207">IF(R207="","",IFERROR(XLOOKUP(R207,'Live Medal Table'!$B$2:$B$94,'Live Medal Table'!$C$2:$C$94,"???"),"???"))</f>
        <v/>
      </c>
      <c r="T207" s="29">
        <f t="array" ref="T207">IF(R207="",0,IFERROR(XLOOKUP(R207,'Live Medal Table'!$B$2:$B$94,'Live Medal Table'!$F$2:$F$94,0),0))</f>
        <v>0</v>
      </c>
      <c r="U207" s="29">
        <f t="array" ref="U207">IF(R207="",0,IFERROR(XLOOKUP(R207,'Live Medal Table'!$B$2:$B$94,'Live Medal Table'!$G$2:$G$94,0),0))</f>
        <v>0</v>
      </c>
      <c r="V207" s="29">
        <f t="array" ref="V207">IF(R207="",0,IFERROR(XLOOKUP(R207,'Live Medal Table'!$B$2:$B$94,'Live Medal Table'!$H$2:$H$94,0),0))</f>
        <v>0</v>
      </c>
      <c r="W207" s="29">
        <f t="array" ref="W207">IF(R207="",0,IFERROR(XLOOKUP(R207,'Live Medal Table'!$B$2:$B$94,'Live Medal Table'!$I$2:$I$94,0),0))</f>
        <v>0</v>
      </c>
      <c r="X207" s="29">
        <f t="shared" si="1"/>
        <v>0</v>
      </c>
      <c r="Y207" s="29">
        <f t="shared" si="2"/>
        <v>0</v>
      </c>
      <c r="Z207" s="29">
        <f t="shared" si="3"/>
        <v>0</v>
      </c>
      <c r="AA207" s="29">
        <f t="shared" si="4"/>
        <v>0</v>
      </c>
      <c r="AB207" s="29" t="b">
        <f t="array" ref="AB207">IF(R207="",FALSE,IFERROR(AND(ISNUMBER(MATCH(R207,'Live Medal Table'!$B$2:$B$94,0)),XLOOKUP(R207,'Live Medal Table'!$B$2:$B$94,Countries!$I$2:$I$72,FALSE)),FALSE))</f>
        <v>0</v>
      </c>
    </row>
    <row r="208" ht="15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29"/>
      <c r="M208" s="29"/>
      <c r="N208" s="29" t="str">
        <f t="array" ref="N208">IFERROR(IF(INDEX(Entries!$C$2:$C$47,26)="","",INDEX(Entries!$Q$2:$Q$47,26)),"")</f>
        <v/>
      </c>
      <c r="O208" s="29" t="str">
        <f t="array" ref="O208">IF(N208="","",IFERROR(INDEX(Entries!$E$2:$E$47,26),""))</f>
        <v/>
      </c>
      <c r="P208" s="29" t="str">
        <f>IF(N208="","","Tier6_Pick1")</f>
        <v/>
      </c>
      <c r="Q208" s="29" t="str">
        <f t="shared" ref="Q208:Q209" si="56">IF(N208="","",6)</f>
        <v/>
      </c>
      <c r="R208" s="29" t="str">
        <f t="array" ref="R208">IF(N208="","",IFERROR(INDEX(Entries!$O$2:$O$47,26),""))</f>
        <v/>
      </c>
      <c r="S208" s="29" t="str">
        <f t="array" ref="S208">IF(R208="","",IFERROR(XLOOKUP(R208,'Live Medal Table'!$B$2:$B$94,'Live Medal Table'!$C$2:$C$94,"???"),"???"))</f>
        <v/>
      </c>
      <c r="T208" s="29">
        <f t="array" ref="T208">IF(R208="",0,IFERROR(XLOOKUP(R208,'Live Medal Table'!$B$2:$B$94,'Live Medal Table'!$F$2:$F$94,0),0))</f>
        <v>0</v>
      </c>
      <c r="U208" s="29">
        <f t="array" ref="U208">IF(R208="",0,IFERROR(XLOOKUP(R208,'Live Medal Table'!$B$2:$B$94,'Live Medal Table'!$G$2:$G$94,0),0))</f>
        <v>0</v>
      </c>
      <c r="V208" s="29">
        <f t="array" ref="V208">IF(R208="",0,IFERROR(XLOOKUP(R208,'Live Medal Table'!$B$2:$B$94,'Live Medal Table'!$H$2:$H$94,0),0))</f>
        <v>0</v>
      </c>
      <c r="W208" s="29">
        <f t="array" ref="W208">IF(R208="",0,IFERROR(XLOOKUP(R208,'Live Medal Table'!$B$2:$B$94,'Live Medal Table'!$I$2:$I$94,0),0))</f>
        <v>0</v>
      </c>
      <c r="X208" s="29">
        <f t="shared" si="1"/>
        <v>0</v>
      </c>
      <c r="Y208" s="29">
        <f t="shared" si="2"/>
        <v>0</v>
      </c>
      <c r="Z208" s="29">
        <f t="shared" si="3"/>
        <v>0</v>
      </c>
      <c r="AA208" s="29">
        <f t="shared" si="4"/>
        <v>0</v>
      </c>
      <c r="AB208" s="29" t="b">
        <f t="array" ref="AB208">IF(R208="",FALSE,IFERROR(AND(ISNUMBER(MATCH(R208,'Live Medal Table'!$B$2:$B$94,0)),XLOOKUP(R208,'Live Medal Table'!$B$2:$B$94,Countries!$I$2:$I$72,FALSE)),FALSE))</f>
        <v>0</v>
      </c>
    </row>
    <row r="209" ht="15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29"/>
      <c r="M209" s="29"/>
      <c r="N209" s="29" t="str">
        <f t="array" ref="N209">IFERROR(IF(INDEX(Entries!$C$2:$C$47,26)="","",INDEX(Entries!$Q$2:$Q$47,26)),"")</f>
        <v/>
      </c>
      <c r="O209" s="29" t="str">
        <f t="array" ref="O209">IF(N209="","",IFERROR(INDEX(Entries!$E$2:$E$47,26),""))</f>
        <v/>
      </c>
      <c r="P209" s="29" t="str">
        <f>IF(N209="","","Tier6_Pick2")</f>
        <v/>
      </c>
      <c r="Q209" s="29" t="str">
        <f t="shared" si="56"/>
        <v/>
      </c>
      <c r="R209" s="29" t="str">
        <f t="array" ref="R209">IF(N209="","",IFERROR(INDEX(Entries!$P$2:$P$47,26),""))</f>
        <v/>
      </c>
      <c r="S209" s="29" t="str">
        <f t="array" ref="S209">IF(R209="","",IFERROR(XLOOKUP(R209,'Live Medal Table'!$B$2:$B$94,'Live Medal Table'!$C$2:$C$94,"???"),"???"))</f>
        <v/>
      </c>
      <c r="T209" s="29">
        <f t="array" ref="T209">IF(R209="",0,IFERROR(XLOOKUP(R209,'Live Medal Table'!$B$2:$B$94,'Live Medal Table'!$F$2:$F$94,0),0))</f>
        <v>0</v>
      </c>
      <c r="U209" s="29">
        <f t="array" ref="U209">IF(R209="",0,IFERROR(XLOOKUP(R209,'Live Medal Table'!$B$2:$B$94,'Live Medal Table'!$G$2:$G$94,0),0))</f>
        <v>0</v>
      </c>
      <c r="V209" s="29">
        <f t="array" ref="V209">IF(R209="",0,IFERROR(XLOOKUP(R209,'Live Medal Table'!$B$2:$B$94,'Live Medal Table'!$H$2:$H$94,0),0))</f>
        <v>0</v>
      </c>
      <c r="W209" s="29">
        <f t="array" ref="W209">IF(R209="",0,IFERROR(XLOOKUP(R209,'Live Medal Table'!$B$2:$B$94,'Live Medal Table'!$I$2:$I$94,0),0))</f>
        <v>0</v>
      </c>
      <c r="X209" s="29">
        <f t="shared" si="1"/>
        <v>0</v>
      </c>
      <c r="Y209" s="29">
        <f t="shared" si="2"/>
        <v>0</v>
      </c>
      <c r="Z209" s="29">
        <f t="shared" si="3"/>
        <v>0</v>
      </c>
      <c r="AA209" s="29">
        <f t="shared" si="4"/>
        <v>0</v>
      </c>
      <c r="AB209" s="29" t="b">
        <f t="array" ref="AB209">IF(R209="",FALSE,IFERROR(AND(ISNUMBER(MATCH(R209,'Live Medal Table'!$B$2:$B$94,0)),XLOOKUP(R209,'Live Medal Table'!$B$2:$B$94,Countries!$I$2:$I$72,FALSE)),FALSE))</f>
        <v>0</v>
      </c>
    </row>
    <row r="210" ht="15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29"/>
      <c r="M210" s="29"/>
      <c r="N210" s="29" t="str">
        <f t="array" ref="N210">IFERROR(IF(INDEX(Entries!$C$2:$C$47,27)="","",INDEX(Entries!$Q$2:$Q$47,27)),"")</f>
        <v/>
      </c>
      <c r="O210" s="29" t="str">
        <f t="array" ref="O210">IF(N210="","",IFERROR(INDEX(Entries!$E$2:$E$47,27),""))</f>
        <v/>
      </c>
      <c r="P210" s="29" t="str">
        <f>IF(N210="","","Tier1_Pick1")</f>
        <v/>
      </c>
      <c r="Q210" s="29" t="str">
        <f>IF(N210="","",1)</f>
        <v/>
      </c>
      <c r="R210" s="29" t="str">
        <f t="array" ref="R210">IF(N210="","",IFERROR(INDEX(Entries!$F$2:$F$47,27),""))</f>
        <v/>
      </c>
      <c r="S210" s="29" t="str">
        <f t="array" ref="S210">IF(R210="","",IFERROR(XLOOKUP(R210,'Live Medal Table'!$B$2:$B$94,'Live Medal Table'!$C$2:$C$94,"???"),"???"))</f>
        <v/>
      </c>
      <c r="T210" s="29">
        <f t="array" ref="T210">IF(R210="",0,IFERROR(XLOOKUP(R210,'Live Medal Table'!$B$2:$B$94,'Live Medal Table'!$F$2:$F$94,0),0))</f>
        <v>0</v>
      </c>
      <c r="U210" s="29">
        <f t="array" ref="U210">IF(R210="",0,IFERROR(XLOOKUP(R210,'Live Medal Table'!$B$2:$B$94,'Live Medal Table'!$G$2:$G$94,0),0))</f>
        <v>0</v>
      </c>
      <c r="V210" s="29">
        <f t="array" ref="V210">IF(R210="",0,IFERROR(XLOOKUP(R210,'Live Medal Table'!$B$2:$B$94,'Live Medal Table'!$H$2:$H$94,0),0))</f>
        <v>0</v>
      </c>
      <c r="W210" s="29">
        <f t="array" ref="W210">IF(R210="",0,IFERROR(XLOOKUP(R210,'Live Medal Table'!$B$2:$B$94,'Live Medal Table'!$I$2:$I$94,0),0))</f>
        <v>0</v>
      </c>
      <c r="X210" s="29">
        <f t="shared" si="1"/>
        <v>0</v>
      </c>
      <c r="Y210" s="29">
        <f t="shared" si="2"/>
        <v>0</v>
      </c>
      <c r="Z210" s="29">
        <f t="shared" si="3"/>
        <v>0</v>
      </c>
      <c r="AA210" s="29">
        <f t="shared" si="4"/>
        <v>0</v>
      </c>
      <c r="AB210" s="29" t="b">
        <f t="array" ref="AB210">IF(R210="",FALSE,IFERROR(AND(ISNUMBER(MATCH(R210,'Live Medal Table'!$B$2:$B$94,0)),XLOOKUP(R210,'Live Medal Table'!$B$2:$B$94,Countries!$I$2:$I$72,FALSE)),FALSE))</f>
        <v>0</v>
      </c>
    </row>
    <row r="211" ht="15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29"/>
      <c r="M211" s="29"/>
      <c r="N211" s="29" t="str">
        <f t="array" ref="N211">IFERROR(IF(INDEX(Entries!$C$2:$C$47,27)="","",INDEX(Entries!$Q$2:$Q$47,27)),"")</f>
        <v/>
      </c>
      <c r="O211" s="29" t="str">
        <f t="array" ref="O211">IF(N211="","",IFERROR(INDEX(Entries!$E$2:$E$47,27),""))</f>
        <v/>
      </c>
      <c r="P211" s="29" t="str">
        <f>IF(N211="","","Tier2_Pick1")</f>
        <v/>
      </c>
      <c r="Q211" s="29" t="str">
        <f t="shared" ref="Q211:Q212" si="57">IF(N211="","",2)</f>
        <v/>
      </c>
      <c r="R211" s="29" t="str">
        <f t="array" ref="R211">IF(N211="","",IFERROR(INDEX(Entries!$M$2:$M$47,27),""))</f>
        <v/>
      </c>
      <c r="S211" s="29" t="str">
        <f t="array" ref="S211">IF(R211="","",IFERROR(XLOOKUP(R211,'Live Medal Table'!$B$2:$B$94,'Live Medal Table'!$C$2:$C$94,"???"),"???"))</f>
        <v/>
      </c>
      <c r="T211" s="29">
        <f t="array" ref="T211">IF(R211="",0,IFERROR(XLOOKUP(R211,'Live Medal Table'!$B$2:$B$94,'Live Medal Table'!$F$2:$F$94,0),0))</f>
        <v>0</v>
      </c>
      <c r="U211" s="29">
        <f t="array" ref="U211">IF(R211="",0,IFERROR(XLOOKUP(R211,'Live Medal Table'!$B$2:$B$94,'Live Medal Table'!$G$2:$G$94,0),0))</f>
        <v>0</v>
      </c>
      <c r="V211" s="29">
        <f t="array" ref="V211">IF(R211="",0,IFERROR(XLOOKUP(R211,'Live Medal Table'!$B$2:$B$94,'Live Medal Table'!$H$2:$H$94,0),0))</f>
        <v>0</v>
      </c>
      <c r="W211" s="29">
        <f t="array" ref="W211">IF(R211="",0,IFERROR(XLOOKUP(R211,'Live Medal Table'!$B$2:$B$94,'Live Medal Table'!$I$2:$I$94,0),0))</f>
        <v>0</v>
      </c>
      <c r="X211" s="29">
        <f t="shared" si="1"/>
        <v>0</v>
      </c>
      <c r="Y211" s="29">
        <f t="shared" si="2"/>
        <v>0</v>
      </c>
      <c r="Z211" s="29">
        <f t="shared" si="3"/>
        <v>0</v>
      </c>
      <c r="AA211" s="29">
        <f t="shared" si="4"/>
        <v>0</v>
      </c>
      <c r="AB211" s="29" t="b">
        <f t="array" ref="AB211">IF(R211="",FALSE,IFERROR(AND(ISNUMBER(MATCH(R211,'Live Medal Table'!$B$2:$B$94,0)),XLOOKUP(R211,'Live Medal Table'!$B$2:$B$94,Countries!$I$2:$I$72,FALSE)),FALSE))</f>
        <v>0</v>
      </c>
    </row>
    <row r="212" ht="15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29"/>
      <c r="M212" s="29"/>
      <c r="N212" s="29" t="str">
        <f t="array" ref="N212">IFERROR(IF(INDEX(Entries!$C$2:$C$47,27)="","",INDEX(Entries!$Q$2:$Q$47,27)),"")</f>
        <v/>
      </c>
      <c r="O212" s="29" t="str">
        <f t="array" ref="O212">IF(N212="","",IFERROR(INDEX(Entries!$E$2:$E$47,27),""))</f>
        <v/>
      </c>
      <c r="P212" s="29" t="str">
        <f>IF(N212="","","Tier2_Pick2")</f>
        <v/>
      </c>
      <c r="Q212" s="29" t="str">
        <f t="shared" si="57"/>
        <v/>
      </c>
      <c r="R212" s="29" t="str">
        <f t="array" ref="R212">IF(N212="","",IFERROR(INDEX(Entries!$N$2:$N$47,27),""))</f>
        <v/>
      </c>
      <c r="S212" s="29" t="str">
        <f t="array" ref="S212">IF(R212="","",IFERROR(XLOOKUP(R212,'Live Medal Table'!$B$2:$B$94,'Live Medal Table'!$C$2:$C$94,"???"),"???"))</f>
        <v/>
      </c>
      <c r="T212" s="29">
        <f t="array" ref="T212">IF(R212="",0,IFERROR(XLOOKUP(R212,'Live Medal Table'!$B$2:$B$94,'Live Medal Table'!$F$2:$F$94,0),0))</f>
        <v>0</v>
      </c>
      <c r="U212" s="29">
        <f t="array" ref="U212">IF(R212="",0,IFERROR(XLOOKUP(R212,'Live Medal Table'!$B$2:$B$94,'Live Medal Table'!$G$2:$G$94,0),0))</f>
        <v>0</v>
      </c>
      <c r="V212" s="29">
        <f t="array" ref="V212">IF(R212="",0,IFERROR(XLOOKUP(R212,'Live Medal Table'!$B$2:$B$94,'Live Medal Table'!$H$2:$H$94,0),0))</f>
        <v>0</v>
      </c>
      <c r="W212" s="29">
        <f t="array" ref="W212">IF(R212="",0,IFERROR(XLOOKUP(R212,'Live Medal Table'!$B$2:$B$94,'Live Medal Table'!$I$2:$I$94,0),0))</f>
        <v>0</v>
      </c>
      <c r="X212" s="29">
        <f t="shared" si="1"/>
        <v>0</v>
      </c>
      <c r="Y212" s="29">
        <f t="shared" si="2"/>
        <v>0</v>
      </c>
      <c r="Z212" s="29">
        <f t="shared" si="3"/>
        <v>0</v>
      </c>
      <c r="AA212" s="29">
        <f t="shared" si="4"/>
        <v>0</v>
      </c>
      <c r="AB212" s="29" t="b">
        <f t="array" ref="AB212">IF(R212="",FALSE,IFERROR(AND(ISNUMBER(MATCH(R212,'Live Medal Table'!$B$2:$B$94,0)),XLOOKUP(R212,'Live Medal Table'!$B$2:$B$94,Countries!$I$2:$I$72,FALSE)),FALSE))</f>
        <v>0</v>
      </c>
    </row>
    <row r="213" ht="15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29"/>
      <c r="M213" s="29"/>
      <c r="N213" s="29" t="str">
        <f t="array" ref="N213">IFERROR(IF(INDEX(Entries!$C$2:$C$47,27)="","",INDEX(Entries!$Q$2:$Q$47,27)),"")</f>
        <v/>
      </c>
      <c r="O213" s="29" t="str">
        <f t="array" ref="O213">IF(N213="","",IFERROR(INDEX(Entries!$E$2:$E$47,27),""))</f>
        <v/>
      </c>
      <c r="P213" s="29" t="str">
        <f>IF(N213="","","Tier3_Pick1")</f>
        <v/>
      </c>
      <c r="Q213" s="29" t="str">
        <f>IF(N213="","",3)</f>
        <v/>
      </c>
      <c r="R213" s="29" t="str">
        <f t="array" ref="R213">IF(N213="","",IFERROR(INDEX(Entries!$H$2:$H$47,27),""))</f>
        <v/>
      </c>
      <c r="S213" s="29" t="str">
        <f t="array" ref="S213">IF(R213="","",IFERROR(XLOOKUP(R213,'Live Medal Table'!$B$2:$B$94,'Live Medal Table'!$C$2:$C$94,"???"),"???"))</f>
        <v/>
      </c>
      <c r="T213" s="29">
        <f t="array" ref="T213">IF(R213="",0,IFERROR(XLOOKUP(R213,'Live Medal Table'!$B$2:$B$94,'Live Medal Table'!$F$2:$F$94,0),0))</f>
        <v>0</v>
      </c>
      <c r="U213" s="29">
        <f t="array" ref="U213">IF(R213="",0,IFERROR(XLOOKUP(R213,'Live Medal Table'!$B$2:$B$94,'Live Medal Table'!$G$2:$G$94,0),0))</f>
        <v>0</v>
      </c>
      <c r="V213" s="29">
        <f t="array" ref="V213">IF(R213="",0,IFERROR(XLOOKUP(R213,'Live Medal Table'!$B$2:$B$94,'Live Medal Table'!$H$2:$H$94,0),0))</f>
        <v>0</v>
      </c>
      <c r="W213" s="29">
        <f t="array" ref="W213">IF(R213="",0,IFERROR(XLOOKUP(R213,'Live Medal Table'!$B$2:$B$94,'Live Medal Table'!$I$2:$I$94,0),0))</f>
        <v>0</v>
      </c>
      <c r="X213" s="29">
        <f t="shared" si="1"/>
        <v>0</v>
      </c>
      <c r="Y213" s="29">
        <f t="shared" si="2"/>
        <v>0</v>
      </c>
      <c r="Z213" s="29">
        <f t="shared" si="3"/>
        <v>0</v>
      </c>
      <c r="AA213" s="29">
        <f t="shared" si="4"/>
        <v>0</v>
      </c>
      <c r="AB213" s="29" t="b">
        <f t="array" ref="AB213">IF(R213="",FALSE,IFERROR(AND(ISNUMBER(MATCH(R213,'Live Medal Table'!$B$2:$B$94,0)),XLOOKUP(R213,'Live Medal Table'!$B$2:$B$94,Countries!$I$2:$I$72,FALSE)),FALSE))</f>
        <v>0</v>
      </c>
    </row>
    <row r="214" ht="15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29"/>
      <c r="M214" s="29"/>
      <c r="N214" s="29" t="str">
        <f t="array" ref="N214">IFERROR(IF(INDEX(Entries!$C$2:$C$47,27)="","",INDEX(Entries!$Q$2:$Q$47,27)),"")</f>
        <v/>
      </c>
      <c r="O214" s="29" t="str">
        <f t="array" ref="O214">IF(N214="","",IFERROR(INDEX(Entries!$E$2:$E$47,27),""))</f>
        <v/>
      </c>
      <c r="P214" s="29" t="str">
        <f>IF(N214="","","Tier4_Pick1")</f>
        <v/>
      </c>
      <c r="Q214" s="29" t="str">
        <f>IF(N214="","",4)</f>
        <v/>
      </c>
      <c r="R214" s="29" t="str">
        <f t="array" ref="R214">IF(N214="","",IFERROR(INDEX(Entries!$I$2:$I$47,27),""))</f>
        <v/>
      </c>
      <c r="S214" s="29" t="str">
        <f t="array" ref="S214">IF(R214="","",IFERROR(XLOOKUP(R214,'Live Medal Table'!$B$2:$B$94,'Live Medal Table'!$C$2:$C$94,"???"),"???"))</f>
        <v/>
      </c>
      <c r="T214" s="29">
        <f t="array" ref="T214">IF(R214="",0,IFERROR(XLOOKUP(R214,'Live Medal Table'!$B$2:$B$94,'Live Medal Table'!$F$2:$F$94,0),0))</f>
        <v>0</v>
      </c>
      <c r="U214" s="29">
        <f t="array" ref="U214">IF(R214="",0,IFERROR(XLOOKUP(R214,'Live Medal Table'!$B$2:$B$94,'Live Medal Table'!$G$2:$G$94,0),0))</f>
        <v>0</v>
      </c>
      <c r="V214" s="29">
        <f t="array" ref="V214">IF(R214="",0,IFERROR(XLOOKUP(R214,'Live Medal Table'!$B$2:$B$94,'Live Medal Table'!$H$2:$H$94,0),0))</f>
        <v>0</v>
      </c>
      <c r="W214" s="29">
        <f t="array" ref="W214">IF(R214="",0,IFERROR(XLOOKUP(R214,'Live Medal Table'!$B$2:$B$94,'Live Medal Table'!$I$2:$I$94,0),0))</f>
        <v>0</v>
      </c>
      <c r="X214" s="29">
        <f t="shared" si="1"/>
        <v>0</v>
      </c>
      <c r="Y214" s="29">
        <f t="shared" si="2"/>
        <v>0</v>
      </c>
      <c r="Z214" s="29">
        <f t="shared" si="3"/>
        <v>0</v>
      </c>
      <c r="AA214" s="29">
        <f t="shared" si="4"/>
        <v>0</v>
      </c>
      <c r="AB214" s="29" t="b">
        <f t="array" ref="AB214">IF(R214="",FALSE,IFERROR(AND(ISNUMBER(MATCH(R214,'Live Medal Table'!$B$2:$B$94,0)),XLOOKUP(R214,'Live Medal Table'!$B$2:$B$94,Countries!$I$2:$I$72,FALSE)),FALSE))</f>
        <v>0</v>
      </c>
    </row>
    <row r="215" ht="15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29"/>
      <c r="M215" s="29"/>
      <c r="N215" s="29" t="str">
        <f t="array" ref="N215">IFERROR(IF(INDEX(Entries!$C$2:$C$47,27)="","",INDEX(Entries!$Q$2:$Q$47,27)),"")</f>
        <v/>
      </c>
      <c r="O215" s="29" t="str">
        <f t="array" ref="O215">IF(N215="","",IFERROR(INDEX(Entries!$E$2:$E$47,27),""))</f>
        <v/>
      </c>
      <c r="P215" s="29" t="str">
        <f>IF(N215="","","Tier5_Pick1")</f>
        <v/>
      </c>
      <c r="Q215" s="29" t="str">
        <f>IF(N215="","",5)</f>
        <v/>
      </c>
      <c r="R215" s="29" t="str">
        <f t="array" ref="R215">IF(N215="","",IFERROR(INDEX(Entries!$J$2:$J$47,27),""))</f>
        <v/>
      </c>
      <c r="S215" s="29" t="str">
        <f t="array" ref="S215">IF(R215="","",IFERROR(XLOOKUP(R215,'Live Medal Table'!$B$2:$B$94,'Live Medal Table'!$C$2:$C$94,"???"),"???"))</f>
        <v/>
      </c>
      <c r="T215" s="29">
        <f t="array" ref="T215">IF(R215="",0,IFERROR(XLOOKUP(R215,'Live Medal Table'!$B$2:$B$94,'Live Medal Table'!$F$2:$F$94,0),0))</f>
        <v>0</v>
      </c>
      <c r="U215" s="29">
        <f t="array" ref="U215">IF(R215="",0,IFERROR(XLOOKUP(R215,'Live Medal Table'!$B$2:$B$94,'Live Medal Table'!$G$2:$G$94,0),0))</f>
        <v>0</v>
      </c>
      <c r="V215" s="29">
        <f t="array" ref="V215">IF(R215="",0,IFERROR(XLOOKUP(R215,'Live Medal Table'!$B$2:$B$94,'Live Medal Table'!$H$2:$H$94,0),0))</f>
        <v>0</v>
      </c>
      <c r="W215" s="29">
        <f t="array" ref="W215">IF(R215="",0,IFERROR(XLOOKUP(R215,'Live Medal Table'!$B$2:$B$94,'Live Medal Table'!$I$2:$I$94,0),0))</f>
        <v>0</v>
      </c>
      <c r="X215" s="29">
        <f t="shared" si="1"/>
        <v>0</v>
      </c>
      <c r="Y215" s="29">
        <f t="shared" si="2"/>
        <v>0</v>
      </c>
      <c r="Z215" s="29">
        <f t="shared" si="3"/>
        <v>0</v>
      </c>
      <c r="AA215" s="29">
        <f t="shared" si="4"/>
        <v>0</v>
      </c>
      <c r="AB215" s="29" t="b">
        <f t="array" ref="AB215">IF(R215="",FALSE,IFERROR(AND(ISNUMBER(MATCH(R215,'Live Medal Table'!$B$2:$B$94,0)),XLOOKUP(R215,'Live Medal Table'!$B$2:$B$94,Countries!$I$2:$I$72,FALSE)),FALSE))</f>
        <v>0</v>
      </c>
    </row>
    <row r="216" ht="15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29"/>
      <c r="M216" s="29"/>
      <c r="N216" s="29" t="str">
        <f t="array" ref="N216">IFERROR(IF(INDEX(Entries!$C$2:$C$47,27)="","",INDEX(Entries!$Q$2:$Q$47,27)),"")</f>
        <v/>
      </c>
      <c r="O216" s="29" t="str">
        <f t="array" ref="O216">IF(N216="","",IFERROR(INDEX(Entries!$E$2:$E$47,27),""))</f>
        <v/>
      </c>
      <c r="P216" s="29" t="str">
        <f>IF(N216="","","Tier6_Pick1")</f>
        <v/>
      </c>
      <c r="Q216" s="29" t="str">
        <f t="shared" ref="Q216:Q217" si="58">IF(N216="","",6)</f>
        <v/>
      </c>
      <c r="R216" s="29" t="str">
        <f t="array" ref="R216">IF(N216="","",IFERROR(INDEX(Entries!$O$2:$O$47,27),""))</f>
        <v/>
      </c>
      <c r="S216" s="29" t="str">
        <f t="array" ref="S216">IF(R216="","",IFERROR(XLOOKUP(R216,'Live Medal Table'!$B$2:$B$94,'Live Medal Table'!$C$2:$C$94,"???"),"???"))</f>
        <v/>
      </c>
      <c r="T216" s="29">
        <f t="array" ref="T216">IF(R216="",0,IFERROR(XLOOKUP(R216,'Live Medal Table'!$B$2:$B$94,'Live Medal Table'!$F$2:$F$94,0),0))</f>
        <v>0</v>
      </c>
      <c r="U216" s="29">
        <f t="array" ref="U216">IF(R216="",0,IFERROR(XLOOKUP(R216,'Live Medal Table'!$B$2:$B$94,'Live Medal Table'!$G$2:$G$94,0),0))</f>
        <v>0</v>
      </c>
      <c r="V216" s="29">
        <f t="array" ref="V216">IF(R216="",0,IFERROR(XLOOKUP(R216,'Live Medal Table'!$B$2:$B$94,'Live Medal Table'!$H$2:$H$94,0),0))</f>
        <v>0</v>
      </c>
      <c r="W216" s="29">
        <f t="array" ref="W216">IF(R216="",0,IFERROR(XLOOKUP(R216,'Live Medal Table'!$B$2:$B$94,'Live Medal Table'!$I$2:$I$94,0),0))</f>
        <v>0</v>
      </c>
      <c r="X216" s="29">
        <f t="shared" si="1"/>
        <v>0</v>
      </c>
      <c r="Y216" s="29">
        <f t="shared" si="2"/>
        <v>0</v>
      </c>
      <c r="Z216" s="29">
        <f t="shared" si="3"/>
        <v>0</v>
      </c>
      <c r="AA216" s="29">
        <f t="shared" si="4"/>
        <v>0</v>
      </c>
      <c r="AB216" s="29" t="b">
        <f t="array" ref="AB216">IF(R216="",FALSE,IFERROR(AND(ISNUMBER(MATCH(R216,'Live Medal Table'!$B$2:$B$94,0)),XLOOKUP(R216,'Live Medal Table'!$B$2:$B$94,Countries!$I$2:$I$72,FALSE)),FALSE))</f>
        <v>0</v>
      </c>
    </row>
    <row r="217" ht="15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29"/>
      <c r="M217" s="29"/>
      <c r="N217" s="29" t="str">
        <f t="array" ref="N217">IFERROR(IF(INDEX(Entries!$C$2:$C$47,27)="","",INDEX(Entries!$Q$2:$Q$47,27)),"")</f>
        <v/>
      </c>
      <c r="O217" s="29" t="str">
        <f t="array" ref="O217">IF(N217="","",IFERROR(INDEX(Entries!$E$2:$E$47,27),""))</f>
        <v/>
      </c>
      <c r="P217" s="29" t="str">
        <f>IF(N217="","","Tier6_Pick2")</f>
        <v/>
      </c>
      <c r="Q217" s="29" t="str">
        <f t="shared" si="58"/>
        <v/>
      </c>
      <c r="R217" s="29" t="str">
        <f t="array" ref="R217">IF(N217="","",IFERROR(INDEX(Entries!$P$2:$P$47,27),""))</f>
        <v/>
      </c>
      <c r="S217" s="29" t="str">
        <f t="array" ref="S217">IF(R217="","",IFERROR(XLOOKUP(R217,'Live Medal Table'!$B$2:$B$94,'Live Medal Table'!$C$2:$C$94,"???"),"???"))</f>
        <v/>
      </c>
      <c r="T217" s="29">
        <f t="array" ref="T217">IF(R217="",0,IFERROR(XLOOKUP(R217,'Live Medal Table'!$B$2:$B$94,'Live Medal Table'!$F$2:$F$94,0),0))</f>
        <v>0</v>
      </c>
      <c r="U217" s="29">
        <f t="array" ref="U217">IF(R217="",0,IFERROR(XLOOKUP(R217,'Live Medal Table'!$B$2:$B$94,'Live Medal Table'!$G$2:$G$94,0),0))</f>
        <v>0</v>
      </c>
      <c r="V217" s="29">
        <f t="array" ref="V217">IF(R217="",0,IFERROR(XLOOKUP(R217,'Live Medal Table'!$B$2:$B$94,'Live Medal Table'!$H$2:$H$94,0),0))</f>
        <v>0</v>
      </c>
      <c r="W217" s="29">
        <f t="array" ref="W217">IF(R217="",0,IFERROR(XLOOKUP(R217,'Live Medal Table'!$B$2:$B$94,'Live Medal Table'!$I$2:$I$94,0),0))</f>
        <v>0</v>
      </c>
      <c r="X217" s="29">
        <f t="shared" si="1"/>
        <v>0</v>
      </c>
      <c r="Y217" s="29">
        <f t="shared" si="2"/>
        <v>0</v>
      </c>
      <c r="Z217" s="29">
        <f t="shared" si="3"/>
        <v>0</v>
      </c>
      <c r="AA217" s="29">
        <f t="shared" si="4"/>
        <v>0</v>
      </c>
      <c r="AB217" s="29" t="b">
        <f t="array" ref="AB217">IF(R217="",FALSE,IFERROR(AND(ISNUMBER(MATCH(R217,'Live Medal Table'!$B$2:$B$94,0)),XLOOKUP(R217,'Live Medal Table'!$B$2:$B$94,Countries!$I$2:$I$72,FALSE)),FALSE))</f>
        <v>0</v>
      </c>
    </row>
    <row r="218" ht="15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29"/>
      <c r="M218" s="29"/>
      <c r="N218" s="29" t="str">
        <f t="array" ref="N218">IFERROR(IF(INDEX(Entries!$C$2:$C$47,28)="","",INDEX(Entries!$Q$2:$Q$47,28)),"")</f>
        <v/>
      </c>
      <c r="O218" s="29" t="str">
        <f t="array" ref="O218">IF(N218="","",IFERROR(INDEX(Entries!$E$2:$E$47,28),""))</f>
        <v/>
      </c>
      <c r="P218" s="29" t="str">
        <f>IF(N218="","","Tier1_Pick1")</f>
        <v/>
      </c>
      <c r="Q218" s="29" t="str">
        <f>IF(N218="","",1)</f>
        <v/>
      </c>
      <c r="R218" s="29" t="str">
        <f t="array" ref="R218">IF(N218="","",IFERROR(INDEX(Entries!$F$2:$F$47,28),""))</f>
        <v/>
      </c>
      <c r="S218" s="29" t="str">
        <f t="array" ref="S218">IF(R218="","",IFERROR(XLOOKUP(R218,'Live Medal Table'!$B$2:$B$94,'Live Medal Table'!$C$2:$C$94,"???"),"???"))</f>
        <v/>
      </c>
      <c r="T218" s="29">
        <f t="array" ref="T218">IF(R218="",0,IFERROR(XLOOKUP(R218,'Live Medal Table'!$B$2:$B$94,'Live Medal Table'!$F$2:$F$94,0),0))</f>
        <v>0</v>
      </c>
      <c r="U218" s="29">
        <f t="array" ref="U218">IF(R218="",0,IFERROR(XLOOKUP(R218,'Live Medal Table'!$B$2:$B$94,'Live Medal Table'!$G$2:$G$94,0),0))</f>
        <v>0</v>
      </c>
      <c r="V218" s="29">
        <f t="array" ref="V218">IF(R218="",0,IFERROR(XLOOKUP(R218,'Live Medal Table'!$B$2:$B$94,'Live Medal Table'!$H$2:$H$94,0),0))</f>
        <v>0</v>
      </c>
      <c r="W218" s="29">
        <f t="array" ref="W218">IF(R218="",0,IFERROR(XLOOKUP(R218,'Live Medal Table'!$B$2:$B$94,'Live Medal Table'!$I$2:$I$94,0),0))</f>
        <v>0</v>
      </c>
      <c r="X218" s="29">
        <f t="shared" si="1"/>
        <v>0</v>
      </c>
      <c r="Y218" s="29">
        <f t="shared" si="2"/>
        <v>0</v>
      </c>
      <c r="Z218" s="29">
        <f t="shared" si="3"/>
        <v>0</v>
      </c>
      <c r="AA218" s="29">
        <f t="shared" si="4"/>
        <v>0</v>
      </c>
      <c r="AB218" s="29" t="b">
        <f t="array" ref="AB218">IF(R218="",FALSE,IFERROR(AND(ISNUMBER(MATCH(R218,'Live Medal Table'!$B$2:$B$94,0)),XLOOKUP(R218,'Live Medal Table'!$B$2:$B$94,Countries!$I$2:$I$72,FALSE)),FALSE))</f>
        <v>0</v>
      </c>
    </row>
    <row r="219" ht="15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29"/>
      <c r="M219" s="29"/>
      <c r="N219" s="29" t="str">
        <f t="array" ref="N219">IFERROR(IF(INDEX(Entries!$C$2:$C$47,28)="","",INDEX(Entries!$Q$2:$Q$47,28)),"")</f>
        <v/>
      </c>
      <c r="O219" s="29" t="str">
        <f t="array" ref="O219">IF(N219="","",IFERROR(INDEX(Entries!$E$2:$E$47,28),""))</f>
        <v/>
      </c>
      <c r="P219" s="29" t="str">
        <f>IF(N219="","","Tier2_Pick1")</f>
        <v/>
      </c>
      <c r="Q219" s="29" t="str">
        <f t="shared" ref="Q219:Q220" si="59">IF(N219="","",2)</f>
        <v/>
      </c>
      <c r="R219" s="29" t="str">
        <f t="array" ref="R219">IF(N219="","",IFERROR(INDEX(Entries!$M$2:$M$47,28),""))</f>
        <v/>
      </c>
      <c r="S219" s="29" t="str">
        <f t="array" ref="S219">IF(R219="","",IFERROR(XLOOKUP(R219,'Live Medal Table'!$B$2:$B$94,'Live Medal Table'!$C$2:$C$94,"???"),"???"))</f>
        <v/>
      </c>
      <c r="T219" s="29">
        <f t="array" ref="T219">IF(R219="",0,IFERROR(XLOOKUP(R219,'Live Medal Table'!$B$2:$B$94,'Live Medal Table'!$F$2:$F$94,0),0))</f>
        <v>0</v>
      </c>
      <c r="U219" s="29">
        <f t="array" ref="U219">IF(R219="",0,IFERROR(XLOOKUP(R219,'Live Medal Table'!$B$2:$B$94,'Live Medal Table'!$G$2:$G$94,0),0))</f>
        <v>0</v>
      </c>
      <c r="V219" s="29">
        <f t="array" ref="V219">IF(R219="",0,IFERROR(XLOOKUP(R219,'Live Medal Table'!$B$2:$B$94,'Live Medal Table'!$H$2:$H$94,0),0))</f>
        <v>0</v>
      </c>
      <c r="W219" s="29">
        <f t="array" ref="W219">IF(R219="",0,IFERROR(XLOOKUP(R219,'Live Medal Table'!$B$2:$B$94,'Live Medal Table'!$I$2:$I$94,0),0))</f>
        <v>0</v>
      </c>
      <c r="X219" s="29">
        <f t="shared" si="1"/>
        <v>0</v>
      </c>
      <c r="Y219" s="29">
        <f t="shared" si="2"/>
        <v>0</v>
      </c>
      <c r="Z219" s="29">
        <f t="shared" si="3"/>
        <v>0</v>
      </c>
      <c r="AA219" s="29">
        <f t="shared" si="4"/>
        <v>0</v>
      </c>
      <c r="AB219" s="29" t="b">
        <f t="array" ref="AB219">IF(R219="",FALSE,IFERROR(AND(ISNUMBER(MATCH(R219,'Live Medal Table'!$B$2:$B$94,0)),XLOOKUP(R219,'Live Medal Table'!$B$2:$B$94,Countries!$I$2:$I$72,FALSE)),FALSE))</f>
        <v>0</v>
      </c>
    </row>
    <row r="220" ht="15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29"/>
      <c r="M220" s="29"/>
      <c r="N220" s="29" t="str">
        <f t="array" ref="N220">IFERROR(IF(INDEX(Entries!$C$2:$C$47,28)="","",INDEX(Entries!$Q$2:$Q$47,28)),"")</f>
        <v/>
      </c>
      <c r="O220" s="29" t="str">
        <f t="array" ref="O220">IF(N220="","",IFERROR(INDEX(Entries!$E$2:$E$47,28),""))</f>
        <v/>
      </c>
      <c r="P220" s="29" t="str">
        <f>IF(N220="","","Tier2_Pick2")</f>
        <v/>
      </c>
      <c r="Q220" s="29" t="str">
        <f t="shared" si="59"/>
        <v/>
      </c>
      <c r="R220" s="29" t="str">
        <f t="array" ref="R220">IF(N220="","",IFERROR(INDEX(Entries!$N$2:$N$47,28),""))</f>
        <v/>
      </c>
      <c r="S220" s="29" t="str">
        <f t="array" ref="S220">IF(R220="","",IFERROR(XLOOKUP(R220,'Live Medal Table'!$B$2:$B$94,'Live Medal Table'!$C$2:$C$94,"???"),"???"))</f>
        <v/>
      </c>
      <c r="T220" s="29">
        <f t="array" ref="T220">IF(R220="",0,IFERROR(XLOOKUP(R220,'Live Medal Table'!$B$2:$B$94,'Live Medal Table'!$F$2:$F$94,0),0))</f>
        <v>0</v>
      </c>
      <c r="U220" s="29">
        <f t="array" ref="U220">IF(R220="",0,IFERROR(XLOOKUP(R220,'Live Medal Table'!$B$2:$B$94,'Live Medal Table'!$G$2:$G$94,0),0))</f>
        <v>0</v>
      </c>
      <c r="V220" s="29">
        <f t="array" ref="V220">IF(R220="",0,IFERROR(XLOOKUP(R220,'Live Medal Table'!$B$2:$B$94,'Live Medal Table'!$H$2:$H$94,0),0))</f>
        <v>0</v>
      </c>
      <c r="W220" s="29">
        <f t="array" ref="W220">IF(R220="",0,IFERROR(XLOOKUP(R220,'Live Medal Table'!$B$2:$B$94,'Live Medal Table'!$I$2:$I$94,0),0))</f>
        <v>0</v>
      </c>
      <c r="X220" s="29">
        <f t="shared" si="1"/>
        <v>0</v>
      </c>
      <c r="Y220" s="29">
        <f t="shared" si="2"/>
        <v>0</v>
      </c>
      <c r="Z220" s="29">
        <f t="shared" si="3"/>
        <v>0</v>
      </c>
      <c r="AA220" s="29">
        <f t="shared" si="4"/>
        <v>0</v>
      </c>
      <c r="AB220" s="29" t="b">
        <f t="array" ref="AB220">IF(R220="",FALSE,IFERROR(AND(ISNUMBER(MATCH(R220,'Live Medal Table'!$B$2:$B$94,0)),XLOOKUP(R220,'Live Medal Table'!$B$2:$B$94,Countries!$I$2:$I$72,FALSE)),FALSE))</f>
        <v>0</v>
      </c>
    </row>
    <row r="221" ht="15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29"/>
      <c r="M221" s="29"/>
      <c r="N221" s="29" t="str">
        <f t="array" ref="N221">IFERROR(IF(INDEX(Entries!$C$2:$C$47,28)="","",INDEX(Entries!$Q$2:$Q$47,28)),"")</f>
        <v/>
      </c>
      <c r="O221" s="29" t="str">
        <f t="array" ref="O221">IF(N221="","",IFERROR(INDEX(Entries!$E$2:$E$47,28),""))</f>
        <v/>
      </c>
      <c r="P221" s="29" t="str">
        <f>IF(N221="","","Tier3_Pick1")</f>
        <v/>
      </c>
      <c r="Q221" s="29" t="str">
        <f>IF(N221="","",3)</f>
        <v/>
      </c>
      <c r="R221" s="29" t="str">
        <f t="array" ref="R221">IF(N221="","",IFERROR(INDEX(Entries!$H$2:$H$47,28),""))</f>
        <v/>
      </c>
      <c r="S221" s="29" t="str">
        <f t="array" ref="S221">IF(R221="","",IFERROR(XLOOKUP(R221,'Live Medal Table'!$B$2:$B$94,'Live Medal Table'!$C$2:$C$94,"???"),"???"))</f>
        <v/>
      </c>
      <c r="T221" s="29">
        <f t="array" ref="T221">IF(R221="",0,IFERROR(XLOOKUP(R221,'Live Medal Table'!$B$2:$B$94,'Live Medal Table'!$F$2:$F$94,0),0))</f>
        <v>0</v>
      </c>
      <c r="U221" s="29">
        <f t="array" ref="U221">IF(R221="",0,IFERROR(XLOOKUP(R221,'Live Medal Table'!$B$2:$B$94,'Live Medal Table'!$G$2:$G$94,0),0))</f>
        <v>0</v>
      </c>
      <c r="V221" s="29">
        <f t="array" ref="V221">IF(R221="",0,IFERROR(XLOOKUP(R221,'Live Medal Table'!$B$2:$B$94,'Live Medal Table'!$H$2:$H$94,0),0))</f>
        <v>0</v>
      </c>
      <c r="W221" s="29">
        <f t="array" ref="W221">IF(R221="",0,IFERROR(XLOOKUP(R221,'Live Medal Table'!$B$2:$B$94,'Live Medal Table'!$I$2:$I$94,0),0))</f>
        <v>0</v>
      </c>
      <c r="X221" s="29">
        <f t="shared" si="1"/>
        <v>0</v>
      </c>
      <c r="Y221" s="29">
        <f t="shared" si="2"/>
        <v>0</v>
      </c>
      <c r="Z221" s="29">
        <f t="shared" si="3"/>
        <v>0</v>
      </c>
      <c r="AA221" s="29">
        <f t="shared" si="4"/>
        <v>0</v>
      </c>
      <c r="AB221" s="29" t="b">
        <f t="array" ref="AB221">IF(R221="",FALSE,IFERROR(AND(ISNUMBER(MATCH(R221,'Live Medal Table'!$B$2:$B$94,0)),XLOOKUP(R221,'Live Medal Table'!$B$2:$B$94,Countries!$I$2:$I$72,FALSE)),FALSE))</f>
        <v>0</v>
      </c>
    </row>
    <row r="222" ht="15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29"/>
      <c r="M222" s="29"/>
      <c r="N222" s="29" t="str">
        <f t="array" ref="N222">IFERROR(IF(INDEX(Entries!$C$2:$C$47,28)="","",INDEX(Entries!$Q$2:$Q$47,28)),"")</f>
        <v/>
      </c>
      <c r="O222" s="29" t="str">
        <f t="array" ref="O222">IF(N222="","",IFERROR(INDEX(Entries!$E$2:$E$47,28),""))</f>
        <v/>
      </c>
      <c r="P222" s="29" t="str">
        <f>IF(N222="","","Tier4_Pick1")</f>
        <v/>
      </c>
      <c r="Q222" s="29" t="str">
        <f>IF(N222="","",4)</f>
        <v/>
      </c>
      <c r="R222" s="29" t="str">
        <f t="array" ref="R222">IF(N222="","",IFERROR(INDEX(Entries!$I$2:$I$47,28),""))</f>
        <v/>
      </c>
      <c r="S222" s="29" t="str">
        <f t="array" ref="S222">IF(R222="","",IFERROR(XLOOKUP(R222,'Live Medal Table'!$B$2:$B$94,'Live Medal Table'!$C$2:$C$94,"???"),"???"))</f>
        <v/>
      </c>
      <c r="T222" s="29">
        <f t="array" ref="T222">IF(R222="",0,IFERROR(XLOOKUP(R222,'Live Medal Table'!$B$2:$B$94,'Live Medal Table'!$F$2:$F$94,0),0))</f>
        <v>0</v>
      </c>
      <c r="U222" s="29">
        <f t="array" ref="U222">IF(R222="",0,IFERROR(XLOOKUP(R222,'Live Medal Table'!$B$2:$B$94,'Live Medal Table'!$G$2:$G$94,0),0))</f>
        <v>0</v>
      </c>
      <c r="V222" s="29">
        <f t="array" ref="V222">IF(R222="",0,IFERROR(XLOOKUP(R222,'Live Medal Table'!$B$2:$B$94,'Live Medal Table'!$H$2:$H$94,0),0))</f>
        <v>0</v>
      </c>
      <c r="W222" s="29">
        <f t="array" ref="W222">IF(R222="",0,IFERROR(XLOOKUP(R222,'Live Medal Table'!$B$2:$B$94,'Live Medal Table'!$I$2:$I$94,0),0))</f>
        <v>0</v>
      </c>
      <c r="X222" s="29">
        <f t="shared" si="1"/>
        <v>0</v>
      </c>
      <c r="Y222" s="29">
        <f t="shared" si="2"/>
        <v>0</v>
      </c>
      <c r="Z222" s="29">
        <f t="shared" si="3"/>
        <v>0</v>
      </c>
      <c r="AA222" s="29">
        <f t="shared" si="4"/>
        <v>0</v>
      </c>
      <c r="AB222" s="29" t="b">
        <f t="array" ref="AB222">IF(R222="",FALSE,IFERROR(AND(ISNUMBER(MATCH(R222,'Live Medal Table'!$B$2:$B$94,0)),XLOOKUP(R222,'Live Medal Table'!$B$2:$B$94,Countries!$I$2:$I$72,FALSE)),FALSE))</f>
        <v>0</v>
      </c>
    </row>
    <row r="223" ht="15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29"/>
      <c r="M223" s="29"/>
      <c r="N223" s="29" t="str">
        <f t="array" ref="N223">IFERROR(IF(INDEX(Entries!$C$2:$C$47,28)="","",INDEX(Entries!$Q$2:$Q$47,28)),"")</f>
        <v/>
      </c>
      <c r="O223" s="29" t="str">
        <f t="array" ref="O223">IF(N223="","",IFERROR(INDEX(Entries!$E$2:$E$47,28),""))</f>
        <v/>
      </c>
      <c r="P223" s="29" t="str">
        <f>IF(N223="","","Tier5_Pick1")</f>
        <v/>
      </c>
      <c r="Q223" s="29" t="str">
        <f>IF(N223="","",5)</f>
        <v/>
      </c>
      <c r="R223" s="29" t="str">
        <f t="array" ref="R223">IF(N223="","",IFERROR(INDEX(Entries!$J$2:$J$47,28),""))</f>
        <v/>
      </c>
      <c r="S223" s="29" t="str">
        <f t="array" ref="S223">IF(R223="","",IFERROR(XLOOKUP(R223,'Live Medal Table'!$B$2:$B$94,'Live Medal Table'!$C$2:$C$94,"???"),"???"))</f>
        <v/>
      </c>
      <c r="T223" s="29">
        <f t="array" ref="T223">IF(R223="",0,IFERROR(XLOOKUP(R223,'Live Medal Table'!$B$2:$B$94,'Live Medal Table'!$F$2:$F$94,0),0))</f>
        <v>0</v>
      </c>
      <c r="U223" s="29">
        <f t="array" ref="U223">IF(R223="",0,IFERROR(XLOOKUP(R223,'Live Medal Table'!$B$2:$B$94,'Live Medal Table'!$G$2:$G$94,0),0))</f>
        <v>0</v>
      </c>
      <c r="V223" s="29">
        <f t="array" ref="V223">IF(R223="",0,IFERROR(XLOOKUP(R223,'Live Medal Table'!$B$2:$B$94,'Live Medal Table'!$H$2:$H$94,0),0))</f>
        <v>0</v>
      </c>
      <c r="W223" s="29">
        <f t="array" ref="W223">IF(R223="",0,IFERROR(XLOOKUP(R223,'Live Medal Table'!$B$2:$B$94,'Live Medal Table'!$I$2:$I$94,0),0))</f>
        <v>0</v>
      </c>
      <c r="X223" s="29">
        <f t="shared" si="1"/>
        <v>0</v>
      </c>
      <c r="Y223" s="29">
        <f t="shared" si="2"/>
        <v>0</v>
      </c>
      <c r="Z223" s="29">
        <f t="shared" si="3"/>
        <v>0</v>
      </c>
      <c r="AA223" s="29">
        <f t="shared" si="4"/>
        <v>0</v>
      </c>
      <c r="AB223" s="29" t="b">
        <f t="array" ref="AB223">IF(R223="",FALSE,IFERROR(AND(ISNUMBER(MATCH(R223,'Live Medal Table'!$B$2:$B$94,0)),XLOOKUP(R223,'Live Medal Table'!$B$2:$B$94,Countries!$I$2:$I$72,FALSE)),FALSE))</f>
        <v>0</v>
      </c>
    </row>
    <row r="224" ht="15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29"/>
      <c r="M224" s="29"/>
      <c r="N224" s="29" t="str">
        <f t="array" ref="N224">IFERROR(IF(INDEX(Entries!$C$2:$C$47,28)="","",INDEX(Entries!$Q$2:$Q$47,28)),"")</f>
        <v/>
      </c>
      <c r="O224" s="29" t="str">
        <f t="array" ref="O224">IF(N224="","",IFERROR(INDEX(Entries!$E$2:$E$47,28),""))</f>
        <v/>
      </c>
      <c r="P224" s="29" t="str">
        <f>IF(N224="","","Tier6_Pick1")</f>
        <v/>
      </c>
      <c r="Q224" s="29" t="str">
        <f t="shared" ref="Q224:Q225" si="60">IF(N224="","",6)</f>
        <v/>
      </c>
      <c r="R224" s="29" t="str">
        <f t="array" ref="R224">IF(N224="","",IFERROR(INDEX(Entries!$O$2:$O$47,28),""))</f>
        <v/>
      </c>
      <c r="S224" s="29" t="str">
        <f t="array" ref="S224">IF(R224="","",IFERROR(XLOOKUP(R224,'Live Medal Table'!$B$2:$B$94,'Live Medal Table'!$C$2:$C$94,"???"),"???"))</f>
        <v/>
      </c>
      <c r="T224" s="29">
        <f t="array" ref="T224">IF(R224="",0,IFERROR(XLOOKUP(R224,'Live Medal Table'!$B$2:$B$94,'Live Medal Table'!$F$2:$F$94,0),0))</f>
        <v>0</v>
      </c>
      <c r="U224" s="29">
        <f t="array" ref="U224">IF(R224="",0,IFERROR(XLOOKUP(R224,'Live Medal Table'!$B$2:$B$94,'Live Medal Table'!$G$2:$G$94,0),0))</f>
        <v>0</v>
      </c>
      <c r="V224" s="29">
        <f t="array" ref="V224">IF(R224="",0,IFERROR(XLOOKUP(R224,'Live Medal Table'!$B$2:$B$94,'Live Medal Table'!$H$2:$H$94,0),0))</f>
        <v>0</v>
      </c>
      <c r="W224" s="29">
        <f t="array" ref="W224">IF(R224="",0,IFERROR(XLOOKUP(R224,'Live Medal Table'!$B$2:$B$94,'Live Medal Table'!$I$2:$I$94,0),0))</f>
        <v>0</v>
      </c>
      <c r="X224" s="29">
        <f t="shared" si="1"/>
        <v>0</v>
      </c>
      <c r="Y224" s="29">
        <f t="shared" si="2"/>
        <v>0</v>
      </c>
      <c r="Z224" s="29">
        <f t="shared" si="3"/>
        <v>0</v>
      </c>
      <c r="AA224" s="29">
        <f t="shared" si="4"/>
        <v>0</v>
      </c>
      <c r="AB224" s="29" t="b">
        <f t="array" ref="AB224">IF(R224="",FALSE,IFERROR(AND(ISNUMBER(MATCH(R224,'Live Medal Table'!$B$2:$B$94,0)),XLOOKUP(R224,'Live Medal Table'!$B$2:$B$94,Countries!$I$2:$I$72,FALSE)),FALSE))</f>
        <v>0</v>
      </c>
    </row>
    <row r="225" ht="15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29"/>
      <c r="M225" s="29"/>
      <c r="N225" s="29" t="str">
        <f t="array" ref="N225">IFERROR(IF(INDEX(Entries!$C$2:$C$47,28)="","",INDEX(Entries!$Q$2:$Q$47,28)),"")</f>
        <v/>
      </c>
      <c r="O225" s="29" t="str">
        <f t="array" ref="O225">IF(N225="","",IFERROR(INDEX(Entries!$E$2:$E$47,28),""))</f>
        <v/>
      </c>
      <c r="P225" s="29" t="str">
        <f>IF(N225="","","Tier6_Pick2")</f>
        <v/>
      </c>
      <c r="Q225" s="29" t="str">
        <f t="shared" si="60"/>
        <v/>
      </c>
      <c r="R225" s="29" t="str">
        <f t="array" ref="R225">IF(N225="","",IFERROR(INDEX(Entries!$P$2:$P$47,28),""))</f>
        <v/>
      </c>
      <c r="S225" s="29" t="str">
        <f t="array" ref="S225">IF(R225="","",IFERROR(XLOOKUP(R225,'Live Medal Table'!$B$2:$B$94,'Live Medal Table'!$C$2:$C$94,"???"),"???"))</f>
        <v/>
      </c>
      <c r="T225" s="29">
        <f t="array" ref="T225">IF(R225="",0,IFERROR(XLOOKUP(R225,'Live Medal Table'!$B$2:$B$94,'Live Medal Table'!$F$2:$F$94,0),0))</f>
        <v>0</v>
      </c>
      <c r="U225" s="29">
        <f t="array" ref="U225">IF(R225="",0,IFERROR(XLOOKUP(R225,'Live Medal Table'!$B$2:$B$94,'Live Medal Table'!$G$2:$G$94,0),0))</f>
        <v>0</v>
      </c>
      <c r="V225" s="29">
        <f t="array" ref="V225">IF(R225="",0,IFERROR(XLOOKUP(R225,'Live Medal Table'!$B$2:$B$94,'Live Medal Table'!$H$2:$H$94,0),0))</f>
        <v>0</v>
      </c>
      <c r="W225" s="29">
        <f t="array" ref="W225">IF(R225="",0,IFERROR(XLOOKUP(R225,'Live Medal Table'!$B$2:$B$94,'Live Medal Table'!$I$2:$I$94,0),0))</f>
        <v>0</v>
      </c>
      <c r="X225" s="29">
        <f t="shared" si="1"/>
        <v>0</v>
      </c>
      <c r="Y225" s="29">
        <f t="shared" si="2"/>
        <v>0</v>
      </c>
      <c r="Z225" s="29">
        <f t="shared" si="3"/>
        <v>0</v>
      </c>
      <c r="AA225" s="29">
        <f t="shared" si="4"/>
        <v>0</v>
      </c>
      <c r="AB225" s="29" t="b">
        <f t="array" ref="AB225">IF(R225="",FALSE,IFERROR(AND(ISNUMBER(MATCH(R225,'Live Medal Table'!$B$2:$B$94,0)),XLOOKUP(R225,'Live Medal Table'!$B$2:$B$94,Countries!$I$2:$I$72,FALSE)),FALSE))</f>
        <v>0</v>
      </c>
    </row>
    <row r="226" ht="15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29"/>
      <c r="M226" s="29"/>
      <c r="N226" s="29" t="str">
        <f t="array" ref="N226">IFERROR(IF(INDEX(Entries!$C$2:$C$47,29)="","",INDEX(Entries!$Q$2:$Q$47,29)),"")</f>
        <v/>
      </c>
      <c r="O226" s="29" t="str">
        <f t="array" ref="O226">IF(N226="","",IFERROR(INDEX(Entries!$E$2:$E$47,29),""))</f>
        <v/>
      </c>
      <c r="P226" s="29" t="str">
        <f>IF(N226="","","Tier1_Pick1")</f>
        <v/>
      </c>
      <c r="Q226" s="29" t="str">
        <f>IF(N226="","",1)</f>
        <v/>
      </c>
      <c r="R226" s="29" t="str">
        <f t="array" ref="R226">IF(N226="","",IFERROR(INDEX(Entries!$F$2:$F$47,29),""))</f>
        <v/>
      </c>
      <c r="S226" s="29" t="str">
        <f t="array" ref="S226">IF(R226="","",IFERROR(XLOOKUP(R226,'Live Medal Table'!$B$2:$B$94,'Live Medal Table'!$C$2:$C$94,"???"),"???"))</f>
        <v/>
      </c>
      <c r="T226" s="29">
        <f t="array" ref="T226">IF(R226="",0,IFERROR(XLOOKUP(R226,'Live Medal Table'!$B$2:$B$94,'Live Medal Table'!$F$2:$F$94,0),0))</f>
        <v>0</v>
      </c>
      <c r="U226" s="29">
        <f t="array" ref="U226">IF(R226="",0,IFERROR(XLOOKUP(R226,'Live Medal Table'!$B$2:$B$94,'Live Medal Table'!$G$2:$G$94,0),0))</f>
        <v>0</v>
      </c>
      <c r="V226" s="29">
        <f t="array" ref="V226">IF(R226="",0,IFERROR(XLOOKUP(R226,'Live Medal Table'!$B$2:$B$94,'Live Medal Table'!$H$2:$H$94,0),0))</f>
        <v>0</v>
      </c>
      <c r="W226" s="29">
        <f t="array" ref="W226">IF(R226="",0,IFERROR(XLOOKUP(R226,'Live Medal Table'!$B$2:$B$94,'Live Medal Table'!$I$2:$I$94,0),0))</f>
        <v>0</v>
      </c>
      <c r="X226" s="29">
        <f t="shared" si="1"/>
        <v>0</v>
      </c>
      <c r="Y226" s="29">
        <f t="shared" si="2"/>
        <v>0</v>
      </c>
      <c r="Z226" s="29">
        <f t="shared" si="3"/>
        <v>0</v>
      </c>
      <c r="AA226" s="29">
        <f t="shared" si="4"/>
        <v>0</v>
      </c>
      <c r="AB226" s="29" t="b">
        <f t="array" ref="AB226">IF(R226="",FALSE,IFERROR(AND(ISNUMBER(MATCH(R226,'Live Medal Table'!$B$2:$B$94,0)),XLOOKUP(R226,'Live Medal Table'!$B$2:$B$94,Countries!$I$2:$I$72,FALSE)),FALSE))</f>
        <v>0</v>
      </c>
    </row>
    <row r="227" ht="15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29"/>
      <c r="M227" s="29"/>
      <c r="N227" s="29" t="str">
        <f t="array" ref="N227">IFERROR(IF(INDEX(Entries!$C$2:$C$47,29)="","",INDEX(Entries!$Q$2:$Q$47,29)),"")</f>
        <v/>
      </c>
      <c r="O227" s="29" t="str">
        <f t="array" ref="O227">IF(N227="","",IFERROR(INDEX(Entries!$E$2:$E$47,29),""))</f>
        <v/>
      </c>
      <c r="P227" s="29" t="str">
        <f>IF(N227="","","Tier2_Pick1")</f>
        <v/>
      </c>
      <c r="Q227" s="29" t="str">
        <f t="shared" ref="Q227:Q228" si="61">IF(N227="","",2)</f>
        <v/>
      </c>
      <c r="R227" s="29" t="str">
        <f t="array" ref="R227">IF(N227="","",IFERROR(INDEX(Entries!$M$2:$M$47,29),""))</f>
        <v/>
      </c>
      <c r="S227" s="29" t="str">
        <f t="array" ref="S227">IF(R227="","",IFERROR(XLOOKUP(R227,'Live Medal Table'!$B$2:$B$94,'Live Medal Table'!$C$2:$C$94,"???"),"???"))</f>
        <v/>
      </c>
      <c r="T227" s="29">
        <f t="array" ref="T227">IF(R227="",0,IFERROR(XLOOKUP(R227,'Live Medal Table'!$B$2:$B$94,'Live Medal Table'!$F$2:$F$94,0),0))</f>
        <v>0</v>
      </c>
      <c r="U227" s="29">
        <f t="array" ref="U227">IF(R227="",0,IFERROR(XLOOKUP(R227,'Live Medal Table'!$B$2:$B$94,'Live Medal Table'!$G$2:$G$94,0),0))</f>
        <v>0</v>
      </c>
      <c r="V227" s="29">
        <f t="array" ref="V227">IF(R227="",0,IFERROR(XLOOKUP(R227,'Live Medal Table'!$B$2:$B$94,'Live Medal Table'!$H$2:$H$94,0),0))</f>
        <v>0</v>
      </c>
      <c r="W227" s="29">
        <f t="array" ref="W227">IF(R227="",0,IFERROR(XLOOKUP(R227,'Live Medal Table'!$B$2:$B$94,'Live Medal Table'!$I$2:$I$94,0),0))</f>
        <v>0</v>
      </c>
      <c r="X227" s="29">
        <f t="shared" si="1"/>
        <v>0</v>
      </c>
      <c r="Y227" s="29">
        <f t="shared" si="2"/>
        <v>0</v>
      </c>
      <c r="Z227" s="29">
        <f t="shared" si="3"/>
        <v>0</v>
      </c>
      <c r="AA227" s="29">
        <f t="shared" si="4"/>
        <v>0</v>
      </c>
      <c r="AB227" s="29" t="b">
        <f t="array" ref="AB227">IF(R227="",FALSE,IFERROR(AND(ISNUMBER(MATCH(R227,'Live Medal Table'!$B$2:$B$94,0)),XLOOKUP(R227,'Live Medal Table'!$B$2:$B$94,Countries!$I$2:$I$72,FALSE)),FALSE))</f>
        <v>0</v>
      </c>
    </row>
    <row r="228" ht="15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29"/>
      <c r="M228" s="29"/>
      <c r="N228" s="29" t="str">
        <f t="array" ref="N228">IFERROR(IF(INDEX(Entries!$C$2:$C$47,29)="","",INDEX(Entries!$Q$2:$Q$47,29)),"")</f>
        <v/>
      </c>
      <c r="O228" s="29" t="str">
        <f t="array" ref="O228">IF(N228="","",IFERROR(INDEX(Entries!$E$2:$E$47,29),""))</f>
        <v/>
      </c>
      <c r="P228" s="29" t="str">
        <f>IF(N228="","","Tier2_Pick2")</f>
        <v/>
      </c>
      <c r="Q228" s="29" t="str">
        <f t="shared" si="61"/>
        <v/>
      </c>
      <c r="R228" s="29" t="str">
        <f t="array" ref="R228">IF(N228="","",IFERROR(INDEX(Entries!$N$2:$N$47,29),""))</f>
        <v/>
      </c>
      <c r="S228" s="29" t="str">
        <f t="array" ref="S228">IF(R228="","",IFERROR(XLOOKUP(R228,'Live Medal Table'!$B$2:$B$94,'Live Medal Table'!$C$2:$C$94,"???"),"???"))</f>
        <v/>
      </c>
      <c r="T228" s="29">
        <f t="array" ref="T228">IF(R228="",0,IFERROR(XLOOKUP(R228,'Live Medal Table'!$B$2:$B$94,'Live Medal Table'!$F$2:$F$94,0),0))</f>
        <v>0</v>
      </c>
      <c r="U228" s="29">
        <f t="array" ref="U228">IF(R228="",0,IFERROR(XLOOKUP(R228,'Live Medal Table'!$B$2:$B$94,'Live Medal Table'!$G$2:$G$94,0),0))</f>
        <v>0</v>
      </c>
      <c r="V228" s="29">
        <f t="array" ref="V228">IF(R228="",0,IFERROR(XLOOKUP(R228,'Live Medal Table'!$B$2:$B$94,'Live Medal Table'!$H$2:$H$94,0),0))</f>
        <v>0</v>
      </c>
      <c r="W228" s="29">
        <f t="array" ref="W228">IF(R228="",0,IFERROR(XLOOKUP(R228,'Live Medal Table'!$B$2:$B$94,'Live Medal Table'!$I$2:$I$94,0),0))</f>
        <v>0</v>
      </c>
      <c r="X228" s="29">
        <f t="shared" si="1"/>
        <v>0</v>
      </c>
      <c r="Y228" s="29">
        <f t="shared" si="2"/>
        <v>0</v>
      </c>
      <c r="Z228" s="29">
        <f t="shared" si="3"/>
        <v>0</v>
      </c>
      <c r="AA228" s="29">
        <f t="shared" si="4"/>
        <v>0</v>
      </c>
      <c r="AB228" s="29" t="b">
        <f t="array" ref="AB228">IF(R228="",FALSE,IFERROR(AND(ISNUMBER(MATCH(R228,'Live Medal Table'!$B$2:$B$94,0)),XLOOKUP(R228,'Live Medal Table'!$B$2:$B$94,Countries!$I$2:$I$72,FALSE)),FALSE))</f>
        <v>0</v>
      </c>
    </row>
    <row r="229" ht="15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29"/>
      <c r="M229" s="29"/>
      <c r="N229" s="29" t="str">
        <f t="array" ref="N229">IFERROR(IF(INDEX(Entries!$C$2:$C$47,29)="","",INDEX(Entries!$Q$2:$Q$47,29)),"")</f>
        <v/>
      </c>
      <c r="O229" s="29" t="str">
        <f t="array" ref="O229">IF(N229="","",IFERROR(INDEX(Entries!$E$2:$E$47,29),""))</f>
        <v/>
      </c>
      <c r="P229" s="29" t="str">
        <f>IF(N229="","","Tier3_Pick1")</f>
        <v/>
      </c>
      <c r="Q229" s="29" t="str">
        <f>IF(N229="","",3)</f>
        <v/>
      </c>
      <c r="R229" s="29" t="str">
        <f t="array" ref="R229">IF(N229="","",IFERROR(INDEX(Entries!$H$2:$H$47,29),""))</f>
        <v/>
      </c>
      <c r="S229" s="29" t="str">
        <f t="array" ref="S229">IF(R229="","",IFERROR(XLOOKUP(R229,'Live Medal Table'!$B$2:$B$94,'Live Medal Table'!$C$2:$C$94,"???"),"???"))</f>
        <v/>
      </c>
      <c r="T229" s="29">
        <f t="array" ref="T229">IF(R229="",0,IFERROR(XLOOKUP(R229,'Live Medal Table'!$B$2:$B$94,'Live Medal Table'!$F$2:$F$94,0),0))</f>
        <v>0</v>
      </c>
      <c r="U229" s="29">
        <f t="array" ref="U229">IF(R229="",0,IFERROR(XLOOKUP(R229,'Live Medal Table'!$B$2:$B$94,'Live Medal Table'!$G$2:$G$94,0),0))</f>
        <v>0</v>
      </c>
      <c r="V229" s="29">
        <f t="array" ref="V229">IF(R229="",0,IFERROR(XLOOKUP(R229,'Live Medal Table'!$B$2:$B$94,'Live Medal Table'!$H$2:$H$94,0),0))</f>
        <v>0</v>
      </c>
      <c r="W229" s="29">
        <f t="array" ref="W229">IF(R229="",0,IFERROR(XLOOKUP(R229,'Live Medal Table'!$B$2:$B$94,'Live Medal Table'!$I$2:$I$94,0),0))</f>
        <v>0</v>
      </c>
      <c r="X229" s="29">
        <f t="shared" si="1"/>
        <v>0</v>
      </c>
      <c r="Y229" s="29">
        <f t="shared" si="2"/>
        <v>0</v>
      </c>
      <c r="Z229" s="29">
        <f t="shared" si="3"/>
        <v>0</v>
      </c>
      <c r="AA229" s="29">
        <f t="shared" si="4"/>
        <v>0</v>
      </c>
      <c r="AB229" s="29" t="b">
        <f t="array" ref="AB229">IF(R229="",FALSE,IFERROR(AND(ISNUMBER(MATCH(R229,'Live Medal Table'!$B$2:$B$94,0)),XLOOKUP(R229,'Live Medal Table'!$B$2:$B$94,Countries!$I$2:$I$72,FALSE)),FALSE))</f>
        <v>0</v>
      </c>
    </row>
    <row r="230" ht="15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29"/>
      <c r="M230" s="29"/>
      <c r="N230" s="29" t="str">
        <f t="array" ref="N230">IFERROR(IF(INDEX(Entries!$C$2:$C$47,29)="","",INDEX(Entries!$Q$2:$Q$47,29)),"")</f>
        <v/>
      </c>
      <c r="O230" s="29" t="str">
        <f t="array" ref="O230">IF(N230="","",IFERROR(INDEX(Entries!$E$2:$E$47,29),""))</f>
        <v/>
      </c>
      <c r="P230" s="29" t="str">
        <f>IF(N230="","","Tier4_Pick1")</f>
        <v/>
      </c>
      <c r="Q230" s="29" t="str">
        <f>IF(N230="","",4)</f>
        <v/>
      </c>
      <c r="R230" s="29" t="str">
        <f t="array" ref="R230">IF(N230="","",IFERROR(INDEX(Entries!$I$2:$I$47,29),""))</f>
        <v/>
      </c>
      <c r="S230" s="29" t="str">
        <f t="array" ref="S230">IF(R230="","",IFERROR(XLOOKUP(R230,'Live Medal Table'!$B$2:$B$94,'Live Medal Table'!$C$2:$C$94,"???"),"???"))</f>
        <v/>
      </c>
      <c r="T230" s="29">
        <f t="array" ref="T230">IF(R230="",0,IFERROR(XLOOKUP(R230,'Live Medal Table'!$B$2:$B$94,'Live Medal Table'!$F$2:$F$94,0),0))</f>
        <v>0</v>
      </c>
      <c r="U230" s="29">
        <f t="array" ref="U230">IF(R230="",0,IFERROR(XLOOKUP(R230,'Live Medal Table'!$B$2:$B$94,'Live Medal Table'!$G$2:$G$94,0),0))</f>
        <v>0</v>
      </c>
      <c r="V230" s="29">
        <f t="array" ref="V230">IF(R230="",0,IFERROR(XLOOKUP(R230,'Live Medal Table'!$B$2:$B$94,'Live Medal Table'!$H$2:$H$94,0),0))</f>
        <v>0</v>
      </c>
      <c r="W230" s="29">
        <f t="array" ref="W230">IF(R230="",0,IFERROR(XLOOKUP(R230,'Live Medal Table'!$B$2:$B$94,'Live Medal Table'!$I$2:$I$94,0),0))</f>
        <v>0</v>
      </c>
      <c r="X230" s="29">
        <f t="shared" si="1"/>
        <v>0</v>
      </c>
      <c r="Y230" s="29">
        <f t="shared" si="2"/>
        <v>0</v>
      </c>
      <c r="Z230" s="29">
        <f t="shared" si="3"/>
        <v>0</v>
      </c>
      <c r="AA230" s="29">
        <f t="shared" si="4"/>
        <v>0</v>
      </c>
      <c r="AB230" s="29" t="b">
        <f t="array" ref="AB230">IF(R230="",FALSE,IFERROR(AND(ISNUMBER(MATCH(R230,'Live Medal Table'!$B$2:$B$94,0)),XLOOKUP(R230,'Live Medal Table'!$B$2:$B$94,Countries!$I$2:$I$72,FALSE)),FALSE))</f>
        <v>0</v>
      </c>
    </row>
    <row r="231" ht="15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29"/>
      <c r="M231" s="29"/>
      <c r="N231" s="29" t="str">
        <f t="array" ref="N231">IFERROR(IF(INDEX(Entries!$C$2:$C$47,29)="","",INDEX(Entries!$Q$2:$Q$47,29)),"")</f>
        <v/>
      </c>
      <c r="O231" s="29" t="str">
        <f t="array" ref="O231">IF(N231="","",IFERROR(INDEX(Entries!$E$2:$E$47,29),""))</f>
        <v/>
      </c>
      <c r="P231" s="29" t="str">
        <f>IF(N231="","","Tier5_Pick1")</f>
        <v/>
      </c>
      <c r="Q231" s="29" t="str">
        <f>IF(N231="","",5)</f>
        <v/>
      </c>
      <c r="R231" s="29" t="str">
        <f t="array" ref="R231">IF(N231="","",IFERROR(INDEX(Entries!$J$2:$J$47,29),""))</f>
        <v/>
      </c>
      <c r="S231" s="29" t="str">
        <f t="array" ref="S231">IF(R231="","",IFERROR(XLOOKUP(R231,'Live Medal Table'!$B$2:$B$94,'Live Medal Table'!$C$2:$C$94,"???"),"???"))</f>
        <v/>
      </c>
      <c r="T231" s="29">
        <f t="array" ref="T231">IF(R231="",0,IFERROR(XLOOKUP(R231,'Live Medal Table'!$B$2:$B$94,'Live Medal Table'!$F$2:$F$94,0),0))</f>
        <v>0</v>
      </c>
      <c r="U231" s="29">
        <f t="array" ref="U231">IF(R231="",0,IFERROR(XLOOKUP(R231,'Live Medal Table'!$B$2:$B$94,'Live Medal Table'!$G$2:$G$94,0),0))</f>
        <v>0</v>
      </c>
      <c r="V231" s="29">
        <f t="array" ref="V231">IF(R231="",0,IFERROR(XLOOKUP(R231,'Live Medal Table'!$B$2:$B$94,'Live Medal Table'!$H$2:$H$94,0),0))</f>
        <v>0</v>
      </c>
      <c r="W231" s="29">
        <f t="array" ref="W231">IF(R231="",0,IFERROR(XLOOKUP(R231,'Live Medal Table'!$B$2:$B$94,'Live Medal Table'!$I$2:$I$94,0),0))</f>
        <v>0</v>
      </c>
      <c r="X231" s="29">
        <f t="shared" si="1"/>
        <v>0</v>
      </c>
      <c r="Y231" s="29">
        <f t="shared" si="2"/>
        <v>0</v>
      </c>
      <c r="Z231" s="29">
        <f t="shared" si="3"/>
        <v>0</v>
      </c>
      <c r="AA231" s="29">
        <f t="shared" si="4"/>
        <v>0</v>
      </c>
      <c r="AB231" s="29" t="b">
        <f t="array" ref="AB231">IF(R231="",FALSE,IFERROR(AND(ISNUMBER(MATCH(R231,'Live Medal Table'!$B$2:$B$94,0)),XLOOKUP(R231,'Live Medal Table'!$B$2:$B$94,Countries!$I$2:$I$72,FALSE)),FALSE))</f>
        <v>0</v>
      </c>
    </row>
    <row r="232" ht="15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29"/>
      <c r="M232" s="29"/>
      <c r="N232" s="29" t="str">
        <f t="array" ref="N232">IFERROR(IF(INDEX(Entries!$C$2:$C$47,29)="","",INDEX(Entries!$Q$2:$Q$47,29)),"")</f>
        <v/>
      </c>
      <c r="O232" s="29" t="str">
        <f t="array" ref="O232">IF(N232="","",IFERROR(INDEX(Entries!$E$2:$E$47,29),""))</f>
        <v/>
      </c>
      <c r="P232" s="29" t="str">
        <f>IF(N232="","","Tier6_Pick1")</f>
        <v/>
      </c>
      <c r="Q232" s="29" t="str">
        <f t="shared" ref="Q232:Q233" si="62">IF(N232="","",6)</f>
        <v/>
      </c>
      <c r="R232" s="29" t="str">
        <f t="array" ref="R232">IF(N232="","",IFERROR(INDEX(Entries!$O$2:$O$47,29),""))</f>
        <v/>
      </c>
      <c r="S232" s="29" t="str">
        <f t="array" ref="S232">IF(R232="","",IFERROR(XLOOKUP(R232,'Live Medal Table'!$B$2:$B$94,'Live Medal Table'!$C$2:$C$94,"???"),"???"))</f>
        <v/>
      </c>
      <c r="T232" s="29">
        <f t="array" ref="T232">IF(R232="",0,IFERROR(XLOOKUP(R232,'Live Medal Table'!$B$2:$B$94,'Live Medal Table'!$F$2:$F$94,0),0))</f>
        <v>0</v>
      </c>
      <c r="U232" s="29">
        <f t="array" ref="U232">IF(R232="",0,IFERROR(XLOOKUP(R232,'Live Medal Table'!$B$2:$B$94,'Live Medal Table'!$G$2:$G$94,0),0))</f>
        <v>0</v>
      </c>
      <c r="V232" s="29">
        <f t="array" ref="V232">IF(R232="",0,IFERROR(XLOOKUP(R232,'Live Medal Table'!$B$2:$B$94,'Live Medal Table'!$H$2:$H$94,0),0))</f>
        <v>0</v>
      </c>
      <c r="W232" s="29">
        <f t="array" ref="W232">IF(R232="",0,IFERROR(XLOOKUP(R232,'Live Medal Table'!$B$2:$B$94,'Live Medal Table'!$I$2:$I$94,0),0))</f>
        <v>0</v>
      </c>
      <c r="X232" s="29">
        <f t="shared" si="1"/>
        <v>0</v>
      </c>
      <c r="Y232" s="29">
        <f t="shared" si="2"/>
        <v>0</v>
      </c>
      <c r="Z232" s="29">
        <f t="shared" si="3"/>
        <v>0</v>
      </c>
      <c r="AA232" s="29">
        <f t="shared" si="4"/>
        <v>0</v>
      </c>
      <c r="AB232" s="29" t="b">
        <f t="array" ref="AB232">IF(R232="",FALSE,IFERROR(AND(ISNUMBER(MATCH(R232,'Live Medal Table'!$B$2:$B$94,0)),XLOOKUP(R232,'Live Medal Table'!$B$2:$B$94,Countries!$I$2:$I$72,FALSE)),FALSE))</f>
        <v>0</v>
      </c>
    </row>
    <row r="233" ht="15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29"/>
      <c r="M233" s="29"/>
      <c r="N233" s="29" t="str">
        <f t="array" ref="N233">IFERROR(IF(INDEX(Entries!$C$2:$C$47,29)="","",INDEX(Entries!$Q$2:$Q$47,29)),"")</f>
        <v/>
      </c>
      <c r="O233" s="29" t="str">
        <f t="array" ref="O233">IF(N233="","",IFERROR(INDEX(Entries!$E$2:$E$47,29),""))</f>
        <v/>
      </c>
      <c r="P233" s="29" t="str">
        <f>IF(N233="","","Tier6_Pick2")</f>
        <v/>
      </c>
      <c r="Q233" s="29" t="str">
        <f t="shared" si="62"/>
        <v/>
      </c>
      <c r="R233" s="29" t="str">
        <f t="array" ref="R233">IF(N233="","",IFERROR(INDEX(Entries!$P$2:$P$47,29),""))</f>
        <v/>
      </c>
      <c r="S233" s="29" t="str">
        <f t="array" ref="S233">IF(R233="","",IFERROR(XLOOKUP(R233,'Live Medal Table'!$B$2:$B$94,'Live Medal Table'!$C$2:$C$94,"???"),"???"))</f>
        <v/>
      </c>
      <c r="T233" s="29">
        <f t="array" ref="T233">IF(R233="",0,IFERROR(XLOOKUP(R233,'Live Medal Table'!$B$2:$B$94,'Live Medal Table'!$F$2:$F$94,0),0))</f>
        <v>0</v>
      </c>
      <c r="U233" s="29">
        <f t="array" ref="U233">IF(R233="",0,IFERROR(XLOOKUP(R233,'Live Medal Table'!$B$2:$B$94,'Live Medal Table'!$G$2:$G$94,0),0))</f>
        <v>0</v>
      </c>
      <c r="V233" s="29">
        <f t="array" ref="V233">IF(R233="",0,IFERROR(XLOOKUP(R233,'Live Medal Table'!$B$2:$B$94,'Live Medal Table'!$H$2:$H$94,0),0))</f>
        <v>0</v>
      </c>
      <c r="W233" s="29">
        <f t="array" ref="W233">IF(R233="",0,IFERROR(XLOOKUP(R233,'Live Medal Table'!$B$2:$B$94,'Live Medal Table'!$I$2:$I$94,0),0))</f>
        <v>0</v>
      </c>
      <c r="X233" s="29">
        <f t="shared" si="1"/>
        <v>0</v>
      </c>
      <c r="Y233" s="29">
        <f t="shared" si="2"/>
        <v>0</v>
      </c>
      <c r="Z233" s="29">
        <f t="shared" si="3"/>
        <v>0</v>
      </c>
      <c r="AA233" s="29">
        <f t="shared" si="4"/>
        <v>0</v>
      </c>
      <c r="AB233" s="29" t="b">
        <f t="array" ref="AB233">IF(R233="",FALSE,IFERROR(AND(ISNUMBER(MATCH(R233,'Live Medal Table'!$B$2:$B$94,0)),XLOOKUP(R233,'Live Medal Table'!$B$2:$B$94,Countries!$I$2:$I$72,FALSE)),FALSE))</f>
        <v>0</v>
      </c>
    </row>
    <row r="234" ht="15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29"/>
      <c r="M234" s="29"/>
      <c r="N234" s="29" t="str">
        <f t="array" ref="N234">IFERROR(IF(INDEX(Entries!$C$2:$C$47,30)="","",INDEX(Entries!$Q$2:$Q$47,30)),"")</f>
        <v/>
      </c>
      <c r="O234" s="29" t="str">
        <f t="array" ref="O234">IF(N234="","",IFERROR(INDEX(Entries!$E$2:$E$47,30),""))</f>
        <v/>
      </c>
      <c r="P234" s="29" t="str">
        <f>IF(N234="","","Tier1_Pick1")</f>
        <v/>
      </c>
      <c r="Q234" s="29" t="str">
        <f>IF(N234="","",1)</f>
        <v/>
      </c>
      <c r="R234" s="29" t="str">
        <f t="array" ref="R234">IF(N234="","",IFERROR(INDEX(Entries!$F$2:$F$47,30),""))</f>
        <v/>
      </c>
      <c r="S234" s="29" t="str">
        <f t="array" ref="S234">IF(R234="","",IFERROR(XLOOKUP(R234,'Live Medal Table'!$B$2:$B$94,'Live Medal Table'!$C$2:$C$94,"???"),"???"))</f>
        <v/>
      </c>
      <c r="T234" s="29">
        <f t="array" ref="T234">IF(R234="",0,IFERROR(XLOOKUP(R234,'Live Medal Table'!$B$2:$B$94,'Live Medal Table'!$F$2:$F$94,0),0))</f>
        <v>0</v>
      </c>
      <c r="U234" s="29">
        <f t="array" ref="U234">IF(R234="",0,IFERROR(XLOOKUP(R234,'Live Medal Table'!$B$2:$B$94,'Live Medal Table'!$G$2:$G$94,0),0))</f>
        <v>0</v>
      </c>
      <c r="V234" s="29">
        <f t="array" ref="V234">IF(R234="",0,IFERROR(XLOOKUP(R234,'Live Medal Table'!$B$2:$B$94,'Live Medal Table'!$H$2:$H$94,0),0))</f>
        <v>0</v>
      </c>
      <c r="W234" s="29">
        <f t="array" ref="W234">IF(R234="",0,IFERROR(XLOOKUP(R234,'Live Medal Table'!$B$2:$B$94,'Live Medal Table'!$I$2:$I$94,0),0))</f>
        <v>0</v>
      </c>
      <c r="X234" s="29">
        <f t="shared" si="1"/>
        <v>0</v>
      </c>
      <c r="Y234" s="29">
        <f t="shared" si="2"/>
        <v>0</v>
      </c>
      <c r="Z234" s="29">
        <f t="shared" si="3"/>
        <v>0</v>
      </c>
      <c r="AA234" s="29">
        <f t="shared" si="4"/>
        <v>0</v>
      </c>
      <c r="AB234" s="29" t="b">
        <f t="array" ref="AB234">IF(R234="",FALSE,IFERROR(AND(ISNUMBER(MATCH(R234,'Live Medal Table'!$B$2:$B$94,0)),XLOOKUP(R234,'Live Medal Table'!$B$2:$B$94,Countries!$I$2:$I$72,FALSE)),FALSE))</f>
        <v>0</v>
      </c>
    </row>
    <row r="235" ht="15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29"/>
      <c r="M235" s="29"/>
      <c r="N235" s="29" t="str">
        <f t="array" ref="N235">IFERROR(IF(INDEX(Entries!$C$2:$C$47,30)="","",INDEX(Entries!$Q$2:$Q$47,30)),"")</f>
        <v/>
      </c>
      <c r="O235" s="29" t="str">
        <f t="array" ref="O235">IF(N235="","",IFERROR(INDEX(Entries!$E$2:$E$47,30),""))</f>
        <v/>
      </c>
      <c r="P235" s="29" t="str">
        <f>IF(N235="","","Tier2_Pick1")</f>
        <v/>
      </c>
      <c r="Q235" s="29" t="str">
        <f t="shared" ref="Q235:Q236" si="63">IF(N235="","",2)</f>
        <v/>
      </c>
      <c r="R235" s="29" t="str">
        <f t="array" ref="R235">IF(N235="","",IFERROR(INDEX(Entries!$M$2:$M$47,30),""))</f>
        <v/>
      </c>
      <c r="S235" s="29" t="str">
        <f t="array" ref="S235">IF(R235="","",IFERROR(XLOOKUP(R235,'Live Medal Table'!$B$2:$B$94,'Live Medal Table'!$C$2:$C$94,"???"),"???"))</f>
        <v/>
      </c>
      <c r="T235" s="29">
        <f t="array" ref="T235">IF(R235="",0,IFERROR(XLOOKUP(R235,'Live Medal Table'!$B$2:$B$94,'Live Medal Table'!$F$2:$F$94,0),0))</f>
        <v>0</v>
      </c>
      <c r="U235" s="29">
        <f t="array" ref="U235">IF(R235="",0,IFERROR(XLOOKUP(R235,'Live Medal Table'!$B$2:$B$94,'Live Medal Table'!$G$2:$G$94,0),0))</f>
        <v>0</v>
      </c>
      <c r="V235" s="29">
        <f t="array" ref="V235">IF(R235="",0,IFERROR(XLOOKUP(R235,'Live Medal Table'!$B$2:$B$94,'Live Medal Table'!$H$2:$H$94,0),0))</f>
        <v>0</v>
      </c>
      <c r="W235" s="29">
        <f t="array" ref="W235">IF(R235="",0,IFERROR(XLOOKUP(R235,'Live Medal Table'!$B$2:$B$94,'Live Medal Table'!$I$2:$I$94,0),0))</f>
        <v>0</v>
      </c>
      <c r="X235" s="29">
        <f t="shared" si="1"/>
        <v>0</v>
      </c>
      <c r="Y235" s="29">
        <f t="shared" si="2"/>
        <v>0</v>
      </c>
      <c r="Z235" s="29">
        <f t="shared" si="3"/>
        <v>0</v>
      </c>
      <c r="AA235" s="29">
        <f t="shared" si="4"/>
        <v>0</v>
      </c>
      <c r="AB235" s="29" t="b">
        <f t="array" ref="AB235">IF(R235="",FALSE,IFERROR(AND(ISNUMBER(MATCH(R235,'Live Medal Table'!$B$2:$B$94,0)),XLOOKUP(R235,'Live Medal Table'!$B$2:$B$94,Countries!$I$2:$I$72,FALSE)),FALSE))</f>
        <v>0</v>
      </c>
    </row>
    <row r="236" ht="15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29"/>
      <c r="M236" s="29"/>
      <c r="N236" s="29" t="str">
        <f t="array" ref="N236">IFERROR(IF(INDEX(Entries!$C$2:$C$47,30)="","",INDEX(Entries!$Q$2:$Q$47,30)),"")</f>
        <v/>
      </c>
      <c r="O236" s="29" t="str">
        <f t="array" ref="O236">IF(N236="","",IFERROR(INDEX(Entries!$E$2:$E$47,30),""))</f>
        <v/>
      </c>
      <c r="P236" s="29" t="str">
        <f>IF(N236="","","Tier2_Pick2")</f>
        <v/>
      </c>
      <c r="Q236" s="29" t="str">
        <f t="shared" si="63"/>
        <v/>
      </c>
      <c r="R236" s="29" t="str">
        <f t="array" ref="R236">IF(N236="","",IFERROR(INDEX(Entries!$N$2:$N$47,30),""))</f>
        <v/>
      </c>
      <c r="S236" s="29" t="str">
        <f t="array" ref="S236">IF(R236="","",IFERROR(XLOOKUP(R236,'Live Medal Table'!$B$2:$B$94,'Live Medal Table'!$C$2:$C$94,"???"),"???"))</f>
        <v/>
      </c>
      <c r="T236" s="29">
        <f t="array" ref="T236">IF(R236="",0,IFERROR(XLOOKUP(R236,'Live Medal Table'!$B$2:$B$94,'Live Medal Table'!$F$2:$F$94,0),0))</f>
        <v>0</v>
      </c>
      <c r="U236" s="29">
        <f t="array" ref="U236">IF(R236="",0,IFERROR(XLOOKUP(R236,'Live Medal Table'!$B$2:$B$94,'Live Medal Table'!$G$2:$G$94,0),0))</f>
        <v>0</v>
      </c>
      <c r="V236" s="29">
        <f t="array" ref="V236">IF(R236="",0,IFERROR(XLOOKUP(R236,'Live Medal Table'!$B$2:$B$94,'Live Medal Table'!$H$2:$H$94,0),0))</f>
        <v>0</v>
      </c>
      <c r="W236" s="29">
        <f t="array" ref="W236">IF(R236="",0,IFERROR(XLOOKUP(R236,'Live Medal Table'!$B$2:$B$94,'Live Medal Table'!$I$2:$I$94,0),0))</f>
        <v>0</v>
      </c>
      <c r="X236" s="29">
        <f t="shared" si="1"/>
        <v>0</v>
      </c>
      <c r="Y236" s="29">
        <f t="shared" si="2"/>
        <v>0</v>
      </c>
      <c r="Z236" s="29">
        <f t="shared" si="3"/>
        <v>0</v>
      </c>
      <c r="AA236" s="29">
        <f t="shared" si="4"/>
        <v>0</v>
      </c>
      <c r="AB236" s="29" t="b">
        <f t="array" ref="AB236">IF(R236="",FALSE,IFERROR(AND(ISNUMBER(MATCH(R236,'Live Medal Table'!$B$2:$B$94,0)),XLOOKUP(R236,'Live Medal Table'!$B$2:$B$94,Countries!$I$2:$I$72,FALSE)),FALSE))</f>
        <v>0</v>
      </c>
    </row>
    <row r="237" ht="15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29"/>
      <c r="M237" s="29"/>
      <c r="N237" s="29" t="str">
        <f t="array" ref="N237">IFERROR(IF(INDEX(Entries!$C$2:$C$47,30)="","",INDEX(Entries!$Q$2:$Q$47,30)),"")</f>
        <v/>
      </c>
      <c r="O237" s="29" t="str">
        <f t="array" ref="O237">IF(N237="","",IFERROR(INDEX(Entries!$E$2:$E$47,30),""))</f>
        <v/>
      </c>
      <c r="P237" s="29" t="str">
        <f>IF(N237="","","Tier3_Pick1")</f>
        <v/>
      </c>
      <c r="Q237" s="29" t="str">
        <f>IF(N237="","",3)</f>
        <v/>
      </c>
      <c r="R237" s="29" t="str">
        <f t="array" ref="R237">IF(N237="","",IFERROR(INDEX(Entries!$H$2:$H$47,30),""))</f>
        <v/>
      </c>
      <c r="S237" s="29" t="str">
        <f t="array" ref="S237">IF(R237="","",IFERROR(XLOOKUP(R237,'Live Medal Table'!$B$2:$B$94,'Live Medal Table'!$C$2:$C$94,"???"),"???"))</f>
        <v/>
      </c>
      <c r="T237" s="29">
        <f t="array" ref="T237">IF(R237="",0,IFERROR(XLOOKUP(R237,'Live Medal Table'!$B$2:$B$94,'Live Medal Table'!$F$2:$F$94,0),0))</f>
        <v>0</v>
      </c>
      <c r="U237" s="29">
        <f t="array" ref="U237">IF(R237="",0,IFERROR(XLOOKUP(R237,'Live Medal Table'!$B$2:$B$94,'Live Medal Table'!$G$2:$G$94,0),0))</f>
        <v>0</v>
      </c>
      <c r="V237" s="29">
        <f t="array" ref="V237">IF(R237="",0,IFERROR(XLOOKUP(R237,'Live Medal Table'!$B$2:$B$94,'Live Medal Table'!$H$2:$H$94,0),0))</f>
        <v>0</v>
      </c>
      <c r="W237" s="29">
        <f t="array" ref="W237">IF(R237="",0,IFERROR(XLOOKUP(R237,'Live Medal Table'!$B$2:$B$94,'Live Medal Table'!$I$2:$I$94,0),0))</f>
        <v>0</v>
      </c>
      <c r="X237" s="29">
        <f t="shared" si="1"/>
        <v>0</v>
      </c>
      <c r="Y237" s="29">
        <f t="shared" si="2"/>
        <v>0</v>
      </c>
      <c r="Z237" s="29">
        <f t="shared" si="3"/>
        <v>0</v>
      </c>
      <c r="AA237" s="29">
        <f t="shared" si="4"/>
        <v>0</v>
      </c>
      <c r="AB237" s="29" t="b">
        <f t="array" ref="AB237">IF(R237="",FALSE,IFERROR(AND(ISNUMBER(MATCH(R237,'Live Medal Table'!$B$2:$B$94,0)),XLOOKUP(R237,'Live Medal Table'!$B$2:$B$94,Countries!$I$2:$I$72,FALSE)),FALSE))</f>
        <v>0</v>
      </c>
    </row>
    <row r="238" ht="15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29"/>
      <c r="M238" s="29"/>
      <c r="N238" s="29" t="str">
        <f t="array" ref="N238">IFERROR(IF(INDEX(Entries!$C$2:$C$47,30)="","",INDEX(Entries!$Q$2:$Q$47,30)),"")</f>
        <v/>
      </c>
      <c r="O238" s="29" t="str">
        <f t="array" ref="O238">IF(N238="","",IFERROR(INDEX(Entries!$E$2:$E$47,30),""))</f>
        <v/>
      </c>
      <c r="P238" s="29" t="str">
        <f>IF(N238="","","Tier4_Pick1")</f>
        <v/>
      </c>
      <c r="Q238" s="29" t="str">
        <f>IF(N238="","",4)</f>
        <v/>
      </c>
      <c r="R238" s="29" t="str">
        <f t="array" ref="R238">IF(N238="","",IFERROR(INDEX(Entries!$I$2:$I$47,30),""))</f>
        <v/>
      </c>
      <c r="S238" s="29" t="str">
        <f t="array" ref="S238">IF(R238="","",IFERROR(XLOOKUP(R238,'Live Medal Table'!$B$2:$B$94,'Live Medal Table'!$C$2:$C$94,"???"),"???"))</f>
        <v/>
      </c>
      <c r="T238" s="29">
        <f t="array" ref="T238">IF(R238="",0,IFERROR(XLOOKUP(R238,'Live Medal Table'!$B$2:$B$94,'Live Medal Table'!$F$2:$F$94,0),0))</f>
        <v>0</v>
      </c>
      <c r="U238" s="29">
        <f t="array" ref="U238">IF(R238="",0,IFERROR(XLOOKUP(R238,'Live Medal Table'!$B$2:$B$94,'Live Medal Table'!$G$2:$G$94,0),0))</f>
        <v>0</v>
      </c>
      <c r="V238" s="29">
        <f t="array" ref="V238">IF(R238="",0,IFERROR(XLOOKUP(R238,'Live Medal Table'!$B$2:$B$94,'Live Medal Table'!$H$2:$H$94,0),0))</f>
        <v>0</v>
      </c>
      <c r="W238" s="29">
        <f t="array" ref="W238">IF(R238="",0,IFERROR(XLOOKUP(R238,'Live Medal Table'!$B$2:$B$94,'Live Medal Table'!$I$2:$I$94,0),0))</f>
        <v>0</v>
      </c>
      <c r="X238" s="29">
        <f t="shared" si="1"/>
        <v>0</v>
      </c>
      <c r="Y238" s="29">
        <f t="shared" si="2"/>
        <v>0</v>
      </c>
      <c r="Z238" s="29">
        <f t="shared" si="3"/>
        <v>0</v>
      </c>
      <c r="AA238" s="29">
        <f t="shared" si="4"/>
        <v>0</v>
      </c>
      <c r="AB238" s="29" t="b">
        <f t="array" ref="AB238">IF(R238="",FALSE,IFERROR(AND(ISNUMBER(MATCH(R238,'Live Medal Table'!$B$2:$B$94,0)),XLOOKUP(R238,'Live Medal Table'!$B$2:$B$94,Countries!$I$2:$I$72,FALSE)),FALSE))</f>
        <v>0</v>
      </c>
    </row>
    <row r="239" ht="15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29"/>
      <c r="M239" s="29"/>
      <c r="N239" s="29" t="str">
        <f t="array" ref="N239">IFERROR(IF(INDEX(Entries!$C$2:$C$47,30)="","",INDEX(Entries!$Q$2:$Q$47,30)),"")</f>
        <v/>
      </c>
      <c r="O239" s="29" t="str">
        <f t="array" ref="O239">IF(N239="","",IFERROR(INDEX(Entries!$E$2:$E$47,30),""))</f>
        <v/>
      </c>
      <c r="P239" s="29" t="str">
        <f>IF(N239="","","Tier5_Pick1")</f>
        <v/>
      </c>
      <c r="Q239" s="29" t="str">
        <f>IF(N239="","",5)</f>
        <v/>
      </c>
      <c r="R239" s="29" t="str">
        <f t="array" ref="R239">IF(N239="","",IFERROR(INDEX(Entries!$J$2:$J$47,30),""))</f>
        <v/>
      </c>
      <c r="S239" s="29" t="str">
        <f t="array" ref="S239">IF(R239="","",IFERROR(XLOOKUP(R239,'Live Medal Table'!$B$2:$B$94,'Live Medal Table'!$C$2:$C$94,"???"),"???"))</f>
        <v/>
      </c>
      <c r="T239" s="29">
        <f t="array" ref="T239">IF(R239="",0,IFERROR(XLOOKUP(R239,'Live Medal Table'!$B$2:$B$94,'Live Medal Table'!$F$2:$F$94,0),0))</f>
        <v>0</v>
      </c>
      <c r="U239" s="29">
        <f t="array" ref="U239">IF(R239="",0,IFERROR(XLOOKUP(R239,'Live Medal Table'!$B$2:$B$94,'Live Medal Table'!$G$2:$G$94,0),0))</f>
        <v>0</v>
      </c>
      <c r="V239" s="29">
        <f t="array" ref="V239">IF(R239="",0,IFERROR(XLOOKUP(R239,'Live Medal Table'!$B$2:$B$94,'Live Medal Table'!$H$2:$H$94,0),0))</f>
        <v>0</v>
      </c>
      <c r="W239" s="29">
        <f t="array" ref="W239">IF(R239="",0,IFERROR(XLOOKUP(R239,'Live Medal Table'!$B$2:$B$94,'Live Medal Table'!$I$2:$I$94,0),0))</f>
        <v>0</v>
      </c>
      <c r="X239" s="29">
        <f t="shared" si="1"/>
        <v>0</v>
      </c>
      <c r="Y239" s="29">
        <f t="shared" si="2"/>
        <v>0</v>
      </c>
      <c r="Z239" s="29">
        <f t="shared" si="3"/>
        <v>0</v>
      </c>
      <c r="AA239" s="29">
        <f t="shared" si="4"/>
        <v>0</v>
      </c>
      <c r="AB239" s="29" t="b">
        <f t="array" ref="AB239">IF(R239="",FALSE,IFERROR(AND(ISNUMBER(MATCH(R239,'Live Medal Table'!$B$2:$B$94,0)),XLOOKUP(R239,'Live Medal Table'!$B$2:$B$94,Countries!$I$2:$I$72,FALSE)),FALSE))</f>
        <v>0</v>
      </c>
    </row>
    <row r="240" ht="15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29"/>
      <c r="M240" s="29"/>
      <c r="N240" s="29" t="str">
        <f t="array" ref="N240">IFERROR(IF(INDEX(Entries!$C$2:$C$47,30)="","",INDEX(Entries!$Q$2:$Q$47,30)),"")</f>
        <v/>
      </c>
      <c r="O240" s="29" t="str">
        <f t="array" ref="O240">IF(N240="","",IFERROR(INDEX(Entries!$E$2:$E$47,30),""))</f>
        <v/>
      </c>
      <c r="P240" s="29" t="str">
        <f>IF(N240="","","Tier6_Pick1")</f>
        <v/>
      </c>
      <c r="Q240" s="29" t="str">
        <f t="shared" ref="Q240:Q241" si="64">IF(N240="","",6)</f>
        <v/>
      </c>
      <c r="R240" s="29" t="str">
        <f t="array" ref="R240">IF(N240="","",IFERROR(INDEX(Entries!$O$2:$O$47,30),""))</f>
        <v/>
      </c>
      <c r="S240" s="29" t="str">
        <f t="array" ref="S240">IF(R240="","",IFERROR(XLOOKUP(R240,'Live Medal Table'!$B$2:$B$94,'Live Medal Table'!$C$2:$C$94,"???"),"???"))</f>
        <v/>
      </c>
      <c r="T240" s="29">
        <f t="array" ref="T240">IF(R240="",0,IFERROR(XLOOKUP(R240,'Live Medal Table'!$B$2:$B$94,'Live Medal Table'!$F$2:$F$94,0),0))</f>
        <v>0</v>
      </c>
      <c r="U240" s="29">
        <f t="array" ref="U240">IF(R240="",0,IFERROR(XLOOKUP(R240,'Live Medal Table'!$B$2:$B$94,'Live Medal Table'!$G$2:$G$94,0),0))</f>
        <v>0</v>
      </c>
      <c r="V240" s="29">
        <f t="array" ref="V240">IF(R240="",0,IFERROR(XLOOKUP(R240,'Live Medal Table'!$B$2:$B$94,'Live Medal Table'!$H$2:$H$94,0),0))</f>
        <v>0</v>
      </c>
      <c r="W240" s="29">
        <f t="array" ref="W240">IF(R240="",0,IFERROR(XLOOKUP(R240,'Live Medal Table'!$B$2:$B$94,'Live Medal Table'!$I$2:$I$94,0),0))</f>
        <v>0</v>
      </c>
      <c r="X240" s="29">
        <f t="shared" si="1"/>
        <v>0</v>
      </c>
      <c r="Y240" s="29">
        <f t="shared" si="2"/>
        <v>0</v>
      </c>
      <c r="Z240" s="29">
        <f t="shared" si="3"/>
        <v>0</v>
      </c>
      <c r="AA240" s="29">
        <f t="shared" si="4"/>
        <v>0</v>
      </c>
      <c r="AB240" s="29" t="b">
        <f t="array" ref="AB240">IF(R240="",FALSE,IFERROR(AND(ISNUMBER(MATCH(R240,'Live Medal Table'!$B$2:$B$94,0)),XLOOKUP(R240,'Live Medal Table'!$B$2:$B$94,Countries!$I$2:$I$72,FALSE)),FALSE))</f>
        <v>0</v>
      </c>
    </row>
    <row r="241" ht="15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29"/>
      <c r="M241" s="29"/>
      <c r="N241" s="29" t="str">
        <f t="array" ref="N241">IFERROR(IF(INDEX(Entries!$C$2:$C$47,30)="","",INDEX(Entries!$Q$2:$Q$47,30)),"")</f>
        <v/>
      </c>
      <c r="O241" s="29" t="str">
        <f t="array" ref="O241">IF(N241="","",IFERROR(INDEX(Entries!$E$2:$E$47,30),""))</f>
        <v/>
      </c>
      <c r="P241" s="29" t="str">
        <f>IF(N241="","","Tier6_Pick2")</f>
        <v/>
      </c>
      <c r="Q241" s="29" t="str">
        <f t="shared" si="64"/>
        <v/>
      </c>
      <c r="R241" s="29" t="str">
        <f t="array" ref="R241">IF(N241="","",IFERROR(INDEX(Entries!$P$2:$P$47,30),""))</f>
        <v/>
      </c>
      <c r="S241" s="29" t="str">
        <f t="array" ref="S241">IF(R241="","",IFERROR(XLOOKUP(R241,'Live Medal Table'!$B$2:$B$94,'Live Medal Table'!$C$2:$C$94,"???"),"???"))</f>
        <v/>
      </c>
      <c r="T241" s="29">
        <f t="array" ref="T241">IF(R241="",0,IFERROR(XLOOKUP(R241,'Live Medal Table'!$B$2:$B$94,'Live Medal Table'!$F$2:$F$94,0),0))</f>
        <v>0</v>
      </c>
      <c r="U241" s="29">
        <f t="array" ref="U241">IF(R241="",0,IFERROR(XLOOKUP(R241,'Live Medal Table'!$B$2:$B$94,'Live Medal Table'!$G$2:$G$94,0),0))</f>
        <v>0</v>
      </c>
      <c r="V241" s="29">
        <f t="array" ref="V241">IF(R241="",0,IFERROR(XLOOKUP(R241,'Live Medal Table'!$B$2:$B$94,'Live Medal Table'!$H$2:$H$94,0),0))</f>
        <v>0</v>
      </c>
      <c r="W241" s="29">
        <f t="array" ref="W241">IF(R241="",0,IFERROR(XLOOKUP(R241,'Live Medal Table'!$B$2:$B$94,'Live Medal Table'!$I$2:$I$94,0),0))</f>
        <v>0</v>
      </c>
      <c r="X241" s="29">
        <f t="shared" si="1"/>
        <v>0</v>
      </c>
      <c r="Y241" s="29">
        <f t="shared" si="2"/>
        <v>0</v>
      </c>
      <c r="Z241" s="29">
        <f t="shared" si="3"/>
        <v>0</v>
      </c>
      <c r="AA241" s="29">
        <f t="shared" si="4"/>
        <v>0</v>
      </c>
      <c r="AB241" s="29" t="b">
        <f t="array" ref="AB241">IF(R241="",FALSE,IFERROR(AND(ISNUMBER(MATCH(R241,'Live Medal Table'!$B$2:$B$94,0)),XLOOKUP(R241,'Live Medal Table'!$B$2:$B$94,Countries!$I$2:$I$72,FALSE)),FALSE))</f>
        <v>0</v>
      </c>
    </row>
    <row r="242" ht="15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29"/>
      <c r="M242" s="29"/>
      <c r="N242" s="29" t="str">
        <f t="array" ref="N242">IFERROR(IF(INDEX(Entries!$C$2:$C$47,31)="","",INDEX(Entries!$Q$2:$Q$47,31)),"")</f>
        <v/>
      </c>
      <c r="O242" s="29" t="str">
        <f t="array" ref="O242">IF(N242="","",IFERROR(INDEX(Entries!$E$2:$E$47,31),""))</f>
        <v/>
      </c>
      <c r="P242" s="29" t="str">
        <f>IF(N242="","","Tier1_Pick1")</f>
        <v/>
      </c>
      <c r="Q242" s="29" t="str">
        <f>IF(N242="","",1)</f>
        <v/>
      </c>
      <c r="R242" s="29" t="str">
        <f t="array" ref="R242">IF(N242="","",IFERROR(INDEX(Entries!$F$2:$F$47,31),""))</f>
        <v/>
      </c>
      <c r="S242" s="29" t="str">
        <f t="array" ref="S242">IF(R242="","",IFERROR(XLOOKUP(R242,'Live Medal Table'!$B$2:$B$94,'Live Medal Table'!$C$2:$C$94,"???"),"???"))</f>
        <v/>
      </c>
      <c r="T242" s="29">
        <f t="array" ref="T242">IF(R242="",0,IFERROR(XLOOKUP(R242,'Live Medal Table'!$B$2:$B$94,'Live Medal Table'!$F$2:$F$94,0),0))</f>
        <v>0</v>
      </c>
      <c r="U242" s="29">
        <f t="array" ref="U242">IF(R242="",0,IFERROR(XLOOKUP(R242,'Live Medal Table'!$B$2:$B$94,'Live Medal Table'!$G$2:$G$94,0),0))</f>
        <v>0</v>
      </c>
      <c r="V242" s="29">
        <f t="array" ref="V242">IF(R242="",0,IFERROR(XLOOKUP(R242,'Live Medal Table'!$B$2:$B$94,'Live Medal Table'!$H$2:$H$94,0),0))</f>
        <v>0</v>
      </c>
      <c r="W242" s="29">
        <f t="array" ref="W242">IF(R242="",0,IFERROR(XLOOKUP(R242,'Live Medal Table'!$B$2:$B$94,'Live Medal Table'!$I$2:$I$94,0),0))</f>
        <v>0</v>
      </c>
      <c r="X242" s="29">
        <f t="shared" si="1"/>
        <v>0</v>
      </c>
      <c r="Y242" s="29">
        <f t="shared" si="2"/>
        <v>0</v>
      </c>
      <c r="Z242" s="29">
        <f t="shared" si="3"/>
        <v>0</v>
      </c>
      <c r="AA242" s="29">
        <f t="shared" si="4"/>
        <v>0</v>
      </c>
      <c r="AB242" s="29" t="b">
        <f t="array" ref="AB242">IF(R242="",FALSE,IFERROR(AND(ISNUMBER(MATCH(R242,'Live Medal Table'!$B$2:$B$94,0)),XLOOKUP(R242,'Live Medal Table'!$B$2:$B$94,Countries!$I$2:$I$72,FALSE)),FALSE))</f>
        <v>0</v>
      </c>
    </row>
    <row r="243" ht="15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29"/>
      <c r="M243" s="29"/>
      <c r="N243" s="29" t="str">
        <f t="array" ref="N243">IFERROR(IF(INDEX(Entries!$C$2:$C$47,31)="","",INDEX(Entries!$Q$2:$Q$47,31)),"")</f>
        <v/>
      </c>
      <c r="O243" s="29" t="str">
        <f t="array" ref="O243">IF(N243="","",IFERROR(INDEX(Entries!$E$2:$E$47,31),""))</f>
        <v/>
      </c>
      <c r="P243" s="29" t="str">
        <f>IF(N243="","","Tier2_Pick1")</f>
        <v/>
      </c>
      <c r="Q243" s="29" t="str">
        <f t="shared" ref="Q243:Q244" si="65">IF(N243="","",2)</f>
        <v/>
      </c>
      <c r="R243" s="29" t="str">
        <f t="array" ref="R243">IF(N243="","",IFERROR(INDEX(Entries!$M$2:$M$47,31),""))</f>
        <v/>
      </c>
      <c r="S243" s="29" t="str">
        <f t="array" ref="S243">IF(R243="","",IFERROR(XLOOKUP(R243,'Live Medal Table'!$B$2:$B$94,'Live Medal Table'!$C$2:$C$94,"???"),"???"))</f>
        <v/>
      </c>
      <c r="T243" s="29">
        <f t="array" ref="T243">IF(R243="",0,IFERROR(XLOOKUP(R243,'Live Medal Table'!$B$2:$B$94,'Live Medal Table'!$F$2:$F$94,0),0))</f>
        <v>0</v>
      </c>
      <c r="U243" s="29">
        <f t="array" ref="U243">IF(R243="",0,IFERROR(XLOOKUP(R243,'Live Medal Table'!$B$2:$B$94,'Live Medal Table'!$G$2:$G$94,0),0))</f>
        <v>0</v>
      </c>
      <c r="V243" s="29">
        <f t="array" ref="V243">IF(R243="",0,IFERROR(XLOOKUP(R243,'Live Medal Table'!$B$2:$B$94,'Live Medal Table'!$H$2:$H$94,0),0))</f>
        <v>0</v>
      </c>
      <c r="W243" s="29">
        <f t="array" ref="W243">IF(R243="",0,IFERROR(XLOOKUP(R243,'Live Medal Table'!$B$2:$B$94,'Live Medal Table'!$I$2:$I$94,0),0))</f>
        <v>0</v>
      </c>
      <c r="X243" s="29">
        <f t="shared" si="1"/>
        <v>0</v>
      </c>
      <c r="Y243" s="29">
        <f t="shared" si="2"/>
        <v>0</v>
      </c>
      <c r="Z243" s="29">
        <f t="shared" si="3"/>
        <v>0</v>
      </c>
      <c r="AA243" s="29">
        <f t="shared" si="4"/>
        <v>0</v>
      </c>
      <c r="AB243" s="29" t="b">
        <f t="array" ref="AB243">IF(R243="",FALSE,IFERROR(AND(ISNUMBER(MATCH(R243,'Live Medal Table'!$B$2:$B$94,0)),XLOOKUP(R243,'Live Medal Table'!$B$2:$B$94,Countries!$I$2:$I$72,FALSE)),FALSE))</f>
        <v>0</v>
      </c>
    </row>
    <row r="244" ht="15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29"/>
      <c r="M244" s="29"/>
      <c r="N244" s="29" t="str">
        <f t="array" ref="N244">IFERROR(IF(INDEX(Entries!$C$2:$C$47,31)="","",INDEX(Entries!$Q$2:$Q$47,31)),"")</f>
        <v/>
      </c>
      <c r="O244" s="29" t="str">
        <f t="array" ref="O244">IF(N244="","",IFERROR(INDEX(Entries!$E$2:$E$47,31),""))</f>
        <v/>
      </c>
      <c r="P244" s="29" t="str">
        <f>IF(N244="","","Tier2_Pick2")</f>
        <v/>
      </c>
      <c r="Q244" s="29" t="str">
        <f t="shared" si="65"/>
        <v/>
      </c>
      <c r="R244" s="29" t="str">
        <f t="array" ref="R244">IF(N244="","",IFERROR(INDEX(Entries!$N$2:$N$47,31),""))</f>
        <v/>
      </c>
      <c r="S244" s="29" t="str">
        <f t="array" ref="S244">IF(R244="","",IFERROR(XLOOKUP(R244,'Live Medal Table'!$B$2:$B$94,'Live Medal Table'!$C$2:$C$94,"???"),"???"))</f>
        <v/>
      </c>
      <c r="T244" s="29">
        <f t="array" ref="T244">IF(R244="",0,IFERROR(XLOOKUP(R244,'Live Medal Table'!$B$2:$B$94,'Live Medal Table'!$F$2:$F$94,0),0))</f>
        <v>0</v>
      </c>
      <c r="U244" s="29">
        <f t="array" ref="U244">IF(R244="",0,IFERROR(XLOOKUP(R244,'Live Medal Table'!$B$2:$B$94,'Live Medal Table'!$G$2:$G$94,0),0))</f>
        <v>0</v>
      </c>
      <c r="V244" s="29">
        <f t="array" ref="V244">IF(R244="",0,IFERROR(XLOOKUP(R244,'Live Medal Table'!$B$2:$B$94,'Live Medal Table'!$H$2:$H$94,0),0))</f>
        <v>0</v>
      </c>
      <c r="W244" s="29">
        <f t="array" ref="W244">IF(R244="",0,IFERROR(XLOOKUP(R244,'Live Medal Table'!$B$2:$B$94,'Live Medal Table'!$I$2:$I$94,0),0))</f>
        <v>0</v>
      </c>
      <c r="X244" s="29">
        <f t="shared" si="1"/>
        <v>0</v>
      </c>
      <c r="Y244" s="29">
        <f t="shared" si="2"/>
        <v>0</v>
      </c>
      <c r="Z244" s="29">
        <f t="shared" si="3"/>
        <v>0</v>
      </c>
      <c r="AA244" s="29">
        <f t="shared" si="4"/>
        <v>0</v>
      </c>
      <c r="AB244" s="29" t="b">
        <f t="array" ref="AB244">IF(R244="",FALSE,IFERROR(AND(ISNUMBER(MATCH(R244,'Live Medal Table'!$B$2:$B$94,0)),XLOOKUP(R244,'Live Medal Table'!$B$2:$B$94,Countries!$I$2:$I$72,FALSE)),FALSE))</f>
        <v>0</v>
      </c>
    </row>
    <row r="245" ht="15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29"/>
      <c r="M245" s="29"/>
      <c r="N245" s="29" t="str">
        <f t="array" ref="N245">IFERROR(IF(INDEX(Entries!$C$2:$C$47,31)="","",INDEX(Entries!$Q$2:$Q$47,31)),"")</f>
        <v/>
      </c>
      <c r="O245" s="29" t="str">
        <f t="array" ref="O245">IF(N245="","",IFERROR(INDEX(Entries!$E$2:$E$47,31),""))</f>
        <v/>
      </c>
      <c r="P245" s="29" t="str">
        <f>IF(N245="","","Tier3_Pick1")</f>
        <v/>
      </c>
      <c r="Q245" s="29" t="str">
        <f>IF(N245="","",3)</f>
        <v/>
      </c>
      <c r="R245" s="29" t="str">
        <f t="array" ref="R245">IF(N245="","",IFERROR(INDEX(Entries!$H$2:$H$47,31),""))</f>
        <v/>
      </c>
      <c r="S245" s="29" t="str">
        <f t="array" ref="S245">IF(R245="","",IFERROR(XLOOKUP(R245,'Live Medal Table'!$B$2:$B$94,'Live Medal Table'!$C$2:$C$94,"???"),"???"))</f>
        <v/>
      </c>
      <c r="T245" s="29">
        <f t="array" ref="T245">IF(R245="",0,IFERROR(XLOOKUP(R245,'Live Medal Table'!$B$2:$B$94,'Live Medal Table'!$F$2:$F$94,0),0))</f>
        <v>0</v>
      </c>
      <c r="U245" s="29">
        <f t="array" ref="U245">IF(R245="",0,IFERROR(XLOOKUP(R245,'Live Medal Table'!$B$2:$B$94,'Live Medal Table'!$G$2:$G$94,0),0))</f>
        <v>0</v>
      </c>
      <c r="V245" s="29">
        <f t="array" ref="V245">IF(R245="",0,IFERROR(XLOOKUP(R245,'Live Medal Table'!$B$2:$B$94,'Live Medal Table'!$H$2:$H$94,0),0))</f>
        <v>0</v>
      </c>
      <c r="W245" s="29">
        <f t="array" ref="W245">IF(R245="",0,IFERROR(XLOOKUP(R245,'Live Medal Table'!$B$2:$B$94,'Live Medal Table'!$I$2:$I$94,0),0))</f>
        <v>0</v>
      </c>
      <c r="X245" s="29">
        <f t="shared" si="1"/>
        <v>0</v>
      </c>
      <c r="Y245" s="29">
        <f t="shared" si="2"/>
        <v>0</v>
      </c>
      <c r="Z245" s="29">
        <f t="shared" si="3"/>
        <v>0</v>
      </c>
      <c r="AA245" s="29">
        <f t="shared" si="4"/>
        <v>0</v>
      </c>
      <c r="AB245" s="29" t="b">
        <f t="array" ref="AB245">IF(R245="",FALSE,IFERROR(AND(ISNUMBER(MATCH(R245,'Live Medal Table'!$B$2:$B$94,0)),XLOOKUP(R245,'Live Medal Table'!$B$2:$B$94,Countries!$I$2:$I$72,FALSE)),FALSE))</f>
        <v>0</v>
      </c>
    </row>
    <row r="246" ht="15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29"/>
      <c r="M246" s="29"/>
      <c r="N246" s="29" t="str">
        <f t="array" ref="N246">IFERROR(IF(INDEX(Entries!$C$2:$C$47,31)="","",INDEX(Entries!$Q$2:$Q$47,31)),"")</f>
        <v/>
      </c>
      <c r="O246" s="29" t="str">
        <f t="array" ref="O246">IF(N246="","",IFERROR(INDEX(Entries!$E$2:$E$47,31),""))</f>
        <v/>
      </c>
      <c r="P246" s="29" t="str">
        <f>IF(N246="","","Tier4_Pick1")</f>
        <v/>
      </c>
      <c r="Q246" s="29" t="str">
        <f>IF(N246="","",4)</f>
        <v/>
      </c>
      <c r="R246" s="29" t="str">
        <f t="array" ref="R246">IF(N246="","",IFERROR(INDEX(Entries!$I$2:$I$47,31),""))</f>
        <v/>
      </c>
      <c r="S246" s="29" t="str">
        <f t="array" ref="S246">IF(R246="","",IFERROR(XLOOKUP(R246,'Live Medal Table'!$B$2:$B$94,'Live Medal Table'!$C$2:$C$94,"???"),"???"))</f>
        <v/>
      </c>
      <c r="T246" s="29">
        <f t="array" ref="T246">IF(R246="",0,IFERROR(XLOOKUP(R246,'Live Medal Table'!$B$2:$B$94,'Live Medal Table'!$F$2:$F$94,0),0))</f>
        <v>0</v>
      </c>
      <c r="U246" s="29">
        <f t="array" ref="U246">IF(R246="",0,IFERROR(XLOOKUP(R246,'Live Medal Table'!$B$2:$B$94,'Live Medal Table'!$G$2:$G$94,0),0))</f>
        <v>0</v>
      </c>
      <c r="V246" s="29">
        <f t="array" ref="V246">IF(R246="",0,IFERROR(XLOOKUP(R246,'Live Medal Table'!$B$2:$B$94,'Live Medal Table'!$H$2:$H$94,0),0))</f>
        <v>0</v>
      </c>
      <c r="W246" s="29">
        <f t="array" ref="W246">IF(R246="",0,IFERROR(XLOOKUP(R246,'Live Medal Table'!$B$2:$B$94,'Live Medal Table'!$I$2:$I$94,0),0))</f>
        <v>0</v>
      </c>
      <c r="X246" s="29">
        <f t="shared" si="1"/>
        <v>0</v>
      </c>
      <c r="Y246" s="29">
        <f t="shared" si="2"/>
        <v>0</v>
      </c>
      <c r="Z246" s="29">
        <f t="shared" si="3"/>
        <v>0</v>
      </c>
      <c r="AA246" s="29">
        <f t="shared" si="4"/>
        <v>0</v>
      </c>
      <c r="AB246" s="29" t="b">
        <f t="array" ref="AB246">IF(R246="",FALSE,IFERROR(AND(ISNUMBER(MATCH(R246,'Live Medal Table'!$B$2:$B$94,0)),XLOOKUP(R246,'Live Medal Table'!$B$2:$B$94,Countries!$I$2:$I$72,FALSE)),FALSE))</f>
        <v>0</v>
      </c>
    </row>
    <row r="247" ht="15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29"/>
      <c r="M247" s="29"/>
      <c r="N247" s="29" t="str">
        <f t="array" ref="N247">IFERROR(IF(INDEX(Entries!$C$2:$C$47,31)="","",INDEX(Entries!$Q$2:$Q$47,31)),"")</f>
        <v/>
      </c>
      <c r="O247" s="29" t="str">
        <f t="array" ref="O247">IF(N247="","",IFERROR(INDEX(Entries!$E$2:$E$47,31),""))</f>
        <v/>
      </c>
      <c r="P247" s="29" t="str">
        <f>IF(N247="","","Tier5_Pick1")</f>
        <v/>
      </c>
      <c r="Q247" s="29" t="str">
        <f>IF(N247="","",5)</f>
        <v/>
      </c>
      <c r="R247" s="29" t="str">
        <f t="array" ref="R247">IF(N247="","",IFERROR(INDEX(Entries!$J$2:$J$47,31),""))</f>
        <v/>
      </c>
      <c r="S247" s="29" t="str">
        <f t="array" ref="S247">IF(R247="","",IFERROR(XLOOKUP(R247,'Live Medal Table'!$B$2:$B$94,'Live Medal Table'!$C$2:$C$94,"???"),"???"))</f>
        <v/>
      </c>
      <c r="T247" s="29">
        <f t="array" ref="T247">IF(R247="",0,IFERROR(XLOOKUP(R247,'Live Medal Table'!$B$2:$B$94,'Live Medal Table'!$F$2:$F$94,0),0))</f>
        <v>0</v>
      </c>
      <c r="U247" s="29">
        <f t="array" ref="U247">IF(R247="",0,IFERROR(XLOOKUP(R247,'Live Medal Table'!$B$2:$B$94,'Live Medal Table'!$G$2:$G$94,0),0))</f>
        <v>0</v>
      </c>
      <c r="V247" s="29">
        <f t="array" ref="V247">IF(R247="",0,IFERROR(XLOOKUP(R247,'Live Medal Table'!$B$2:$B$94,'Live Medal Table'!$H$2:$H$94,0),0))</f>
        <v>0</v>
      </c>
      <c r="W247" s="29">
        <f t="array" ref="W247">IF(R247="",0,IFERROR(XLOOKUP(R247,'Live Medal Table'!$B$2:$B$94,'Live Medal Table'!$I$2:$I$94,0),0))</f>
        <v>0</v>
      </c>
      <c r="X247" s="29">
        <f t="shared" si="1"/>
        <v>0</v>
      </c>
      <c r="Y247" s="29">
        <f t="shared" si="2"/>
        <v>0</v>
      </c>
      <c r="Z247" s="29">
        <f t="shared" si="3"/>
        <v>0</v>
      </c>
      <c r="AA247" s="29">
        <f t="shared" si="4"/>
        <v>0</v>
      </c>
      <c r="AB247" s="29" t="b">
        <f t="array" ref="AB247">IF(R247="",FALSE,IFERROR(AND(ISNUMBER(MATCH(R247,'Live Medal Table'!$B$2:$B$94,0)),XLOOKUP(R247,'Live Medal Table'!$B$2:$B$94,Countries!$I$2:$I$72,FALSE)),FALSE))</f>
        <v>0</v>
      </c>
    </row>
    <row r="248" ht="15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29"/>
      <c r="M248" s="29"/>
      <c r="N248" s="29" t="str">
        <f t="array" ref="N248">IFERROR(IF(INDEX(Entries!$C$2:$C$47,31)="","",INDEX(Entries!$Q$2:$Q$47,31)),"")</f>
        <v/>
      </c>
      <c r="O248" s="29" t="str">
        <f t="array" ref="O248">IF(N248="","",IFERROR(INDEX(Entries!$E$2:$E$47,31),""))</f>
        <v/>
      </c>
      <c r="P248" s="29" t="str">
        <f>IF(N248="","","Tier6_Pick1")</f>
        <v/>
      </c>
      <c r="Q248" s="29" t="str">
        <f t="shared" ref="Q248:Q249" si="66">IF(N248="","",6)</f>
        <v/>
      </c>
      <c r="R248" s="29" t="str">
        <f t="array" ref="R248">IF(N248="","",IFERROR(INDEX(Entries!$O$2:$O$47,31),""))</f>
        <v/>
      </c>
      <c r="S248" s="29" t="str">
        <f t="array" ref="S248">IF(R248="","",IFERROR(XLOOKUP(R248,'Live Medal Table'!$B$2:$B$94,'Live Medal Table'!$C$2:$C$94,"???"),"???"))</f>
        <v/>
      </c>
      <c r="T248" s="29">
        <f t="array" ref="T248">IF(R248="",0,IFERROR(XLOOKUP(R248,'Live Medal Table'!$B$2:$B$94,'Live Medal Table'!$F$2:$F$94,0),0))</f>
        <v>0</v>
      </c>
      <c r="U248" s="29">
        <f t="array" ref="U248">IF(R248="",0,IFERROR(XLOOKUP(R248,'Live Medal Table'!$B$2:$B$94,'Live Medal Table'!$G$2:$G$94,0),0))</f>
        <v>0</v>
      </c>
      <c r="V248" s="29">
        <f t="array" ref="V248">IF(R248="",0,IFERROR(XLOOKUP(R248,'Live Medal Table'!$B$2:$B$94,'Live Medal Table'!$H$2:$H$94,0),0))</f>
        <v>0</v>
      </c>
      <c r="W248" s="29">
        <f t="array" ref="W248">IF(R248="",0,IFERROR(XLOOKUP(R248,'Live Medal Table'!$B$2:$B$94,'Live Medal Table'!$I$2:$I$94,0),0))</f>
        <v>0</v>
      </c>
      <c r="X248" s="29">
        <f t="shared" si="1"/>
        <v>0</v>
      </c>
      <c r="Y248" s="29">
        <f t="shared" si="2"/>
        <v>0</v>
      </c>
      <c r="Z248" s="29">
        <f t="shared" si="3"/>
        <v>0</v>
      </c>
      <c r="AA248" s="29">
        <f t="shared" si="4"/>
        <v>0</v>
      </c>
      <c r="AB248" s="29" t="b">
        <f t="array" ref="AB248">IF(R248="",FALSE,IFERROR(AND(ISNUMBER(MATCH(R248,'Live Medal Table'!$B$2:$B$94,0)),XLOOKUP(R248,'Live Medal Table'!$B$2:$B$94,Countries!$I$2:$I$72,FALSE)),FALSE))</f>
        <v>0</v>
      </c>
    </row>
    <row r="249" ht="15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29"/>
      <c r="M249" s="29"/>
      <c r="N249" s="29" t="str">
        <f t="array" ref="N249">IFERROR(IF(INDEX(Entries!$C$2:$C$47,31)="","",INDEX(Entries!$Q$2:$Q$47,31)),"")</f>
        <v/>
      </c>
      <c r="O249" s="29" t="str">
        <f t="array" ref="O249">IF(N249="","",IFERROR(INDEX(Entries!$E$2:$E$47,31),""))</f>
        <v/>
      </c>
      <c r="P249" s="29" t="str">
        <f>IF(N249="","","Tier6_Pick2")</f>
        <v/>
      </c>
      <c r="Q249" s="29" t="str">
        <f t="shared" si="66"/>
        <v/>
      </c>
      <c r="R249" s="29" t="str">
        <f t="array" ref="R249">IF(N249="","",IFERROR(INDEX(Entries!$P$2:$P$47,31),""))</f>
        <v/>
      </c>
      <c r="S249" s="29" t="str">
        <f t="array" ref="S249">IF(R249="","",IFERROR(XLOOKUP(R249,'Live Medal Table'!$B$2:$B$94,'Live Medal Table'!$C$2:$C$94,"???"),"???"))</f>
        <v/>
      </c>
      <c r="T249" s="29">
        <f t="array" ref="T249">IF(R249="",0,IFERROR(XLOOKUP(R249,'Live Medal Table'!$B$2:$B$94,'Live Medal Table'!$F$2:$F$94,0),0))</f>
        <v>0</v>
      </c>
      <c r="U249" s="29">
        <f t="array" ref="U249">IF(R249="",0,IFERROR(XLOOKUP(R249,'Live Medal Table'!$B$2:$B$94,'Live Medal Table'!$G$2:$G$94,0),0))</f>
        <v>0</v>
      </c>
      <c r="V249" s="29">
        <f t="array" ref="V249">IF(R249="",0,IFERROR(XLOOKUP(R249,'Live Medal Table'!$B$2:$B$94,'Live Medal Table'!$H$2:$H$94,0),0))</f>
        <v>0</v>
      </c>
      <c r="W249" s="29">
        <f t="array" ref="W249">IF(R249="",0,IFERROR(XLOOKUP(R249,'Live Medal Table'!$B$2:$B$94,'Live Medal Table'!$I$2:$I$94,0),0))</f>
        <v>0</v>
      </c>
      <c r="X249" s="29">
        <f t="shared" si="1"/>
        <v>0</v>
      </c>
      <c r="Y249" s="29">
        <f t="shared" si="2"/>
        <v>0</v>
      </c>
      <c r="Z249" s="29">
        <f t="shared" si="3"/>
        <v>0</v>
      </c>
      <c r="AA249" s="29">
        <f t="shared" si="4"/>
        <v>0</v>
      </c>
      <c r="AB249" s="29" t="b">
        <f t="array" ref="AB249">IF(R249="",FALSE,IFERROR(AND(ISNUMBER(MATCH(R249,'Live Medal Table'!$B$2:$B$94,0)),XLOOKUP(R249,'Live Medal Table'!$B$2:$B$94,Countries!$I$2:$I$72,FALSE)),FALSE))</f>
        <v>0</v>
      </c>
    </row>
    <row r="250" ht="15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29"/>
      <c r="M250" s="29"/>
      <c r="N250" s="29" t="str">
        <f t="array" ref="N250">IFERROR(IF(INDEX(Entries!$C$2:$C$47,32)="","",INDEX(Entries!$Q$2:$Q$47,32)),"")</f>
        <v/>
      </c>
      <c r="O250" s="29" t="str">
        <f t="array" ref="O250">IF(N250="","",IFERROR(INDEX(Entries!$E$2:$E$47,32),""))</f>
        <v/>
      </c>
      <c r="P250" s="29" t="str">
        <f>IF(N250="","","Tier1_Pick1")</f>
        <v/>
      </c>
      <c r="Q250" s="29" t="str">
        <f>IF(N250="","",1)</f>
        <v/>
      </c>
      <c r="R250" s="29" t="str">
        <f t="array" ref="R250">IF(N250="","",IFERROR(INDEX(Entries!$F$2:$F$47,32),""))</f>
        <v/>
      </c>
      <c r="S250" s="29" t="str">
        <f t="array" ref="S250">IF(R250="","",IFERROR(XLOOKUP(R250,'Live Medal Table'!$B$2:$B$94,'Live Medal Table'!$C$2:$C$94,"???"),"???"))</f>
        <v/>
      </c>
      <c r="T250" s="29">
        <f t="array" ref="T250">IF(R250="",0,IFERROR(XLOOKUP(R250,'Live Medal Table'!$B$2:$B$94,'Live Medal Table'!$F$2:$F$94,0),0))</f>
        <v>0</v>
      </c>
      <c r="U250" s="29">
        <f t="array" ref="U250">IF(R250="",0,IFERROR(XLOOKUP(R250,'Live Medal Table'!$B$2:$B$94,'Live Medal Table'!$G$2:$G$94,0),0))</f>
        <v>0</v>
      </c>
      <c r="V250" s="29">
        <f t="array" ref="V250">IF(R250="",0,IFERROR(XLOOKUP(R250,'Live Medal Table'!$B$2:$B$94,'Live Medal Table'!$H$2:$H$94,0),0))</f>
        <v>0</v>
      </c>
      <c r="W250" s="29">
        <f t="array" ref="W250">IF(R250="",0,IFERROR(XLOOKUP(R250,'Live Medal Table'!$B$2:$B$94,'Live Medal Table'!$I$2:$I$94,0),0))</f>
        <v>0</v>
      </c>
      <c r="X250" s="29">
        <f t="shared" si="1"/>
        <v>0</v>
      </c>
      <c r="Y250" s="29">
        <f t="shared" si="2"/>
        <v>0</v>
      </c>
      <c r="Z250" s="29">
        <f t="shared" si="3"/>
        <v>0</v>
      </c>
      <c r="AA250" s="29">
        <f t="shared" si="4"/>
        <v>0</v>
      </c>
      <c r="AB250" s="29" t="b">
        <f t="array" ref="AB250">IF(R250="",FALSE,IFERROR(AND(ISNUMBER(MATCH(R250,'Live Medal Table'!$B$2:$B$94,0)),XLOOKUP(R250,'Live Medal Table'!$B$2:$B$94,Countries!$I$2:$I$72,FALSE)),FALSE))</f>
        <v>0</v>
      </c>
    </row>
    <row r="251" ht="15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29"/>
      <c r="M251" s="29"/>
      <c r="N251" s="29" t="str">
        <f t="array" ref="N251">IFERROR(IF(INDEX(Entries!$C$2:$C$47,32)="","",INDEX(Entries!$Q$2:$Q$47,32)),"")</f>
        <v/>
      </c>
      <c r="O251" s="29" t="str">
        <f t="array" ref="O251">IF(N251="","",IFERROR(INDEX(Entries!$E$2:$E$47,32),""))</f>
        <v/>
      </c>
      <c r="P251" s="29" t="str">
        <f>IF(N251="","","Tier2_Pick1")</f>
        <v/>
      </c>
      <c r="Q251" s="29" t="str">
        <f t="shared" ref="Q251:Q252" si="67">IF(N251="","",2)</f>
        <v/>
      </c>
      <c r="R251" s="29" t="str">
        <f t="array" ref="R251">IF(N251="","",IFERROR(INDEX(Entries!$M$2:$M$47,32),""))</f>
        <v/>
      </c>
      <c r="S251" s="29" t="str">
        <f t="array" ref="S251">IF(R251="","",IFERROR(XLOOKUP(R251,'Live Medal Table'!$B$2:$B$94,'Live Medal Table'!$C$2:$C$94,"???"),"???"))</f>
        <v/>
      </c>
      <c r="T251" s="29">
        <f t="array" ref="T251">IF(R251="",0,IFERROR(XLOOKUP(R251,'Live Medal Table'!$B$2:$B$94,'Live Medal Table'!$F$2:$F$94,0),0))</f>
        <v>0</v>
      </c>
      <c r="U251" s="29">
        <f t="array" ref="U251">IF(R251="",0,IFERROR(XLOOKUP(R251,'Live Medal Table'!$B$2:$B$94,'Live Medal Table'!$G$2:$G$94,0),0))</f>
        <v>0</v>
      </c>
      <c r="V251" s="29">
        <f t="array" ref="V251">IF(R251="",0,IFERROR(XLOOKUP(R251,'Live Medal Table'!$B$2:$B$94,'Live Medal Table'!$H$2:$H$94,0),0))</f>
        <v>0</v>
      </c>
      <c r="W251" s="29">
        <f t="array" ref="W251">IF(R251="",0,IFERROR(XLOOKUP(R251,'Live Medal Table'!$B$2:$B$94,'Live Medal Table'!$I$2:$I$94,0),0))</f>
        <v>0</v>
      </c>
      <c r="X251" s="29">
        <f t="shared" si="1"/>
        <v>0</v>
      </c>
      <c r="Y251" s="29">
        <f t="shared" si="2"/>
        <v>0</v>
      </c>
      <c r="Z251" s="29">
        <f t="shared" si="3"/>
        <v>0</v>
      </c>
      <c r="AA251" s="29">
        <f t="shared" si="4"/>
        <v>0</v>
      </c>
      <c r="AB251" s="29" t="b">
        <f t="array" ref="AB251">IF(R251="",FALSE,IFERROR(AND(ISNUMBER(MATCH(R251,'Live Medal Table'!$B$2:$B$94,0)),XLOOKUP(R251,'Live Medal Table'!$B$2:$B$94,Countries!$I$2:$I$72,FALSE)),FALSE))</f>
        <v>0</v>
      </c>
    </row>
    <row r="252" ht="15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29"/>
      <c r="M252" s="29"/>
      <c r="N252" s="29" t="str">
        <f t="array" ref="N252">IFERROR(IF(INDEX(Entries!$C$2:$C$47,32)="","",INDEX(Entries!$Q$2:$Q$47,32)),"")</f>
        <v/>
      </c>
      <c r="O252" s="29" t="str">
        <f t="array" ref="O252">IF(N252="","",IFERROR(INDEX(Entries!$E$2:$E$47,32),""))</f>
        <v/>
      </c>
      <c r="P252" s="29" t="str">
        <f>IF(N252="","","Tier2_Pick2")</f>
        <v/>
      </c>
      <c r="Q252" s="29" t="str">
        <f t="shared" si="67"/>
        <v/>
      </c>
      <c r="R252" s="29" t="str">
        <f t="array" ref="R252">IF(N252="","",IFERROR(INDEX(Entries!$N$2:$N$47,32),""))</f>
        <v/>
      </c>
      <c r="S252" s="29" t="str">
        <f t="array" ref="S252">IF(R252="","",IFERROR(XLOOKUP(R252,'Live Medal Table'!$B$2:$B$94,'Live Medal Table'!$C$2:$C$94,"???"),"???"))</f>
        <v/>
      </c>
      <c r="T252" s="29">
        <f t="array" ref="T252">IF(R252="",0,IFERROR(XLOOKUP(R252,'Live Medal Table'!$B$2:$B$94,'Live Medal Table'!$F$2:$F$94,0),0))</f>
        <v>0</v>
      </c>
      <c r="U252" s="29">
        <f t="array" ref="U252">IF(R252="",0,IFERROR(XLOOKUP(R252,'Live Medal Table'!$B$2:$B$94,'Live Medal Table'!$G$2:$G$94,0),0))</f>
        <v>0</v>
      </c>
      <c r="V252" s="29">
        <f t="array" ref="V252">IF(R252="",0,IFERROR(XLOOKUP(R252,'Live Medal Table'!$B$2:$B$94,'Live Medal Table'!$H$2:$H$94,0),0))</f>
        <v>0</v>
      </c>
      <c r="W252" s="29">
        <f t="array" ref="W252">IF(R252="",0,IFERROR(XLOOKUP(R252,'Live Medal Table'!$B$2:$B$94,'Live Medal Table'!$I$2:$I$94,0),0))</f>
        <v>0</v>
      </c>
      <c r="X252" s="29">
        <f t="shared" si="1"/>
        <v>0</v>
      </c>
      <c r="Y252" s="29">
        <f t="shared" si="2"/>
        <v>0</v>
      </c>
      <c r="Z252" s="29">
        <f t="shared" si="3"/>
        <v>0</v>
      </c>
      <c r="AA252" s="29">
        <f t="shared" si="4"/>
        <v>0</v>
      </c>
      <c r="AB252" s="29" t="b">
        <f t="array" ref="AB252">IF(R252="",FALSE,IFERROR(AND(ISNUMBER(MATCH(R252,'Live Medal Table'!$B$2:$B$94,0)),XLOOKUP(R252,'Live Medal Table'!$B$2:$B$94,Countries!$I$2:$I$72,FALSE)),FALSE))</f>
        <v>0</v>
      </c>
    </row>
    <row r="253" ht="15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29"/>
      <c r="M253" s="29"/>
      <c r="N253" s="29" t="str">
        <f t="array" ref="N253">IFERROR(IF(INDEX(Entries!$C$2:$C$47,32)="","",INDEX(Entries!$Q$2:$Q$47,32)),"")</f>
        <v/>
      </c>
      <c r="O253" s="29" t="str">
        <f t="array" ref="O253">IF(N253="","",IFERROR(INDEX(Entries!$E$2:$E$47,32),""))</f>
        <v/>
      </c>
      <c r="P253" s="29" t="str">
        <f>IF(N253="","","Tier3_Pick1")</f>
        <v/>
      </c>
      <c r="Q253" s="29" t="str">
        <f>IF(N253="","",3)</f>
        <v/>
      </c>
      <c r="R253" s="29" t="str">
        <f t="array" ref="R253">IF(N253="","",IFERROR(INDEX(Entries!$H$2:$H$47,32),""))</f>
        <v/>
      </c>
      <c r="S253" s="29" t="str">
        <f t="array" ref="S253">IF(R253="","",IFERROR(XLOOKUP(R253,'Live Medal Table'!$B$2:$B$94,'Live Medal Table'!$C$2:$C$94,"???"),"???"))</f>
        <v/>
      </c>
      <c r="T253" s="29">
        <f t="array" ref="T253">IF(R253="",0,IFERROR(XLOOKUP(R253,'Live Medal Table'!$B$2:$B$94,'Live Medal Table'!$F$2:$F$94,0),0))</f>
        <v>0</v>
      </c>
      <c r="U253" s="29">
        <f t="array" ref="U253">IF(R253="",0,IFERROR(XLOOKUP(R253,'Live Medal Table'!$B$2:$B$94,'Live Medal Table'!$G$2:$G$94,0),0))</f>
        <v>0</v>
      </c>
      <c r="V253" s="29">
        <f t="array" ref="V253">IF(R253="",0,IFERROR(XLOOKUP(R253,'Live Medal Table'!$B$2:$B$94,'Live Medal Table'!$H$2:$H$94,0),0))</f>
        <v>0</v>
      </c>
      <c r="W253" s="29">
        <f t="array" ref="W253">IF(R253="",0,IFERROR(XLOOKUP(R253,'Live Medal Table'!$B$2:$B$94,'Live Medal Table'!$I$2:$I$94,0),0))</f>
        <v>0</v>
      </c>
      <c r="X253" s="29">
        <f t="shared" si="1"/>
        <v>0</v>
      </c>
      <c r="Y253" s="29">
        <f t="shared" si="2"/>
        <v>0</v>
      </c>
      <c r="Z253" s="29">
        <f t="shared" si="3"/>
        <v>0</v>
      </c>
      <c r="AA253" s="29">
        <f t="shared" si="4"/>
        <v>0</v>
      </c>
      <c r="AB253" s="29" t="b">
        <f t="array" ref="AB253">IF(R253="",FALSE,IFERROR(AND(ISNUMBER(MATCH(R253,'Live Medal Table'!$B$2:$B$94,0)),XLOOKUP(R253,'Live Medal Table'!$B$2:$B$94,Countries!$I$2:$I$72,FALSE)),FALSE))</f>
        <v>0</v>
      </c>
    </row>
    <row r="254" ht="15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29"/>
      <c r="M254" s="29"/>
      <c r="N254" s="29" t="str">
        <f t="array" ref="N254">IFERROR(IF(INDEX(Entries!$C$2:$C$47,32)="","",INDEX(Entries!$Q$2:$Q$47,32)),"")</f>
        <v/>
      </c>
      <c r="O254" s="29" t="str">
        <f t="array" ref="O254">IF(N254="","",IFERROR(INDEX(Entries!$E$2:$E$47,32),""))</f>
        <v/>
      </c>
      <c r="P254" s="29" t="str">
        <f>IF(N254="","","Tier4_Pick1")</f>
        <v/>
      </c>
      <c r="Q254" s="29" t="str">
        <f>IF(N254="","",4)</f>
        <v/>
      </c>
      <c r="R254" s="29" t="str">
        <f t="array" ref="R254">IF(N254="","",IFERROR(INDEX(Entries!$I$2:$I$47,32),""))</f>
        <v/>
      </c>
      <c r="S254" s="29" t="str">
        <f t="array" ref="S254">IF(R254="","",IFERROR(XLOOKUP(R254,'Live Medal Table'!$B$2:$B$94,'Live Medal Table'!$C$2:$C$94,"???"),"???"))</f>
        <v/>
      </c>
      <c r="T254" s="29">
        <f t="array" ref="T254">IF(R254="",0,IFERROR(XLOOKUP(R254,'Live Medal Table'!$B$2:$B$94,'Live Medal Table'!$F$2:$F$94,0),0))</f>
        <v>0</v>
      </c>
      <c r="U254" s="29">
        <f t="array" ref="U254">IF(R254="",0,IFERROR(XLOOKUP(R254,'Live Medal Table'!$B$2:$B$94,'Live Medal Table'!$G$2:$G$94,0),0))</f>
        <v>0</v>
      </c>
      <c r="V254" s="29">
        <f t="array" ref="V254">IF(R254="",0,IFERROR(XLOOKUP(R254,'Live Medal Table'!$B$2:$B$94,'Live Medal Table'!$H$2:$H$94,0),0))</f>
        <v>0</v>
      </c>
      <c r="W254" s="29">
        <f t="array" ref="W254">IF(R254="",0,IFERROR(XLOOKUP(R254,'Live Medal Table'!$B$2:$B$94,'Live Medal Table'!$I$2:$I$94,0),0))</f>
        <v>0</v>
      </c>
      <c r="X254" s="29">
        <f t="shared" si="1"/>
        <v>0</v>
      </c>
      <c r="Y254" s="29">
        <f t="shared" si="2"/>
        <v>0</v>
      </c>
      <c r="Z254" s="29">
        <f t="shared" si="3"/>
        <v>0</v>
      </c>
      <c r="AA254" s="29">
        <f t="shared" si="4"/>
        <v>0</v>
      </c>
      <c r="AB254" s="29" t="b">
        <f t="array" ref="AB254">IF(R254="",FALSE,IFERROR(AND(ISNUMBER(MATCH(R254,'Live Medal Table'!$B$2:$B$94,0)),XLOOKUP(R254,'Live Medal Table'!$B$2:$B$94,Countries!$I$2:$I$72,FALSE)),FALSE))</f>
        <v>0</v>
      </c>
    </row>
    <row r="255" ht="15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29"/>
      <c r="M255" s="29"/>
      <c r="N255" s="29" t="str">
        <f t="array" ref="N255">IFERROR(IF(INDEX(Entries!$C$2:$C$47,32)="","",INDEX(Entries!$Q$2:$Q$47,32)),"")</f>
        <v/>
      </c>
      <c r="O255" s="29" t="str">
        <f t="array" ref="O255">IF(N255="","",IFERROR(INDEX(Entries!$E$2:$E$47,32),""))</f>
        <v/>
      </c>
      <c r="P255" s="29" t="str">
        <f>IF(N255="","","Tier5_Pick1")</f>
        <v/>
      </c>
      <c r="Q255" s="29" t="str">
        <f>IF(N255="","",5)</f>
        <v/>
      </c>
      <c r="R255" s="29" t="str">
        <f t="array" ref="R255">IF(N255="","",IFERROR(INDEX(Entries!$J$2:$J$47,32),""))</f>
        <v/>
      </c>
      <c r="S255" s="29" t="str">
        <f t="array" ref="S255">IF(R255="","",IFERROR(XLOOKUP(R255,'Live Medal Table'!$B$2:$B$94,'Live Medal Table'!$C$2:$C$94,"???"),"???"))</f>
        <v/>
      </c>
      <c r="T255" s="29">
        <f t="array" ref="T255">IF(R255="",0,IFERROR(XLOOKUP(R255,'Live Medal Table'!$B$2:$B$94,'Live Medal Table'!$F$2:$F$94,0),0))</f>
        <v>0</v>
      </c>
      <c r="U255" s="29">
        <f t="array" ref="U255">IF(R255="",0,IFERROR(XLOOKUP(R255,'Live Medal Table'!$B$2:$B$94,'Live Medal Table'!$G$2:$G$94,0),0))</f>
        <v>0</v>
      </c>
      <c r="V255" s="29">
        <f t="array" ref="V255">IF(R255="",0,IFERROR(XLOOKUP(R255,'Live Medal Table'!$B$2:$B$94,'Live Medal Table'!$H$2:$H$94,0),0))</f>
        <v>0</v>
      </c>
      <c r="W255" s="29">
        <f t="array" ref="W255">IF(R255="",0,IFERROR(XLOOKUP(R255,'Live Medal Table'!$B$2:$B$94,'Live Medal Table'!$I$2:$I$94,0),0))</f>
        <v>0</v>
      </c>
      <c r="X255" s="29">
        <f t="shared" si="1"/>
        <v>0</v>
      </c>
      <c r="Y255" s="29">
        <f t="shared" si="2"/>
        <v>0</v>
      </c>
      <c r="Z255" s="29">
        <f t="shared" si="3"/>
        <v>0</v>
      </c>
      <c r="AA255" s="29">
        <f t="shared" si="4"/>
        <v>0</v>
      </c>
      <c r="AB255" s="29" t="b">
        <f t="array" ref="AB255">IF(R255="",FALSE,IFERROR(AND(ISNUMBER(MATCH(R255,'Live Medal Table'!$B$2:$B$94,0)),XLOOKUP(R255,'Live Medal Table'!$B$2:$B$94,Countries!$I$2:$I$72,FALSE)),FALSE))</f>
        <v>0</v>
      </c>
    </row>
    <row r="256" ht="15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29"/>
      <c r="M256" s="29"/>
      <c r="N256" s="29" t="str">
        <f t="array" ref="N256">IFERROR(IF(INDEX(Entries!$C$2:$C$47,32)="","",INDEX(Entries!$Q$2:$Q$47,32)),"")</f>
        <v/>
      </c>
      <c r="O256" s="29" t="str">
        <f t="array" ref="O256">IF(N256="","",IFERROR(INDEX(Entries!$E$2:$E$47,32),""))</f>
        <v/>
      </c>
      <c r="P256" s="29" t="str">
        <f>IF(N256="","","Tier6_Pick1")</f>
        <v/>
      </c>
      <c r="Q256" s="29" t="str">
        <f t="shared" ref="Q256:Q257" si="68">IF(N256="","",6)</f>
        <v/>
      </c>
      <c r="R256" s="29" t="str">
        <f t="array" ref="R256">IF(N256="","",IFERROR(INDEX(Entries!$O$2:$O$47,32),""))</f>
        <v/>
      </c>
      <c r="S256" s="29" t="str">
        <f t="array" ref="S256">IF(R256="","",IFERROR(XLOOKUP(R256,'Live Medal Table'!$B$2:$B$94,'Live Medal Table'!$C$2:$C$94,"???"),"???"))</f>
        <v/>
      </c>
      <c r="T256" s="29">
        <f t="array" ref="T256">IF(R256="",0,IFERROR(XLOOKUP(R256,'Live Medal Table'!$B$2:$B$94,'Live Medal Table'!$F$2:$F$94,0),0))</f>
        <v>0</v>
      </c>
      <c r="U256" s="29">
        <f t="array" ref="U256">IF(R256="",0,IFERROR(XLOOKUP(R256,'Live Medal Table'!$B$2:$B$94,'Live Medal Table'!$G$2:$G$94,0),0))</f>
        <v>0</v>
      </c>
      <c r="V256" s="29">
        <f t="array" ref="V256">IF(R256="",0,IFERROR(XLOOKUP(R256,'Live Medal Table'!$B$2:$B$94,'Live Medal Table'!$H$2:$H$94,0),0))</f>
        <v>0</v>
      </c>
      <c r="W256" s="29">
        <f t="array" ref="W256">IF(R256="",0,IFERROR(XLOOKUP(R256,'Live Medal Table'!$B$2:$B$94,'Live Medal Table'!$I$2:$I$94,0),0))</f>
        <v>0</v>
      </c>
      <c r="X256" s="29">
        <f t="shared" si="1"/>
        <v>0</v>
      </c>
      <c r="Y256" s="29">
        <f t="shared" si="2"/>
        <v>0</v>
      </c>
      <c r="Z256" s="29">
        <f t="shared" si="3"/>
        <v>0</v>
      </c>
      <c r="AA256" s="29">
        <f t="shared" si="4"/>
        <v>0</v>
      </c>
      <c r="AB256" s="29" t="b">
        <f t="array" ref="AB256">IF(R256="",FALSE,IFERROR(AND(ISNUMBER(MATCH(R256,'Live Medal Table'!$B$2:$B$94,0)),XLOOKUP(R256,'Live Medal Table'!$B$2:$B$94,Countries!$I$2:$I$72,FALSE)),FALSE))</f>
        <v>0</v>
      </c>
    </row>
    <row r="257" ht="15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29"/>
      <c r="M257" s="29"/>
      <c r="N257" s="29" t="str">
        <f t="array" ref="N257">IFERROR(IF(INDEX(Entries!$C$2:$C$47,32)="","",INDEX(Entries!$Q$2:$Q$47,32)),"")</f>
        <v/>
      </c>
      <c r="O257" s="29" t="str">
        <f t="array" ref="O257">IF(N257="","",IFERROR(INDEX(Entries!$E$2:$E$47,32),""))</f>
        <v/>
      </c>
      <c r="P257" s="29" t="str">
        <f>IF(N257="","","Tier6_Pick2")</f>
        <v/>
      </c>
      <c r="Q257" s="29" t="str">
        <f t="shared" si="68"/>
        <v/>
      </c>
      <c r="R257" s="29" t="str">
        <f t="array" ref="R257">IF(N257="","",IFERROR(INDEX(Entries!$P$2:$P$47,32),""))</f>
        <v/>
      </c>
      <c r="S257" s="29" t="str">
        <f t="array" ref="S257">IF(R257="","",IFERROR(XLOOKUP(R257,'Live Medal Table'!$B$2:$B$94,'Live Medal Table'!$C$2:$C$94,"???"),"???"))</f>
        <v/>
      </c>
      <c r="T257" s="29">
        <f t="array" ref="T257">IF(R257="",0,IFERROR(XLOOKUP(R257,'Live Medal Table'!$B$2:$B$94,'Live Medal Table'!$F$2:$F$94,0),0))</f>
        <v>0</v>
      </c>
      <c r="U257" s="29">
        <f t="array" ref="U257">IF(R257="",0,IFERROR(XLOOKUP(R257,'Live Medal Table'!$B$2:$B$94,'Live Medal Table'!$G$2:$G$94,0),0))</f>
        <v>0</v>
      </c>
      <c r="V257" s="29">
        <f t="array" ref="V257">IF(R257="",0,IFERROR(XLOOKUP(R257,'Live Medal Table'!$B$2:$B$94,'Live Medal Table'!$H$2:$H$94,0),0))</f>
        <v>0</v>
      </c>
      <c r="W257" s="29">
        <f t="array" ref="W257">IF(R257="",0,IFERROR(XLOOKUP(R257,'Live Medal Table'!$B$2:$B$94,'Live Medal Table'!$I$2:$I$94,0),0))</f>
        <v>0</v>
      </c>
      <c r="X257" s="29">
        <f t="shared" si="1"/>
        <v>0</v>
      </c>
      <c r="Y257" s="29">
        <f t="shared" si="2"/>
        <v>0</v>
      </c>
      <c r="Z257" s="29">
        <f t="shared" si="3"/>
        <v>0</v>
      </c>
      <c r="AA257" s="29">
        <f t="shared" si="4"/>
        <v>0</v>
      </c>
      <c r="AB257" s="29" t="b">
        <f t="array" ref="AB257">IF(R257="",FALSE,IFERROR(AND(ISNUMBER(MATCH(R257,'Live Medal Table'!$B$2:$B$94,0)),XLOOKUP(R257,'Live Medal Table'!$B$2:$B$94,Countries!$I$2:$I$72,FALSE)),FALSE))</f>
        <v>0</v>
      </c>
    </row>
    <row r="258" ht="15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29"/>
      <c r="M258" s="29"/>
      <c r="N258" s="29" t="str">
        <f t="array" ref="N258">IFERROR(IF(INDEX(Entries!$C$2:$C$47,33)="","",INDEX(Entries!$Q$2:$Q$47,33)),"")</f>
        <v/>
      </c>
      <c r="O258" s="29" t="str">
        <f t="array" ref="O258">IF(N258="","",IFERROR(INDEX(Entries!$E$2:$E$47,33),""))</f>
        <v/>
      </c>
      <c r="P258" s="29" t="str">
        <f>IF(N258="","","Tier1_Pick1")</f>
        <v/>
      </c>
      <c r="Q258" s="29" t="str">
        <f>IF(N258="","",1)</f>
        <v/>
      </c>
      <c r="R258" s="29" t="str">
        <f t="array" ref="R258">IF(N258="","",IFERROR(INDEX(Entries!$F$2:$F$47,33),""))</f>
        <v/>
      </c>
      <c r="S258" s="29" t="str">
        <f t="array" ref="S258">IF(R258="","",IFERROR(XLOOKUP(R258,'Live Medal Table'!$B$2:$B$94,'Live Medal Table'!$C$2:$C$94,"???"),"???"))</f>
        <v/>
      </c>
      <c r="T258" s="29">
        <f t="array" ref="T258">IF(R258="",0,IFERROR(XLOOKUP(R258,'Live Medal Table'!$B$2:$B$94,'Live Medal Table'!$F$2:$F$94,0),0))</f>
        <v>0</v>
      </c>
      <c r="U258" s="29">
        <f t="array" ref="U258">IF(R258="",0,IFERROR(XLOOKUP(R258,'Live Medal Table'!$B$2:$B$94,'Live Medal Table'!$G$2:$G$94,0),0))</f>
        <v>0</v>
      </c>
      <c r="V258" s="29">
        <f t="array" ref="V258">IF(R258="",0,IFERROR(XLOOKUP(R258,'Live Medal Table'!$B$2:$B$94,'Live Medal Table'!$H$2:$H$94,0),0))</f>
        <v>0</v>
      </c>
      <c r="W258" s="29">
        <f t="array" ref="W258">IF(R258="",0,IFERROR(XLOOKUP(R258,'Live Medal Table'!$B$2:$B$94,'Live Medal Table'!$I$2:$I$94,0),0))</f>
        <v>0</v>
      </c>
      <c r="X258" s="29">
        <f t="shared" si="1"/>
        <v>0</v>
      </c>
      <c r="Y258" s="29">
        <f t="shared" si="2"/>
        <v>0</v>
      </c>
      <c r="Z258" s="29">
        <f t="shared" si="3"/>
        <v>0</v>
      </c>
      <c r="AA258" s="29">
        <f t="shared" si="4"/>
        <v>0</v>
      </c>
      <c r="AB258" s="29" t="b">
        <f t="array" ref="AB258">IF(R258="",FALSE,IFERROR(AND(ISNUMBER(MATCH(R258,'Live Medal Table'!$B$2:$B$94,0)),XLOOKUP(R258,'Live Medal Table'!$B$2:$B$94,Countries!$I$2:$I$72,FALSE)),FALSE))</f>
        <v>0</v>
      </c>
    </row>
    <row r="259" ht="15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29"/>
      <c r="M259" s="29"/>
      <c r="N259" s="29" t="str">
        <f t="array" ref="N259">IFERROR(IF(INDEX(Entries!$C$2:$C$47,33)="","",INDEX(Entries!$Q$2:$Q$47,33)),"")</f>
        <v/>
      </c>
      <c r="O259" s="29" t="str">
        <f t="array" ref="O259">IF(N259="","",IFERROR(INDEX(Entries!$E$2:$E$47,33),""))</f>
        <v/>
      </c>
      <c r="P259" s="29" t="str">
        <f>IF(N259="","","Tier2_Pick1")</f>
        <v/>
      </c>
      <c r="Q259" s="29" t="str">
        <f t="shared" ref="Q259:Q260" si="69">IF(N259="","",2)</f>
        <v/>
      </c>
      <c r="R259" s="29" t="str">
        <f t="array" ref="R259">IF(N259="","",IFERROR(INDEX(Entries!$M$2:$M$47,33),""))</f>
        <v/>
      </c>
      <c r="S259" s="29" t="str">
        <f t="array" ref="S259">IF(R259="","",IFERROR(XLOOKUP(R259,'Live Medal Table'!$B$2:$B$94,'Live Medal Table'!$C$2:$C$94,"???"),"???"))</f>
        <v/>
      </c>
      <c r="T259" s="29">
        <f t="array" ref="T259">IF(R259="",0,IFERROR(XLOOKUP(R259,'Live Medal Table'!$B$2:$B$94,'Live Medal Table'!$F$2:$F$94,0),0))</f>
        <v>0</v>
      </c>
      <c r="U259" s="29">
        <f t="array" ref="U259">IF(R259="",0,IFERROR(XLOOKUP(R259,'Live Medal Table'!$B$2:$B$94,'Live Medal Table'!$G$2:$G$94,0),0))</f>
        <v>0</v>
      </c>
      <c r="V259" s="29">
        <f t="array" ref="V259">IF(R259="",0,IFERROR(XLOOKUP(R259,'Live Medal Table'!$B$2:$B$94,'Live Medal Table'!$H$2:$H$94,0),0))</f>
        <v>0</v>
      </c>
      <c r="W259" s="29">
        <f t="array" ref="W259">IF(R259="",0,IFERROR(XLOOKUP(R259,'Live Medal Table'!$B$2:$B$94,'Live Medal Table'!$I$2:$I$94,0),0))</f>
        <v>0</v>
      </c>
      <c r="X259" s="29">
        <f t="shared" si="1"/>
        <v>0</v>
      </c>
      <c r="Y259" s="29">
        <f t="shared" si="2"/>
        <v>0</v>
      </c>
      <c r="Z259" s="29">
        <f t="shared" si="3"/>
        <v>0</v>
      </c>
      <c r="AA259" s="29">
        <f t="shared" si="4"/>
        <v>0</v>
      </c>
      <c r="AB259" s="29" t="b">
        <f t="array" ref="AB259">IF(R259="",FALSE,IFERROR(AND(ISNUMBER(MATCH(R259,'Live Medal Table'!$B$2:$B$94,0)),XLOOKUP(R259,'Live Medal Table'!$B$2:$B$94,Countries!$I$2:$I$72,FALSE)),FALSE))</f>
        <v>0</v>
      </c>
    </row>
    <row r="260" ht="15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29"/>
      <c r="M260" s="29"/>
      <c r="N260" s="29" t="str">
        <f t="array" ref="N260">IFERROR(IF(INDEX(Entries!$C$2:$C$47,33)="","",INDEX(Entries!$Q$2:$Q$47,33)),"")</f>
        <v/>
      </c>
      <c r="O260" s="29" t="str">
        <f t="array" ref="O260">IF(N260="","",IFERROR(INDEX(Entries!$E$2:$E$47,33),""))</f>
        <v/>
      </c>
      <c r="P260" s="29" t="str">
        <f>IF(N260="","","Tier2_Pick2")</f>
        <v/>
      </c>
      <c r="Q260" s="29" t="str">
        <f t="shared" si="69"/>
        <v/>
      </c>
      <c r="R260" s="29" t="str">
        <f t="array" ref="R260">IF(N260="","",IFERROR(INDEX(Entries!$N$2:$N$47,33),""))</f>
        <v/>
      </c>
      <c r="S260" s="29" t="str">
        <f t="array" ref="S260">IF(R260="","",IFERROR(XLOOKUP(R260,'Live Medal Table'!$B$2:$B$94,'Live Medal Table'!$C$2:$C$94,"???"),"???"))</f>
        <v/>
      </c>
      <c r="T260" s="29">
        <f t="array" ref="T260">IF(R260="",0,IFERROR(XLOOKUP(R260,'Live Medal Table'!$B$2:$B$94,'Live Medal Table'!$F$2:$F$94,0),0))</f>
        <v>0</v>
      </c>
      <c r="U260" s="29">
        <f t="array" ref="U260">IF(R260="",0,IFERROR(XLOOKUP(R260,'Live Medal Table'!$B$2:$B$94,'Live Medal Table'!$G$2:$G$94,0),0))</f>
        <v>0</v>
      </c>
      <c r="V260" s="29">
        <f t="array" ref="V260">IF(R260="",0,IFERROR(XLOOKUP(R260,'Live Medal Table'!$B$2:$B$94,'Live Medal Table'!$H$2:$H$94,0),0))</f>
        <v>0</v>
      </c>
      <c r="W260" s="29">
        <f t="array" ref="W260">IF(R260="",0,IFERROR(XLOOKUP(R260,'Live Medal Table'!$B$2:$B$94,'Live Medal Table'!$I$2:$I$94,0),0))</f>
        <v>0</v>
      </c>
      <c r="X260" s="29">
        <f t="shared" si="1"/>
        <v>0</v>
      </c>
      <c r="Y260" s="29">
        <f t="shared" si="2"/>
        <v>0</v>
      </c>
      <c r="Z260" s="29">
        <f t="shared" si="3"/>
        <v>0</v>
      </c>
      <c r="AA260" s="29">
        <f t="shared" si="4"/>
        <v>0</v>
      </c>
      <c r="AB260" s="29" t="b">
        <f t="array" ref="AB260">IF(R260="",FALSE,IFERROR(AND(ISNUMBER(MATCH(R260,'Live Medal Table'!$B$2:$B$94,0)),XLOOKUP(R260,'Live Medal Table'!$B$2:$B$94,Countries!$I$2:$I$72,FALSE)),FALSE))</f>
        <v>0</v>
      </c>
    </row>
    <row r="261" ht="15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29"/>
      <c r="M261" s="29"/>
      <c r="N261" s="29" t="str">
        <f t="array" ref="N261">IFERROR(IF(INDEX(Entries!$C$2:$C$47,33)="","",INDEX(Entries!$Q$2:$Q$47,33)),"")</f>
        <v/>
      </c>
      <c r="O261" s="29" t="str">
        <f t="array" ref="O261">IF(N261="","",IFERROR(INDEX(Entries!$E$2:$E$47,33),""))</f>
        <v/>
      </c>
      <c r="P261" s="29" t="str">
        <f>IF(N261="","","Tier3_Pick1")</f>
        <v/>
      </c>
      <c r="Q261" s="29" t="str">
        <f>IF(N261="","",3)</f>
        <v/>
      </c>
      <c r="R261" s="29" t="str">
        <f t="array" ref="R261">IF(N261="","",IFERROR(INDEX(Entries!$H$2:$H$47,33),""))</f>
        <v/>
      </c>
      <c r="S261" s="29" t="str">
        <f t="array" ref="S261">IF(R261="","",IFERROR(XLOOKUP(R261,'Live Medal Table'!$B$2:$B$94,'Live Medal Table'!$C$2:$C$94,"???"),"???"))</f>
        <v/>
      </c>
      <c r="T261" s="29">
        <f t="array" ref="T261">IF(R261="",0,IFERROR(XLOOKUP(R261,'Live Medal Table'!$B$2:$B$94,'Live Medal Table'!$F$2:$F$94,0),0))</f>
        <v>0</v>
      </c>
      <c r="U261" s="29">
        <f t="array" ref="U261">IF(R261="",0,IFERROR(XLOOKUP(R261,'Live Medal Table'!$B$2:$B$94,'Live Medal Table'!$G$2:$G$94,0),0))</f>
        <v>0</v>
      </c>
      <c r="V261" s="29">
        <f t="array" ref="V261">IF(R261="",0,IFERROR(XLOOKUP(R261,'Live Medal Table'!$B$2:$B$94,'Live Medal Table'!$H$2:$H$94,0),0))</f>
        <v>0</v>
      </c>
      <c r="W261" s="29">
        <f t="array" ref="W261">IF(R261="",0,IFERROR(XLOOKUP(R261,'Live Medal Table'!$B$2:$B$94,'Live Medal Table'!$I$2:$I$94,0),0))</f>
        <v>0</v>
      </c>
      <c r="X261" s="29">
        <f t="shared" si="1"/>
        <v>0</v>
      </c>
      <c r="Y261" s="29">
        <f t="shared" si="2"/>
        <v>0</v>
      </c>
      <c r="Z261" s="29">
        <f t="shared" si="3"/>
        <v>0</v>
      </c>
      <c r="AA261" s="29">
        <f t="shared" si="4"/>
        <v>0</v>
      </c>
      <c r="AB261" s="29" t="b">
        <f t="array" ref="AB261">IF(R261="",FALSE,IFERROR(AND(ISNUMBER(MATCH(R261,'Live Medal Table'!$B$2:$B$94,0)),XLOOKUP(R261,'Live Medal Table'!$B$2:$B$94,Countries!$I$2:$I$72,FALSE)),FALSE))</f>
        <v>0</v>
      </c>
    </row>
    <row r="262" ht="15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29"/>
      <c r="M262" s="29"/>
      <c r="N262" s="29" t="str">
        <f t="array" ref="N262">IFERROR(IF(INDEX(Entries!$C$2:$C$47,33)="","",INDEX(Entries!$Q$2:$Q$47,33)),"")</f>
        <v/>
      </c>
      <c r="O262" s="29" t="str">
        <f t="array" ref="O262">IF(N262="","",IFERROR(INDEX(Entries!$E$2:$E$47,33),""))</f>
        <v/>
      </c>
      <c r="P262" s="29" t="str">
        <f>IF(N262="","","Tier4_Pick1")</f>
        <v/>
      </c>
      <c r="Q262" s="29" t="str">
        <f>IF(N262="","",4)</f>
        <v/>
      </c>
      <c r="R262" s="29" t="str">
        <f t="array" ref="R262">IF(N262="","",IFERROR(INDEX(Entries!$I$2:$I$47,33),""))</f>
        <v/>
      </c>
      <c r="S262" s="29" t="str">
        <f t="array" ref="S262">IF(R262="","",IFERROR(XLOOKUP(R262,'Live Medal Table'!$B$2:$B$94,'Live Medal Table'!$C$2:$C$94,"???"),"???"))</f>
        <v/>
      </c>
      <c r="T262" s="29">
        <f t="array" ref="T262">IF(R262="",0,IFERROR(XLOOKUP(R262,'Live Medal Table'!$B$2:$B$94,'Live Medal Table'!$F$2:$F$94,0),0))</f>
        <v>0</v>
      </c>
      <c r="U262" s="29">
        <f t="array" ref="U262">IF(R262="",0,IFERROR(XLOOKUP(R262,'Live Medal Table'!$B$2:$B$94,'Live Medal Table'!$G$2:$G$94,0),0))</f>
        <v>0</v>
      </c>
      <c r="V262" s="29">
        <f t="array" ref="V262">IF(R262="",0,IFERROR(XLOOKUP(R262,'Live Medal Table'!$B$2:$B$94,'Live Medal Table'!$H$2:$H$94,0),0))</f>
        <v>0</v>
      </c>
      <c r="W262" s="29">
        <f t="array" ref="W262">IF(R262="",0,IFERROR(XLOOKUP(R262,'Live Medal Table'!$B$2:$B$94,'Live Medal Table'!$I$2:$I$94,0),0))</f>
        <v>0</v>
      </c>
      <c r="X262" s="29">
        <f t="shared" si="1"/>
        <v>0</v>
      </c>
      <c r="Y262" s="29">
        <f t="shared" si="2"/>
        <v>0</v>
      </c>
      <c r="Z262" s="29">
        <f t="shared" si="3"/>
        <v>0</v>
      </c>
      <c r="AA262" s="29">
        <f t="shared" si="4"/>
        <v>0</v>
      </c>
      <c r="AB262" s="29" t="b">
        <f t="array" ref="AB262">IF(R262="",FALSE,IFERROR(AND(ISNUMBER(MATCH(R262,'Live Medal Table'!$B$2:$B$94,0)),XLOOKUP(R262,'Live Medal Table'!$B$2:$B$94,Countries!$I$2:$I$72,FALSE)),FALSE))</f>
        <v>0</v>
      </c>
    </row>
    <row r="263" ht="15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29"/>
      <c r="M263" s="29"/>
      <c r="N263" s="29" t="str">
        <f t="array" ref="N263">IFERROR(IF(INDEX(Entries!$C$2:$C$47,33)="","",INDEX(Entries!$Q$2:$Q$47,33)),"")</f>
        <v/>
      </c>
      <c r="O263" s="29" t="str">
        <f t="array" ref="O263">IF(N263="","",IFERROR(INDEX(Entries!$E$2:$E$47,33),""))</f>
        <v/>
      </c>
      <c r="P263" s="29" t="str">
        <f>IF(N263="","","Tier5_Pick1")</f>
        <v/>
      </c>
      <c r="Q263" s="29" t="str">
        <f>IF(N263="","",5)</f>
        <v/>
      </c>
      <c r="R263" s="29" t="str">
        <f t="array" ref="R263">IF(N263="","",IFERROR(INDEX(Entries!$J$2:$J$47,33),""))</f>
        <v/>
      </c>
      <c r="S263" s="29" t="str">
        <f t="array" ref="S263">IF(R263="","",IFERROR(XLOOKUP(R263,'Live Medal Table'!$B$2:$B$94,'Live Medal Table'!$C$2:$C$94,"???"),"???"))</f>
        <v/>
      </c>
      <c r="T263" s="29">
        <f t="array" ref="T263">IF(R263="",0,IFERROR(XLOOKUP(R263,'Live Medal Table'!$B$2:$B$94,'Live Medal Table'!$F$2:$F$94,0),0))</f>
        <v>0</v>
      </c>
      <c r="U263" s="29">
        <f t="array" ref="U263">IF(R263="",0,IFERROR(XLOOKUP(R263,'Live Medal Table'!$B$2:$B$94,'Live Medal Table'!$G$2:$G$94,0),0))</f>
        <v>0</v>
      </c>
      <c r="V263" s="29">
        <f t="array" ref="V263">IF(R263="",0,IFERROR(XLOOKUP(R263,'Live Medal Table'!$B$2:$B$94,'Live Medal Table'!$H$2:$H$94,0),0))</f>
        <v>0</v>
      </c>
      <c r="W263" s="29">
        <f t="array" ref="W263">IF(R263="",0,IFERROR(XLOOKUP(R263,'Live Medal Table'!$B$2:$B$94,'Live Medal Table'!$I$2:$I$94,0),0))</f>
        <v>0</v>
      </c>
      <c r="X263" s="29">
        <f t="shared" si="1"/>
        <v>0</v>
      </c>
      <c r="Y263" s="29">
        <f t="shared" si="2"/>
        <v>0</v>
      </c>
      <c r="Z263" s="29">
        <f t="shared" si="3"/>
        <v>0</v>
      </c>
      <c r="AA263" s="29">
        <f t="shared" si="4"/>
        <v>0</v>
      </c>
      <c r="AB263" s="29" t="b">
        <f t="array" ref="AB263">IF(R263="",FALSE,IFERROR(AND(ISNUMBER(MATCH(R263,'Live Medal Table'!$B$2:$B$94,0)),XLOOKUP(R263,'Live Medal Table'!$B$2:$B$94,Countries!$I$2:$I$72,FALSE)),FALSE))</f>
        <v>0</v>
      </c>
    </row>
    <row r="264" ht="15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29"/>
      <c r="M264" s="29"/>
      <c r="N264" s="29" t="str">
        <f t="array" ref="N264">IFERROR(IF(INDEX(Entries!$C$2:$C$47,33)="","",INDEX(Entries!$Q$2:$Q$47,33)),"")</f>
        <v/>
      </c>
      <c r="O264" s="29" t="str">
        <f t="array" ref="O264">IF(N264="","",IFERROR(INDEX(Entries!$E$2:$E$47,33),""))</f>
        <v/>
      </c>
      <c r="P264" s="29" t="str">
        <f>IF(N264="","","Tier6_Pick1")</f>
        <v/>
      </c>
      <c r="Q264" s="29" t="str">
        <f t="shared" ref="Q264:Q265" si="70">IF(N264="","",6)</f>
        <v/>
      </c>
      <c r="R264" s="29" t="str">
        <f t="array" ref="R264">IF(N264="","",IFERROR(INDEX(Entries!$O$2:$O$47,33),""))</f>
        <v/>
      </c>
      <c r="S264" s="29" t="str">
        <f t="array" ref="S264">IF(R264="","",IFERROR(XLOOKUP(R264,'Live Medal Table'!$B$2:$B$94,'Live Medal Table'!$C$2:$C$94,"???"),"???"))</f>
        <v/>
      </c>
      <c r="T264" s="29">
        <f t="array" ref="T264">IF(R264="",0,IFERROR(XLOOKUP(R264,'Live Medal Table'!$B$2:$B$94,'Live Medal Table'!$F$2:$F$94,0),0))</f>
        <v>0</v>
      </c>
      <c r="U264" s="29">
        <f t="array" ref="U264">IF(R264="",0,IFERROR(XLOOKUP(R264,'Live Medal Table'!$B$2:$B$94,'Live Medal Table'!$G$2:$G$94,0),0))</f>
        <v>0</v>
      </c>
      <c r="V264" s="29">
        <f t="array" ref="V264">IF(R264="",0,IFERROR(XLOOKUP(R264,'Live Medal Table'!$B$2:$B$94,'Live Medal Table'!$H$2:$H$94,0),0))</f>
        <v>0</v>
      </c>
      <c r="W264" s="29">
        <f t="array" ref="W264">IF(R264="",0,IFERROR(XLOOKUP(R264,'Live Medal Table'!$B$2:$B$94,'Live Medal Table'!$I$2:$I$94,0),0))</f>
        <v>0</v>
      </c>
      <c r="X264" s="29">
        <f t="shared" si="1"/>
        <v>0</v>
      </c>
      <c r="Y264" s="29">
        <f t="shared" si="2"/>
        <v>0</v>
      </c>
      <c r="Z264" s="29">
        <f t="shared" si="3"/>
        <v>0</v>
      </c>
      <c r="AA264" s="29">
        <f t="shared" si="4"/>
        <v>0</v>
      </c>
      <c r="AB264" s="29" t="b">
        <f t="array" ref="AB264">IF(R264="",FALSE,IFERROR(AND(ISNUMBER(MATCH(R264,'Live Medal Table'!$B$2:$B$94,0)),XLOOKUP(R264,'Live Medal Table'!$B$2:$B$94,Countries!$I$2:$I$72,FALSE)),FALSE))</f>
        <v>0</v>
      </c>
    </row>
    <row r="265" ht="15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29"/>
      <c r="M265" s="29"/>
      <c r="N265" s="29" t="str">
        <f t="array" ref="N265">IFERROR(IF(INDEX(Entries!$C$2:$C$47,33)="","",INDEX(Entries!$Q$2:$Q$47,33)),"")</f>
        <v/>
      </c>
      <c r="O265" s="29" t="str">
        <f t="array" ref="O265">IF(N265="","",IFERROR(INDEX(Entries!$E$2:$E$47,33),""))</f>
        <v/>
      </c>
      <c r="P265" s="29" t="str">
        <f>IF(N265="","","Tier6_Pick2")</f>
        <v/>
      </c>
      <c r="Q265" s="29" t="str">
        <f t="shared" si="70"/>
        <v/>
      </c>
      <c r="R265" s="29" t="str">
        <f t="array" ref="R265">IF(N265="","",IFERROR(INDEX(Entries!$P$2:$P$47,33),""))</f>
        <v/>
      </c>
      <c r="S265" s="29" t="str">
        <f t="array" ref="S265">IF(R265="","",IFERROR(XLOOKUP(R265,'Live Medal Table'!$B$2:$B$94,'Live Medal Table'!$C$2:$C$94,"???"),"???"))</f>
        <v/>
      </c>
      <c r="T265" s="29">
        <f t="array" ref="T265">IF(R265="",0,IFERROR(XLOOKUP(R265,'Live Medal Table'!$B$2:$B$94,'Live Medal Table'!$F$2:$F$94,0),0))</f>
        <v>0</v>
      </c>
      <c r="U265" s="29">
        <f t="array" ref="U265">IF(R265="",0,IFERROR(XLOOKUP(R265,'Live Medal Table'!$B$2:$B$94,'Live Medal Table'!$G$2:$G$94,0),0))</f>
        <v>0</v>
      </c>
      <c r="V265" s="29">
        <f t="array" ref="V265">IF(R265="",0,IFERROR(XLOOKUP(R265,'Live Medal Table'!$B$2:$B$94,'Live Medal Table'!$H$2:$H$94,0),0))</f>
        <v>0</v>
      </c>
      <c r="W265" s="29">
        <f t="array" ref="W265">IF(R265="",0,IFERROR(XLOOKUP(R265,'Live Medal Table'!$B$2:$B$94,'Live Medal Table'!$I$2:$I$94,0),0))</f>
        <v>0</v>
      </c>
      <c r="X265" s="29">
        <f t="shared" si="1"/>
        <v>0</v>
      </c>
      <c r="Y265" s="29">
        <f t="shared" si="2"/>
        <v>0</v>
      </c>
      <c r="Z265" s="29">
        <f t="shared" si="3"/>
        <v>0</v>
      </c>
      <c r="AA265" s="29">
        <f t="shared" si="4"/>
        <v>0</v>
      </c>
      <c r="AB265" s="29" t="b">
        <f t="array" ref="AB265">IF(R265="",FALSE,IFERROR(AND(ISNUMBER(MATCH(R265,'Live Medal Table'!$B$2:$B$94,0)),XLOOKUP(R265,'Live Medal Table'!$B$2:$B$94,Countries!$I$2:$I$72,FALSE)),FALSE))</f>
        <v>0</v>
      </c>
    </row>
    <row r="266" ht="15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29"/>
      <c r="M266" s="29"/>
      <c r="N266" s="29" t="str">
        <f t="array" ref="N266">IFERROR(IF(INDEX(Entries!$C$2:$C$47,34)="","",INDEX(Entries!$Q$2:$Q$47,34)),"")</f>
        <v/>
      </c>
      <c r="O266" s="29" t="str">
        <f t="array" ref="O266">IF(N266="","",IFERROR(INDEX(Entries!$E$2:$E$47,34),""))</f>
        <v/>
      </c>
      <c r="P266" s="29" t="str">
        <f>IF(N266="","","Tier1_Pick1")</f>
        <v/>
      </c>
      <c r="Q266" s="29" t="str">
        <f>IF(N266="","",1)</f>
        <v/>
      </c>
      <c r="R266" s="29" t="str">
        <f t="array" ref="R266">IF(N266="","",IFERROR(INDEX(Entries!$F$2:$F$47,34),""))</f>
        <v/>
      </c>
      <c r="S266" s="29" t="str">
        <f t="array" ref="S266">IF(R266="","",IFERROR(XLOOKUP(R266,'Live Medal Table'!$B$2:$B$94,'Live Medal Table'!$C$2:$C$94,"???"),"???"))</f>
        <v/>
      </c>
      <c r="T266" s="29">
        <f t="array" ref="T266">IF(R266="",0,IFERROR(XLOOKUP(R266,'Live Medal Table'!$B$2:$B$94,'Live Medal Table'!$F$2:$F$94,0),0))</f>
        <v>0</v>
      </c>
      <c r="U266" s="29">
        <f t="array" ref="U266">IF(R266="",0,IFERROR(XLOOKUP(R266,'Live Medal Table'!$B$2:$B$94,'Live Medal Table'!$G$2:$G$94,0),0))</f>
        <v>0</v>
      </c>
      <c r="V266" s="29">
        <f t="array" ref="V266">IF(R266="",0,IFERROR(XLOOKUP(R266,'Live Medal Table'!$B$2:$B$94,'Live Medal Table'!$H$2:$H$94,0),0))</f>
        <v>0</v>
      </c>
      <c r="W266" s="29">
        <f t="array" ref="W266">IF(R266="",0,IFERROR(XLOOKUP(R266,'Live Medal Table'!$B$2:$B$94,'Live Medal Table'!$I$2:$I$94,0),0))</f>
        <v>0</v>
      </c>
      <c r="X266" s="29">
        <f t="shared" si="1"/>
        <v>0</v>
      </c>
      <c r="Y266" s="29">
        <f t="shared" si="2"/>
        <v>0</v>
      </c>
      <c r="Z266" s="29">
        <f t="shared" si="3"/>
        <v>0</v>
      </c>
      <c r="AA266" s="29">
        <f t="shared" si="4"/>
        <v>0</v>
      </c>
      <c r="AB266" s="29" t="b">
        <f t="array" ref="AB266">IF(R266="",FALSE,IFERROR(AND(ISNUMBER(MATCH(R266,'Live Medal Table'!$B$2:$B$94,0)),XLOOKUP(R266,'Live Medal Table'!$B$2:$B$94,Countries!$I$2:$I$72,FALSE)),FALSE))</f>
        <v>0</v>
      </c>
    </row>
    <row r="267" ht="15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29"/>
      <c r="M267" s="29"/>
      <c r="N267" s="29" t="str">
        <f t="array" ref="N267">IFERROR(IF(INDEX(Entries!$C$2:$C$47,34)="","",INDEX(Entries!$Q$2:$Q$47,34)),"")</f>
        <v/>
      </c>
      <c r="O267" s="29" t="str">
        <f t="array" ref="O267">IF(N267="","",IFERROR(INDEX(Entries!$E$2:$E$47,34),""))</f>
        <v/>
      </c>
      <c r="P267" s="29" t="str">
        <f>IF(N267="","","Tier2_Pick1")</f>
        <v/>
      </c>
      <c r="Q267" s="29" t="str">
        <f t="shared" ref="Q267:Q268" si="71">IF(N267="","",2)</f>
        <v/>
      </c>
      <c r="R267" s="29" t="str">
        <f t="array" ref="R267">IF(N267="","",IFERROR(INDEX(Entries!$M$2:$M$47,34),""))</f>
        <v/>
      </c>
      <c r="S267" s="29" t="str">
        <f t="array" ref="S267">IF(R267="","",IFERROR(XLOOKUP(R267,'Live Medal Table'!$B$2:$B$94,'Live Medal Table'!$C$2:$C$94,"???"),"???"))</f>
        <v/>
      </c>
      <c r="T267" s="29">
        <f t="array" ref="T267">IF(R267="",0,IFERROR(XLOOKUP(R267,'Live Medal Table'!$B$2:$B$94,'Live Medal Table'!$F$2:$F$94,0),0))</f>
        <v>0</v>
      </c>
      <c r="U267" s="29">
        <f t="array" ref="U267">IF(R267="",0,IFERROR(XLOOKUP(R267,'Live Medal Table'!$B$2:$B$94,'Live Medal Table'!$G$2:$G$94,0),0))</f>
        <v>0</v>
      </c>
      <c r="V267" s="29">
        <f t="array" ref="V267">IF(R267="",0,IFERROR(XLOOKUP(R267,'Live Medal Table'!$B$2:$B$94,'Live Medal Table'!$H$2:$H$94,0),0))</f>
        <v>0</v>
      </c>
      <c r="W267" s="29">
        <f t="array" ref="W267">IF(R267="",0,IFERROR(XLOOKUP(R267,'Live Medal Table'!$B$2:$B$94,'Live Medal Table'!$I$2:$I$94,0),0))</f>
        <v>0</v>
      </c>
      <c r="X267" s="29">
        <f t="shared" si="1"/>
        <v>0</v>
      </c>
      <c r="Y267" s="29">
        <f t="shared" si="2"/>
        <v>0</v>
      </c>
      <c r="Z267" s="29">
        <f t="shared" si="3"/>
        <v>0</v>
      </c>
      <c r="AA267" s="29">
        <f t="shared" si="4"/>
        <v>0</v>
      </c>
      <c r="AB267" s="29" t="b">
        <f t="array" ref="AB267">IF(R267="",FALSE,IFERROR(AND(ISNUMBER(MATCH(R267,'Live Medal Table'!$B$2:$B$94,0)),XLOOKUP(R267,'Live Medal Table'!$B$2:$B$94,Countries!$I$2:$I$72,FALSE)),FALSE))</f>
        <v>0</v>
      </c>
    </row>
    <row r="268" ht="15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29"/>
      <c r="M268" s="29"/>
      <c r="N268" s="29" t="str">
        <f t="array" ref="N268">IFERROR(IF(INDEX(Entries!$C$2:$C$47,34)="","",INDEX(Entries!$Q$2:$Q$47,34)),"")</f>
        <v/>
      </c>
      <c r="O268" s="29" t="str">
        <f t="array" ref="O268">IF(N268="","",IFERROR(INDEX(Entries!$E$2:$E$47,34),""))</f>
        <v/>
      </c>
      <c r="P268" s="29" t="str">
        <f>IF(N268="","","Tier2_Pick2")</f>
        <v/>
      </c>
      <c r="Q268" s="29" t="str">
        <f t="shared" si="71"/>
        <v/>
      </c>
      <c r="R268" s="29" t="str">
        <f t="array" ref="R268">IF(N268="","",IFERROR(INDEX(Entries!$N$2:$N$47,34),""))</f>
        <v/>
      </c>
      <c r="S268" s="29" t="str">
        <f t="array" ref="S268">IF(R268="","",IFERROR(XLOOKUP(R268,'Live Medal Table'!$B$2:$B$94,'Live Medal Table'!$C$2:$C$94,"???"),"???"))</f>
        <v/>
      </c>
      <c r="T268" s="29">
        <f t="array" ref="T268">IF(R268="",0,IFERROR(XLOOKUP(R268,'Live Medal Table'!$B$2:$B$94,'Live Medal Table'!$F$2:$F$94,0),0))</f>
        <v>0</v>
      </c>
      <c r="U268" s="29">
        <f t="array" ref="U268">IF(R268="",0,IFERROR(XLOOKUP(R268,'Live Medal Table'!$B$2:$B$94,'Live Medal Table'!$G$2:$G$94,0),0))</f>
        <v>0</v>
      </c>
      <c r="V268" s="29">
        <f t="array" ref="V268">IF(R268="",0,IFERROR(XLOOKUP(R268,'Live Medal Table'!$B$2:$B$94,'Live Medal Table'!$H$2:$H$94,0),0))</f>
        <v>0</v>
      </c>
      <c r="W268" s="29">
        <f t="array" ref="W268">IF(R268="",0,IFERROR(XLOOKUP(R268,'Live Medal Table'!$B$2:$B$94,'Live Medal Table'!$I$2:$I$94,0),0))</f>
        <v>0</v>
      </c>
      <c r="X268" s="29">
        <f t="shared" si="1"/>
        <v>0</v>
      </c>
      <c r="Y268" s="29">
        <f t="shared" si="2"/>
        <v>0</v>
      </c>
      <c r="Z268" s="29">
        <f t="shared" si="3"/>
        <v>0</v>
      </c>
      <c r="AA268" s="29">
        <f t="shared" si="4"/>
        <v>0</v>
      </c>
      <c r="AB268" s="29" t="b">
        <f t="array" ref="AB268">IF(R268="",FALSE,IFERROR(AND(ISNUMBER(MATCH(R268,'Live Medal Table'!$B$2:$B$94,0)),XLOOKUP(R268,'Live Medal Table'!$B$2:$B$94,Countries!$I$2:$I$72,FALSE)),FALSE))</f>
        <v>0</v>
      </c>
    </row>
    <row r="269" ht="15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29"/>
      <c r="M269" s="29"/>
      <c r="N269" s="29" t="str">
        <f t="array" ref="N269">IFERROR(IF(INDEX(Entries!$C$2:$C$47,34)="","",INDEX(Entries!$Q$2:$Q$47,34)),"")</f>
        <v/>
      </c>
      <c r="O269" s="29" t="str">
        <f t="array" ref="O269">IF(N269="","",IFERROR(INDEX(Entries!$E$2:$E$47,34),""))</f>
        <v/>
      </c>
      <c r="P269" s="29" t="str">
        <f>IF(N269="","","Tier3_Pick1")</f>
        <v/>
      </c>
      <c r="Q269" s="29" t="str">
        <f>IF(N269="","",3)</f>
        <v/>
      </c>
      <c r="R269" s="29" t="str">
        <f t="array" ref="R269">IF(N269="","",IFERROR(INDEX(Entries!$H$2:$H$47,34),""))</f>
        <v/>
      </c>
      <c r="S269" s="29" t="str">
        <f t="array" ref="S269">IF(R269="","",IFERROR(XLOOKUP(R269,'Live Medal Table'!$B$2:$B$94,'Live Medal Table'!$C$2:$C$94,"???"),"???"))</f>
        <v/>
      </c>
      <c r="T269" s="29">
        <f t="array" ref="T269">IF(R269="",0,IFERROR(XLOOKUP(R269,'Live Medal Table'!$B$2:$B$94,'Live Medal Table'!$F$2:$F$94,0),0))</f>
        <v>0</v>
      </c>
      <c r="U269" s="29">
        <f t="array" ref="U269">IF(R269="",0,IFERROR(XLOOKUP(R269,'Live Medal Table'!$B$2:$B$94,'Live Medal Table'!$G$2:$G$94,0),0))</f>
        <v>0</v>
      </c>
      <c r="V269" s="29">
        <f t="array" ref="V269">IF(R269="",0,IFERROR(XLOOKUP(R269,'Live Medal Table'!$B$2:$B$94,'Live Medal Table'!$H$2:$H$94,0),0))</f>
        <v>0</v>
      </c>
      <c r="W269" s="29">
        <f t="array" ref="W269">IF(R269="",0,IFERROR(XLOOKUP(R269,'Live Medal Table'!$B$2:$B$94,'Live Medal Table'!$I$2:$I$94,0),0))</f>
        <v>0</v>
      </c>
      <c r="X269" s="29">
        <f t="shared" si="1"/>
        <v>0</v>
      </c>
      <c r="Y269" s="29">
        <f t="shared" si="2"/>
        <v>0</v>
      </c>
      <c r="Z269" s="29">
        <f t="shared" si="3"/>
        <v>0</v>
      </c>
      <c r="AA269" s="29">
        <f t="shared" si="4"/>
        <v>0</v>
      </c>
      <c r="AB269" s="29" t="b">
        <f t="array" ref="AB269">IF(R269="",FALSE,IFERROR(AND(ISNUMBER(MATCH(R269,'Live Medal Table'!$B$2:$B$94,0)),XLOOKUP(R269,'Live Medal Table'!$B$2:$B$94,Countries!$I$2:$I$72,FALSE)),FALSE))</f>
        <v>0</v>
      </c>
    </row>
    <row r="270" ht="15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29"/>
      <c r="M270" s="29"/>
      <c r="N270" s="29" t="str">
        <f t="array" ref="N270">IFERROR(IF(INDEX(Entries!$C$2:$C$47,34)="","",INDEX(Entries!$Q$2:$Q$47,34)),"")</f>
        <v/>
      </c>
      <c r="O270" s="29" t="str">
        <f t="array" ref="O270">IF(N270="","",IFERROR(INDEX(Entries!$E$2:$E$47,34),""))</f>
        <v/>
      </c>
      <c r="P270" s="29" t="str">
        <f>IF(N270="","","Tier4_Pick1")</f>
        <v/>
      </c>
      <c r="Q270" s="29" t="str">
        <f>IF(N270="","",4)</f>
        <v/>
      </c>
      <c r="R270" s="29" t="str">
        <f t="array" ref="R270">IF(N270="","",IFERROR(INDEX(Entries!$I$2:$I$47,34),""))</f>
        <v/>
      </c>
      <c r="S270" s="29" t="str">
        <f t="array" ref="S270">IF(R270="","",IFERROR(XLOOKUP(R270,'Live Medal Table'!$B$2:$B$94,'Live Medal Table'!$C$2:$C$94,"???"),"???"))</f>
        <v/>
      </c>
      <c r="T270" s="29">
        <f t="array" ref="T270">IF(R270="",0,IFERROR(XLOOKUP(R270,'Live Medal Table'!$B$2:$B$94,'Live Medal Table'!$F$2:$F$94,0),0))</f>
        <v>0</v>
      </c>
      <c r="U270" s="29">
        <f t="array" ref="U270">IF(R270="",0,IFERROR(XLOOKUP(R270,'Live Medal Table'!$B$2:$B$94,'Live Medal Table'!$G$2:$G$94,0),0))</f>
        <v>0</v>
      </c>
      <c r="V270" s="29">
        <f t="array" ref="V270">IF(R270="",0,IFERROR(XLOOKUP(R270,'Live Medal Table'!$B$2:$B$94,'Live Medal Table'!$H$2:$H$94,0),0))</f>
        <v>0</v>
      </c>
      <c r="W270" s="29">
        <f t="array" ref="W270">IF(R270="",0,IFERROR(XLOOKUP(R270,'Live Medal Table'!$B$2:$B$94,'Live Medal Table'!$I$2:$I$94,0),0))</f>
        <v>0</v>
      </c>
      <c r="X270" s="29">
        <f t="shared" si="1"/>
        <v>0</v>
      </c>
      <c r="Y270" s="29">
        <f t="shared" si="2"/>
        <v>0</v>
      </c>
      <c r="Z270" s="29">
        <f t="shared" si="3"/>
        <v>0</v>
      </c>
      <c r="AA270" s="29">
        <f t="shared" si="4"/>
        <v>0</v>
      </c>
      <c r="AB270" s="29" t="b">
        <f t="array" ref="AB270">IF(R270="",FALSE,IFERROR(AND(ISNUMBER(MATCH(R270,'Live Medal Table'!$B$2:$B$94,0)),XLOOKUP(R270,'Live Medal Table'!$B$2:$B$94,Countries!$I$2:$I$72,FALSE)),FALSE))</f>
        <v>0</v>
      </c>
    </row>
    <row r="271" ht="15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29"/>
      <c r="M271" s="29"/>
      <c r="N271" s="29" t="str">
        <f t="array" ref="N271">IFERROR(IF(INDEX(Entries!$C$2:$C$47,34)="","",INDEX(Entries!$Q$2:$Q$47,34)),"")</f>
        <v/>
      </c>
      <c r="O271" s="29" t="str">
        <f t="array" ref="O271">IF(N271="","",IFERROR(INDEX(Entries!$E$2:$E$47,34),""))</f>
        <v/>
      </c>
      <c r="P271" s="29" t="str">
        <f>IF(N271="","","Tier5_Pick1")</f>
        <v/>
      </c>
      <c r="Q271" s="29" t="str">
        <f>IF(N271="","",5)</f>
        <v/>
      </c>
      <c r="R271" s="29" t="str">
        <f t="array" ref="R271">IF(N271="","",IFERROR(INDEX(Entries!$J$2:$J$47,34),""))</f>
        <v/>
      </c>
      <c r="S271" s="29" t="str">
        <f t="array" ref="S271">IF(R271="","",IFERROR(XLOOKUP(R271,'Live Medal Table'!$B$2:$B$94,'Live Medal Table'!$C$2:$C$94,"???"),"???"))</f>
        <v/>
      </c>
      <c r="T271" s="29">
        <f t="array" ref="T271">IF(R271="",0,IFERROR(XLOOKUP(R271,'Live Medal Table'!$B$2:$B$94,'Live Medal Table'!$F$2:$F$94,0),0))</f>
        <v>0</v>
      </c>
      <c r="U271" s="29">
        <f t="array" ref="U271">IF(R271="",0,IFERROR(XLOOKUP(R271,'Live Medal Table'!$B$2:$B$94,'Live Medal Table'!$G$2:$G$94,0),0))</f>
        <v>0</v>
      </c>
      <c r="V271" s="29">
        <f t="array" ref="V271">IF(R271="",0,IFERROR(XLOOKUP(R271,'Live Medal Table'!$B$2:$B$94,'Live Medal Table'!$H$2:$H$94,0),0))</f>
        <v>0</v>
      </c>
      <c r="W271" s="29">
        <f t="array" ref="W271">IF(R271="",0,IFERROR(XLOOKUP(R271,'Live Medal Table'!$B$2:$B$94,'Live Medal Table'!$I$2:$I$94,0),0))</f>
        <v>0</v>
      </c>
      <c r="X271" s="29">
        <f t="shared" si="1"/>
        <v>0</v>
      </c>
      <c r="Y271" s="29">
        <f t="shared" si="2"/>
        <v>0</v>
      </c>
      <c r="Z271" s="29">
        <f t="shared" si="3"/>
        <v>0</v>
      </c>
      <c r="AA271" s="29">
        <f t="shared" si="4"/>
        <v>0</v>
      </c>
      <c r="AB271" s="29" t="b">
        <f t="array" ref="AB271">IF(R271="",FALSE,IFERROR(AND(ISNUMBER(MATCH(R271,'Live Medal Table'!$B$2:$B$94,0)),XLOOKUP(R271,'Live Medal Table'!$B$2:$B$94,Countries!$I$2:$I$72,FALSE)),FALSE))</f>
        <v>0</v>
      </c>
    </row>
    <row r="272" ht="15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29"/>
      <c r="M272" s="29"/>
      <c r="N272" s="29" t="str">
        <f t="array" ref="N272">IFERROR(IF(INDEX(Entries!$C$2:$C$47,34)="","",INDEX(Entries!$Q$2:$Q$47,34)),"")</f>
        <v/>
      </c>
      <c r="O272" s="29" t="str">
        <f t="array" ref="O272">IF(N272="","",IFERROR(INDEX(Entries!$E$2:$E$47,34),""))</f>
        <v/>
      </c>
      <c r="P272" s="29" t="str">
        <f>IF(N272="","","Tier6_Pick1")</f>
        <v/>
      </c>
      <c r="Q272" s="29" t="str">
        <f t="shared" ref="Q272:Q273" si="72">IF(N272="","",6)</f>
        <v/>
      </c>
      <c r="R272" s="29" t="str">
        <f t="array" ref="R272">IF(N272="","",IFERROR(INDEX(Entries!$O$2:$O$47,34),""))</f>
        <v/>
      </c>
      <c r="S272" s="29" t="str">
        <f t="array" ref="S272">IF(R272="","",IFERROR(XLOOKUP(R272,'Live Medal Table'!$B$2:$B$94,'Live Medal Table'!$C$2:$C$94,"???"),"???"))</f>
        <v/>
      </c>
      <c r="T272" s="29">
        <f t="array" ref="T272">IF(R272="",0,IFERROR(XLOOKUP(R272,'Live Medal Table'!$B$2:$B$94,'Live Medal Table'!$F$2:$F$94,0),0))</f>
        <v>0</v>
      </c>
      <c r="U272" s="29">
        <f t="array" ref="U272">IF(R272="",0,IFERROR(XLOOKUP(R272,'Live Medal Table'!$B$2:$B$94,'Live Medal Table'!$G$2:$G$94,0),0))</f>
        <v>0</v>
      </c>
      <c r="V272" s="29">
        <f t="array" ref="V272">IF(R272="",0,IFERROR(XLOOKUP(R272,'Live Medal Table'!$B$2:$B$94,'Live Medal Table'!$H$2:$H$94,0),0))</f>
        <v>0</v>
      </c>
      <c r="W272" s="29">
        <f t="array" ref="W272">IF(R272="",0,IFERROR(XLOOKUP(R272,'Live Medal Table'!$B$2:$B$94,'Live Medal Table'!$I$2:$I$94,0),0))</f>
        <v>0</v>
      </c>
      <c r="X272" s="29">
        <f t="shared" si="1"/>
        <v>0</v>
      </c>
      <c r="Y272" s="29">
        <f t="shared" si="2"/>
        <v>0</v>
      </c>
      <c r="Z272" s="29">
        <f t="shared" si="3"/>
        <v>0</v>
      </c>
      <c r="AA272" s="29">
        <f t="shared" si="4"/>
        <v>0</v>
      </c>
      <c r="AB272" s="29" t="b">
        <f t="array" ref="AB272">IF(R272="",FALSE,IFERROR(AND(ISNUMBER(MATCH(R272,'Live Medal Table'!$B$2:$B$94,0)),XLOOKUP(R272,'Live Medal Table'!$B$2:$B$94,Countries!$I$2:$I$72,FALSE)),FALSE))</f>
        <v>0</v>
      </c>
    </row>
    <row r="273" ht="15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29"/>
      <c r="M273" s="29"/>
      <c r="N273" s="29" t="str">
        <f t="array" ref="N273">IFERROR(IF(INDEX(Entries!$C$2:$C$47,34)="","",INDEX(Entries!$Q$2:$Q$47,34)),"")</f>
        <v/>
      </c>
      <c r="O273" s="29" t="str">
        <f t="array" ref="O273">IF(N273="","",IFERROR(INDEX(Entries!$E$2:$E$47,34),""))</f>
        <v/>
      </c>
      <c r="P273" s="29" t="str">
        <f>IF(N273="","","Tier6_Pick2")</f>
        <v/>
      </c>
      <c r="Q273" s="29" t="str">
        <f t="shared" si="72"/>
        <v/>
      </c>
      <c r="R273" s="29" t="str">
        <f t="array" ref="R273">IF(N273="","",IFERROR(INDEX(Entries!$P$2:$P$47,34),""))</f>
        <v/>
      </c>
      <c r="S273" s="29" t="str">
        <f t="array" ref="S273">IF(R273="","",IFERROR(XLOOKUP(R273,'Live Medal Table'!$B$2:$B$94,'Live Medal Table'!$C$2:$C$94,"???"),"???"))</f>
        <v/>
      </c>
      <c r="T273" s="29">
        <f t="array" ref="T273">IF(R273="",0,IFERROR(XLOOKUP(R273,'Live Medal Table'!$B$2:$B$94,'Live Medal Table'!$F$2:$F$94,0),0))</f>
        <v>0</v>
      </c>
      <c r="U273" s="29">
        <f t="array" ref="U273">IF(R273="",0,IFERROR(XLOOKUP(R273,'Live Medal Table'!$B$2:$B$94,'Live Medal Table'!$G$2:$G$94,0),0))</f>
        <v>0</v>
      </c>
      <c r="V273" s="29">
        <f t="array" ref="V273">IF(R273="",0,IFERROR(XLOOKUP(R273,'Live Medal Table'!$B$2:$B$94,'Live Medal Table'!$H$2:$H$94,0),0))</f>
        <v>0</v>
      </c>
      <c r="W273" s="29">
        <f t="array" ref="W273">IF(R273="",0,IFERROR(XLOOKUP(R273,'Live Medal Table'!$B$2:$B$94,'Live Medal Table'!$I$2:$I$94,0),0))</f>
        <v>0</v>
      </c>
      <c r="X273" s="29">
        <f t="shared" si="1"/>
        <v>0</v>
      </c>
      <c r="Y273" s="29">
        <f t="shared" si="2"/>
        <v>0</v>
      </c>
      <c r="Z273" s="29">
        <f t="shared" si="3"/>
        <v>0</v>
      </c>
      <c r="AA273" s="29">
        <f t="shared" si="4"/>
        <v>0</v>
      </c>
      <c r="AB273" s="29" t="b">
        <f t="array" ref="AB273">IF(R273="",FALSE,IFERROR(AND(ISNUMBER(MATCH(R273,'Live Medal Table'!$B$2:$B$94,0)),XLOOKUP(R273,'Live Medal Table'!$B$2:$B$94,Countries!$I$2:$I$72,FALSE)),FALSE))</f>
        <v>0</v>
      </c>
    </row>
    <row r="274" ht="15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29"/>
      <c r="M274" s="29"/>
      <c r="N274" s="29" t="str">
        <f t="array" ref="N274">IFERROR(IF(INDEX(Entries!$C$2:$C$47,35)="","",INDEX(Entries!$Q$2:$Q$47,35)),"")</f>
        <v/>
      </c>
      <c r="O274" s="29" t="str">
        <f t="array" ref="O274">IF(N274="","",IFERROR(INDEX(Entries!$E$2:$E$47,35),""))</f>
        <v/>
      </c>
      <c r="P274" s="29" t="str">
        <f>IF(N274="","","Tier1_Pick1")</f>
        <v/>
      </c>
      <c r="Q274" s="29" t="str">
        <f>IF(N274="","",1)</f>
        <v/>
      </c>
      <c r="R274" s="29" t="str">
        <f t="array" ref="R274">IF(N274="","",IFERROR(INDEX(Entries!$F$2:$F$47,35),""))</f>
        <v/>
      </c>
      <c r="S274" s="29" t="str">
        <f t="array" ref="S274">IF(R274="","",IFERROR(XLOOKUP(R274,'Live Medal Table'!$B$2:$B$94,'Live Medal Table'!$C$2:$C$94,"???"),"???"))</f>
        <v/>
      </c>
      <c r="T274" s="29">
        <f t="array" ref="T274">IF(R274="",0,IFERROR(XLOOKUP(R274,'Live Medal Table'!$B$2:$B$94,'Live Medal Table'!$F$2:$F$94,0),0))</f>
        <v>0</v>
      </c>
      <c r="U274" s="29">
        <f t="array" ref="U274">IF(R274="",0,IFERROR(XLOOKUP(R274,'Live Medal Table'!$B$2:$B$94,'Live Medal Table'!$G$2:$G$94,0),0))</f>
        <v>0</v>
      </c>
      <c r="V274" s="29">
        <f t="array" ref="V274">IF(R274="",0,IFERROR(XLOOKUP(R274,'Live Medal Table'!$B$2:$B$94,'Live Medal Table'!$H$2:$H$94,0),0))</f>
        <v>0</v>
      </c>
      <c r="W274" s="29">
        <f t="array" ref="W274">IF(R274="",0,IFERROR(XLOOKUP(R274,'Live Medal Table'!$B$2:$B$94,'Live Medal Table'!$I$2:$I$94,0),0))</f>
        <v>0</v>
      </c>
      <c r="X274" s="29">
        <f t="shared" si="1"/>
        <v>0</v>
      </c>
      <c r="Y274" s="29">
        <f t="shared" si="2"/>
        <v>0</v>
      </c>
      <c r="Z274" s="29">
        <f t="shared" si="3"/>
        <v>0</v>
      </c>
      <c r="AA274" s="29">
        <f t="shared" si="4"/>
        <v>0</v>
      </c>
      <c r="AB274" s="29" t="b">
        <f t="array" ref="AB274">IF(R274="",FALSE,IFERROR(AND(ISNUMBER(MATCH(R274,'Live Medal Table'!$B$2:$B$94,0)),XLOOKUP(R274,'Live Medal Table'!$B$2:$B$94,Countries!$I$2:$I$72,FALSE)),FALSE))</f>
        <v>0</v>
      </c>
    </row>
    <row r="275" ht="15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29"/>
      <c r="M275" s="29"/>
      <c r="N275" s="29" t="str">
        <f t="array" ref="N275">IFERROR(IF(INDEX(Entries!$C$2:$C$47,35)="","",INDEX(Entries!$Q$2:$Q$47,35)),"")</f>
        <v/>
      </c>
      <c r="O275" s="29" t="str">
        <f t="array" ref="O275">IF(N275="","",IFERROR(INDEX(Entries!$E$2:$E$47,35),""))</f>
        <v/>
      </c>
      <c r="P275" s="29" t="str">
        <f>IF(N275="","","Tier2_Pick1")</f>
        <v/>
      </c>
      <c r="Q275" s="29" t="str">
        <f t="shared" ref="Q275:Q276" si="73">IF(N275="","",2)</f>
        <v/>
      </c>
      <c r="R275" s="29" t="str">
        <f t="array" ref="R275">IF(N275="","",IFERROR(INDEX(Entries!$M$2:$M$47,35),""))</f>
        <v/>
      </c>
      <c r="S275" s="29" t="str">
        <f t="array" ref="S275">IF(R275="","",IFERROR(XLOOKUP(R275,'Live Medal Table'!$B$2:$B$94,'Live Medal Table'!$C$2:$C$94,"???"),"???"))</f>
        <v/>
      </c>
      <c r="T275" s="29">
        <f t="array" ref="T275">IF(R275="",0,IFERROR(XLOOKUP(R275,'Live Medal Table'!$B$2:$B$94,'Live Medal Table'!$F$2:$F$94,0),0))</f>
        <v>0</v>
      </c>
      <c r="U275" s="29">
        <f t="array" ref="U275">IF(R275="",0,IFERROR(XLOOKUP(R275,'Live Medal Table'!$B$2:$B$94,'Live Medal Table'!$G$2:$G$94,0),0))</f>
        <v>0</v>
      </c>
      <c r="V275" s="29">
        <f t="array" ref="V275">IF(R275="",0,IFERROR(XLOOKUP(R275,'Live Medal Table'!$B$2:$B$94,'Live Medal Table'!$H$2:$H$94,0),0))</f>
        <v>0</v>
      </c>
      <c r="W275" s="29">
        <f t="array" ref="W275">IF(R275="",0,IFERROR(XLOOKUP(R275,'Live Medal Table'!$B$2:$B$94,'Live Medal Table'!$I$2:$I$94,0),0))</f>
        <v>0</v>
      </c>
      <c r="X275" s="29">
        <f t="shared" si="1"/>
        <v>0</v>
      </c>
      <c r="Y275" s="29">
        <f t="shared" si="2"/>
        <v>0</v>
      </c>
      <c r="Z275" s="29">
        <f t="shared" si="3"/>
        <v>0</v>
      </c>
      <c r="AA275" s="29">
        <f t="shared" si="4"/>
        <v>0</v>
      </c>
      <c r="AB275" s="29" t="b">
        <f t="array" ref="AB275">IF(R275="",FALSE,IFERROR(AND(ISNUMBER(MATCH(R275,'Live Medal Table'!$B$2:$B$94,0)),XLOOKUP(R275,'Live Medal Table'!$B$2:$B$94,Countries!$I$2:$I$72,FALSE)),FALSE))</f>
        <v>0</v>
      </c>
    </row>
    <row r="276" ht="15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29"/>
      <c r="M276" s="29"/>
      <c r="N276" s="29" t="str">
        <f t="array" ref="N276">IFERROR(IF(INDEX(Entries!$C$2:$C$47,35)="","",INDEX(Entries!$Q$2:$Q$47,35)),"")</f>
        <v/>
      </c>
      <c r="O276" s="29" t="str">
        <f t="array" ref="O276">IF(N276="","",IFERROR(INDEX(Entries!$E$2:$E$47,35),""))</f>
        <v/>
      </c>
      <c r="P276" s="29" t="str">
        <f>IF(N276="","","Tier2_Pick2")</f>
        <v/>
      </c>
      <c r="Q276" s="29" t="str">
        <f t="shared" si="73"/>
        <v/>
      </c>
      <c r="R276" s="29" t="str">
        <f t="array" ref="R276">IF(N276="","",IFERROR(INDEX(Entries!$N$2:$N$47,35),""))</f>
        <v/>
      </c>
      <c r="S276" s="29" t="str">
        <f t="array" ref="S276">IF(R276="","",IFERROR(XLOOKUP(R276,'Live Medal Table'!$B$2:$B$94,'Live Medal Table'!$C$2:$C$94,"???"),"???"))</f>
        <v/>
      </c>
      <c r="T276" s="29">
        <f t="array" ref="T276">IF(R276="",0,IFERROR(XLOOKUP(R276,'Live Medal Table'!$B$2:$B$94,'Live Medal Table'!$F$2:$F$94,0),0))</f>
        <v>0</v>
      </c>
      <c r="U276" s="29">
        <f t="array" ref="U276">IF(R276="",0,IFERROR(XLOOKUP(R276,'Live Medal Table'!$B$2:$B$94,'Live Medal Table'!$G$2:$G$94,0),0))</f>
        <v>0</v>
      </c>
      <c r="V276" s="29">
        <f t="array" ref="V276">IF(R276="",0,IFERROR(XLOOKUP(R276,'Live Medal Table'!$B$2:$B$94,'Live Medal Table'!$H$2:$H$94,0),0))</f>
        <v>0</v>
      </c>
      <c r="W276" s="29">
        <f t="array" ref="W276">IF(R276="",0,IFERROR(XLOOKUP(R276,'Live Medal Table'!$B$2:$B$94,'Live Medal Table'!$I$2:$I$94,0),0))</f>
        <v>0</v>
      </c>
      <c r="X276" s="29">
        <f t="shared" si="1"/>
        <v>0</v>
      </c>
      <c r="Y276" s="29">
        <f t="shared" si="2"/>
        <v>0</v>
      </c>
      <c r="Z276" s="29">
        <f t="shared" si="3"/>
        <v>0</v>
      </c>
      <c r="AA276" s="29">
        <f t="shared" si="4"/>
        <v>0</v>
      </c>
      <c r="AB276" s="29" t="b">
        <f t="array" ref="AB276">IF(R276="",FALSE,IFERROR(AND(ISNUMBER(MATCH(R276,'Live Medal Table'!$B$2:$B$94,0)),XLOOKUP(R276,'Live Medal Table'!$B$2:$B$94,Countries!$I$2:$I$72,FALSE)),FALSE))</f>
        <v>0</v>
      </c>
    </row>
    <row r="277" ht="15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29"/>
      <c r="M277" s="29"/>
      <c r="N277" s="29" t="str">
        <f t="array" ref="N277">IFERROR(IF(INDEX(Entries!$C$2:$C$47,35)="","",INDEX(Entries!$Q$2:$Q$47,35)),"")</f>
        <v/>
      </c>
      <c r="O277" s="29" t="str">
        <f t="array" ref="O277">IF(N277="","",IFERROR(INDEX(Entries!$E$2:$E$47,35),""))</f>
        <v/>
      </c>
      <c r="P277" s="29" t="str">
        <f>IF(N277="","","Tier3_Pick1")</f>
        <v/>
      </c>
      <c r="Q277" s="29" t="str">
        <f>IF(N277="","",3)</f>
        <v/>
      </c>
      <c r="R277" s="29" t="str">
        <f t="array" ref="R277">IF(N277="","",IFERROR(INDEX(Entries!$H$2:$H$47,35),""))</f>
        <v/>
      </c>
      <c r="S277" s="29" t="str">
        <f t="array" ref="S277">IF(R277="","",IFERROR(XLOOKUP(R277,'Live Medal Table'!$B$2:$B$94,'Live Medal Table'!$C$2:$C$94,"???"),"???"))</f>
        <v/>
      </c>
      <c r="T277" s="29">
        <f t="array" ref="T277">IF(R277="",0,IFERROR(XLOOKUP(R277,'Live Medal Table'!$B$2:$B$94,'Live Medal Table'!$F$2:$F$94,0),0))</f>
        <v>0</v>
      </c>
      <c r="U277" s="29">
        <f t="array" ref="U277">IF(R277="",0,IFERROR(XLOOKUP(R277,'Live Medal Table'!$B$2:$B$94,'Live Medal Table'!$G$2:$G$94,0),0))</f>
        <v>0</v>
      </c>
      <c r="V277" s="29">
        <f t="array" ref="V277">IF(R277="",0,IFERROR(XLOOKUP(R277,'Live Medal Table'!$B$2:$B$94,'Live Medal Table'!$H$2:$H$94,0),0))</f>
        <v>0</v>
      </c>
      <c r="W277" s="29">
        <f t="array" ref="W277">IF(R277="",0,IFERROR(XLOOKUP(R277,'Live Medal Table'!$B$2:$B$94,'Live Medal Table'!$I$2:$I$94,0),0))</f>
        <v>0</v>
      </c>
      <c r="X277" s="29">
        <f t="shared" si="1"/>
        <v>0</v>
      </c>
      <c r="Y277" s="29">
        <f t="shared" si="2"/>
        <v>0</v>
      </c>
      <c r="Z277" s="29">
        <f t="shared" si="3"/>
        <v>0</v>
      </c>
      <c r="AA277" s="29">
        <f t="shared" si="4"/>
        <v>0</v>
      </c>
      <c r="AB277" s="29" t="b">
        <f t="array" ref="AB277">IF(R277="",FALSE,IFERROR(AND(ISNUMBER(MATCH(R277,'Live Medal Table'!$B$2:$B$94,0)),XLOOKUP(R277,'Live Medal Table'!$B$2:$B$94,Countries!$I$2:$I$72,FALSE)),FALSE))</f>
        <v>0</v>
      </c>
    </row>
    <row r="278" ht="15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29"/>
      <c r="M278" s="29"/>
      <c r="N278" s="29" t="str">
        <f t="array" ref="N278">IFERROR(IF(INDEX(Entries!$C$2:$C$47,35)="","",INDEX(Entries!$Q$2:$Q$47,35)),"")</f>
        <v/>
      </c>
      <c r="O278" s="29" t="str">
        <f t="array" ref="O278">IF(N278="","",IFERROR(INDEX(Entries!$E$2:$E$47,35),""))</f>
        <v/>
      </c>
      <c r="P278" s="29" t="str">
        <f>IF(N278="","","Tier4_Pick1")</f>
        <v/>
      </c>
      <c r="Q278" s="29" t="str">
        <f>IF(N278="","",4)</f>
        <v/>
      </c>
      <c r="R278" s="29" t="str">
        <f t="array" ref="R278">IF(N278="","",IFERROR(INDEX(Entries!$I$2:$I$47,35),""))</f>
        <v/>
      </c>
      <c r="S278" s="29" t="str">
        <f t="array" ref="S278">IF(R278="","",IFERROR(XLOOKUP(R278,'Live Medal Table'!$B$2:$B$94,'Live Medal Table'!$C$2:$C$94,"???"),"???"))</f>
        <v/>
      </c>
      <c r="T278" s="29">
        <f t="array" ref="T278">IF(R278="",0,IFERROR(XLOOKUP(R278,'Live Medal Table'!$B$2:$B$94,'Live Medal Table'!$F$2:$F$94,0),0))</f>
        <v>0</v>
      </c>
      <c r="U278" s="29">
        <f t="array" ref="U278">IF(R278="",0,IFERROR(XLOOKUP(R278,'Live Medal Table'!$B$2:$B$94,'Live Medal Table'!$G$2:$G$94,0),0))</f>
        <v>0</v>
      </c>
      <c r="V278" s="29">
        <f t="array" ref="V278">IF(R278="",0,IFERROR(XLOOKUP(R278,'Live Medal Table'!$B$2:$B$94,'Live Medal Table'!$H$2:$H$94,0),0))</f>
        <v>0</v>
      </c>
      <c r="W278" s="29">
        <f t="array" ref="W278">IF(R278="",0,IFERROR(XLOOKUP(R278,'Live Medal Table'!$B$2:$B$94,'Live Medal Table'!$I$2:$I$94,0),0))</f>
        <v>0</v>
      </c>
      <c r="X278" s="29">
        <f t="shared" si="1"/>
        <v>0</v>
      </c>
      <c r="Y278" s="29">
        <f t="shared" si="2"/>
        <v>0</v>
      </c>
      <c r="Z278" s="29">
        <f t="shared" si="3"/>
        <v>0</v>
      </c>
      <c r="AA278" s="29">
        <f t="shared" si="4"/>
        <v>0</v>
      </c>
      <c r="AB278" s="29" t="b">
        <f t="array" ref="AB278">IF(R278="",FALSE,IFERROR(AND(ISNUMBER(MATCH(R278,'Live Medal Table'!$B$2:$B$94,0)),XLOOKUP(R278,'Live Medal Table'!$B$2:$B$94,Countries!$I$2:$I$72,FALSE)),FALSE))</f>
        <v>0</v>
      </c>
    </row>
    <row r="279" ht="15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29"/>
      <c r="M279" s="29"/>
      <c r="N279" s="29" t="str">
        <f t="array" ref="N279">IFERROR(IF(INDEX(Entries!$C$2:$C$47,35)="","",INDEX(Entries!$Q$2:$Q$47,35)),"")</f>
        <v/>
      </c>
      <c r="O279" s="29" t="str">
        <f t="array" ref="O279">IF(N279="","",IFERROR(INDEX(Entries!$E$2:$E$47,35),""))</f>
        <v/>
      </c>
      <c r="P279" s="29" t="str">
        <f>IF(N279="","","Tier5_Pick1")</f>
        <v/>
      </c>
      <c r="Q279" s="29" t="str">
        <f>IF(N279="","",5)</f>
        <v/>
      </c>
      <c r="R279" s="29" t="str">
        <f t="array" ref="R279">IF(N279="","",IFERROR(INDEX(Entries!$J$2:$J$47,35),""))</f>
        <v/>
      </c>
      <c r="S279" s="29" t="str">
        <f t="array" ref="S279">IF(R279="","",IFERROR(XLOOKUP(R279,'Live Medal Table'!$B$2:$B$94,'Live Medal Table'!$C$2:$C$94,"???"),"???"))</f>
        <v/>
      </c>
      <c r="T279" s="29">
        <f t="array" ref="T279">IF(R279="",0,IFERROR(XLOOKUP(R279,'Live Medal Table'!$B$2:$B$94,'Live Medal Table'!$F$2:$F$94,0),0))</f>
        <v>0</v>
      </c>
      <c r="U279" s="29">
        <f t="array" ref="U279">IF(R279="",0,IFERROR(XLOOKUP(R279,'Live Medal Table'!$B$2:$B$94,'Live Medal Table'!$G$2:$G$94,0),0))</f>
        <v>0</v>
      </c>
      <c r="V279" s="29">
        <f t="array" ref="V279">IF(R279="",0,IFERROR(XLOOKUP(R279,'Live Medal Table'!$B$2:$B$94,'Live Medal Table'!$H$2:$H$94,0),0))</f>
        <v>0</v>
      </c>
      <c r="W279" s="29">
        <f t="array" ref="W279">IF(R279="",0,IFERROR(XLOOKUP(R279,'Live Medal Table'!$B$2:$B$94,'Live Medal Table'!$I$2:$I$94,0),0))</f>
        <v>0</v>
      </c>
      <c r="X279" s="29">
        <f t="shared" si="1"/>
        <v>0</v>
      </c>
      <c r="Y279" s="29">
        <f t="shared" si="2"/>
        <v>0</v>
      </c>
      <c r="Z279" s="29">
        <f t="shared" si="3"/>
        <v>0</v>
      </c>
      <c r="AA279" s="29">
        <f t="shared" si="4"/>
        <v>0</v>
      </c>
      <c r="AB279" s="29" t="b">
        <f t="array" ref="AB279">IF(R279="",FALSE,IFERROR(AND(ISNUMBER(MATCH(R279,'Live Medal Table'!$B$2:$B$94,0)),XLOOKUP(R279,'Live Medal Table'!$B$2:$B$94,Countries!$I$2:$I$72,FALSE)),FALSE))</f>
        <v>0</v>
      </c>
    </row>
    <row r="280" ht="15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29"/>
      <c r="M280" s="29"/>
      <c r="N280" s="29" t="str">
        <f t="array" ref="N280">IFERROR(IF(INDEX(Entries!$C$2:$C$47,35)="","",INDEX(Entries!$Q$2:$Q$47,35)),"")</f>
        <v/>
      </c>
      <c r="O280" s="29" t="str">
        <f t="array" ref="O280">IF(N280="","",IFERROR(INDEX(Entries!$E$2:$E$47,35),""))</f>
        <v/>
      </c>
      <c r="P280" s="29" t="str">
        <f>IF(N280="","","Tier6_Pick1")</f>
        <v/>
      </c>
      <c r="Q280" s="29" t="str">
        <f t="shared" ref="Q280:Q281" si="74">IF(N280="","",6)</f>
        <v/>
      </c>
      <c r="R280" s="29" t="str">
        <f t="array" ref="R280">IF(N280="","",IFERROR(INDEX(Entries!$O$2:$O$47,35),""))</f>
        <v/>
      </c>
      <c r="S280" s="29" t="str">
        <f t="array" ref="S280">IF(R280="","",IFERROR(XLOOKUP(R280,'Live Medal Table'!$B$2:$B$94,'Live Medal Table'!$C$2:$C$94,"???"),"???"))</f>
        <v/>
      </c>
      <c r="T280" s="29">
        <f t="array" ref="T280">IF(R280="",0,IFERROR(XLOOKUP(R280,'Live Medal Table'!$B$2:$B$94,'Live Medal Table'!$F$2:$F$94,0),0))</f>
        <v>0</v>
      </c>
      <c r="U280" s="29">
        <f t="array" ref="U280">IF(R280="",0,IFERROR(XLOOKUP(R280,'Live Medal Table'!$B$2:$B$94,'Live Medal Table'!$G$2:$G$94,0),0))</f>
        <v>0</v>
      </c>
      <c r="V280" s="29">
        <f t="array" ref="V280">IF(R280="",0,IFERROR(XLOOKUP(R280,'Live Medal Table'!$B$2:$B$94,'Live Medal Table'!$H$2:$H$94,0),0))</f>
        <v>0</v>
      </c>
      <c r="W280" s="29">
        <f t="array" ref="W280">IF(R280="",0,IFERROR(XLOOKUP(R280,'Live Medal Table'!$B$2:$B$94,'Live Medal Table'!$I$2:$I$94,0),0))</f>
        <v>0</v>
      </c>
      <c r="X280" s="29">
        <f t="shared" si="1"/>
        <v>0</v>
      </c>
      <c r="Y280" s="29">
        <f t="shared" si="2"/>
        <v>0</v>
      </c>
      <c r="Z280" s="29">
        <f t="shared" si="3"/>
        <v>0</v>
      </c>
      <c r="AA280" s="29">
        <f t="shared" si="4"/>
        <v>0</v>
      </c>
      <c r="AB280" s="29" t="b">
        <f t="array" ref="AB280">IF(R280="",FALSE,IFERROR(AND(ISNUMBER(MATCH(R280,'Live Medal Table'!$B$2:$B$94,0)),XLOOKUP(R280,'Live Medal Table'!$B$2:$B$94,Countries!$I$2:$I$72,FALSE)),FALSE))</f>
        <v>0</v>
      </c>
    </row>
    <row r="281" ht="15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29"/>
      <c r="M281" s="29"/>
      <c r="N281" s="29" t="str">
        <f t="array" ref="N281">IFERROR(IF(INDEX(Entries!$C$2:$C$47,35)="","",INDEX(Entries!$Q$2:$Q$47,35)),"")</f>
        <v/>
      </c>
      <c r="O281" s="29" t="str">
        <f t="array" ref="O281">IF(N281="","",IFERROR(INDEX(Entries!$E$2:$E$47,35),""))</f>
        <v/>
      </c>
      <c r="P281" s="29" t="str">
        <f>IF(N281="","","Tier6_Pick2")</f>
        <v/>
      </c>
      <c r="Q281" s="29" t="str">
        <f t="shared" si="74"/>
        <v/>
      </c>
      <c r="R281" s="29" t="str">
        <f t="array" ref="R281">IF(N281="","",IFERROR(INDEX(Entries!$P$2:$P$47,35),""))</f>
        <v/>
      </c>
      <c r="S281" s="29" t="str">
        <f t="array" ref="S281">IF(R281="","",IFERROR(XLOOKUP(R281,'Live Medal Table'!$B$2:$B$94,'Live Medal Table'!$C$2:$C$94,"???"),"???"))</f>
        <v/>
      </c>
      <c r="T281" s="29">
        <f t="array" ref="T281">IF(R281="",0,IFERROR(XLOOKUP(R281,'Live Medal Table'!$B$2:$B$94,'Live Medal Table'!$F$2:$F$94,0),0))</f>
        <v>0</v>
      </c>
      <c r="U281" s="29">
        <f t="array" ref="U281">IF(R281="",0,IFERROR(XLOOKUP(R281,'Live Medal Table'!$B$2:$B$94,'Live Medal Table'!$G$2:$G$94,0),0))</f>
        <v>0</v>
      </c>
      <c r="V281" s="29">
        <f t="array" ref="V281">IF(R281="",0,IFERROR(XLOOKUP(R281,'Live Medal Table'!$B$2:$B$94,'Live Medal Table'!$H$2:$H$94,0),0))</f>
        <v>0</v>
      </c>
      <c r="W281" s="29">
        <f t="array" ref="W281">IF(R281="",0,IFERROR(XLOOKUP(R281,'Live Medal Table'!$B$2:$B$94,'Live Medal Table'!$I$2:$I$94,0),0))</f>
        <v>0</v>
      </c>
      <c r="X281" s="29">
        <f t="shared" si="1"/>
        <v>0</v>
      </c>
      <c r="Y281" s="29">
        <f t="shared" si="2"/>
        <v>0</v>
      </c>
      <c r="Z281" s="29">
        <f t="shared" si="3"/>
        <v>0</v>
      </c>
      <c r="AA281" s="29">
        <f t="shared" si="4"/>
        <v>0</v>
      </c>
      <c r="AB281" s="29" t="b">
        <f t="array" ref="AB281">IF(R281="",FALSE,IFERROR(AND(ISNUMBER(MATCH(R281,'Live Medal Table'!$B$2:$B$94,0)),XLOOKUP(R281,'Live Medal Table'!$B$2:$B$94,Countries!$I$2:$I$72,FALSE)),FALSE))</f>
        <v>0</v>
      </c>
    </row>
    <row r="282" ht="15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29"/>
      <c r="M282" s="29"/>
      <c r="N282" s="29" t="str">
        <f t="array" ref="N282">IFERROR(IF(INDEX(Entries!$C$2:$C$47,36)="","",INDEX(Entries!$Q$2:$Q$47,36)),"")</f>
        <v/>
      </c>
      <c r="O282" s="29" t="str">
        <f t="array" ref="O282">IF(N282="","",IFERROR(INDEX(Entries!$E$2:$E$47,36),""))</f>
        <v/>
      </c>
      <c r="P282" s="29" t="str">
        <f>IF(N282="","","Tier1_Pick1")</f>
        <v/>
      </c>
      <c r="Q282" s="29" t="str">
        <f>IF(N282="","",1)</f>
        <v/>
      </c>
      <c r="R282" s="29" t="str">
        <f t="array" ref="R282">IF(N282="","",IFERROR(INDEX(Entries!$F$2:$F$47,36),""))</f>
        <v/>
      </c>
      <c r="S282" s="29" t="str">
        <f t="array" ref="S282">IF(R282="","",IFERROR(XLOOKUP(R282,'Live Medal Table'!$B$2:$B$94,'Live Medal Table'!$C$2:$C$94,"???"),"???"))</f>
        <v/>
      </c>
      <c r="T282" s="29">
        <f t="array" ref="T282">IF(R282="",0,IFERROR(XLOOKUP(R282,'Live Medal Table'!$B$2:$B$94,'Live Medal Table'!$F$2:$F$94,0),0))</f>
        <v>0</v>
      </c>
      <c r="U282" s="29">
        <f t="array" ref="U282">IF(R282="",0,IFERROR(XLOOKUP(R282,'Live Medal Table'!$B$2:$B$94,'Live Medal Table'!$G$2:$G$94,0),0))</f>
        <v>0</v>
      </c>
      <c r="V282" s="29">
        <f t="array" ref="V282">IF(R282="",0,IFERROR(XLOOKUP(R282,'Live Medal Table'!$B$2:$B$94,'Live Medal Table'!$H$2:$H$94,0),0))</f>
        <v>0</v>
      </c>
      <c r="W282" s="29">
        <f t="array" ref="W282">IF(R282="",0,IFERROR(XLOOKUP(R282,'Live Medal Table'!$B$2:$B$94,'Live Medal Table'!$I$2:$I$94,0),0))</f>
        <v>0</v>
      </c>
      <c r="X282" s="29">
        <f t="shared" si="1"/>
        <v>0</v>
      </c>
      <c r="Y282" s="29">
        <f t="shared" si="2"/>
        <v>0</v>
      </c>
      <c r="Z282" s="29">
        <f t="shared" si="3"/>
        <v>0</v>
      </c>
      <c r="AA282" s="29">
        <f t="shared" si="4"/>
        <v>0</v>
      </c>
      <c r="AB282" s="29" t="b">
        <f t="array" ref="AB282">IF(R282="",FALSE,IFERROR(AND(ISNUMBER(MATCH(R282,'Live Medal Table'!$B$2:$B$94,0)),XLOOKUP(R282,'Live Medal Table'!$B$2:$B$94,Countries!$I$2:$I$72,FALSE)),FALSE))</f>
        <v>0</v>
      </c>
    </row>
    <row r="283" ht="15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29"/>
      <c r="M283" s="29"/>
      <c r="N283" s="29" t="str">
        <f t="array" ref="N283">IFERROR(IF(INDEX(Entries!$C$2:$C$47,36)="","",INDEX(Entries!$Q$2:$Q$47,36)),"")</f>
        <v/>
      </c>
      <c r="O283" s="29" t="str">
        <f t="array" ref="O283">IF(N283="","",IFERROR(INDEX(Entries!$E$2:$E$47,36),""))</f>
        <v/>
      </c>
      <c r="P283" s="29" t="str">
        <f>IF(N283="","","Tier2_Pick1")</f>
        <v/>
      </c>
      <c r="Q283" s="29" t="str">
        <f t="shared" ref="Q283:Q284" si="75">IF(N283="","",2)</f>
        <v/>
      </c>
      <c r="R283" s="29" t="str">
        <f t="array" ref="R283">IF(N283="","",IFERROR(INDEX(Entries!$M$2:$M$47,36),""))</f>
        <v/>
      </c>
      <c r="S283" s="29" t="str">
        <f t="array" ref="S283">IF(R283="","",IFERROR(XLOOKUP(R283,'Live Medal Table'!$B$2:$B$94,'Live Medal Table'!$C$2:$C$94,"???"),"???"))</f>
        <v/>
      </c>
      <c r="T283" s="29">
        <f t="array" ref="T283">IF(R283="",0,IFERROR(XLOOKUP(R283,'Live Medal Table'!$B$2:$B$94,'Live Medal Table'!$F$2:$F$94,0),0))</f>
        <v>0</v>
      </c>
      <c r="U283" s="29">
        <f t="array" ref="U283">IF(R283="",0,IFERROR(XLOOKUP(R283,'Live Medal Table'!$B$2:$B$94,'Live Medal Table'!$G$2:$G$94,0),0))</f>
        <v>0</v>
      </c>
      <c r="V283" s="29">
        <f t="array" ref="V283">IF(R283="",0,IFERROR(XLOOKUP(R283,'Live Medal Table'!$B$2:$B$94,'Live Medal Table'!$H$2:$H$94,0),0))</f>
        <v>0</v>
      </c>
      <c r="W283" s="29">
        <f t="array" ref="W283">IF(R283="",0,IFERROR(XLOOKUP(R283,'Live Medal Table'!$B$2:$B$94,'Live Medal Table'!$I$2:$I$94,0),0))</f>
        <v>0</v>
      </c>
      <c r="X283" s="29">
        <f t="shared" si="1"/>
        <v>0</v>
      </c>
      <c r="Y283" s="29">
        <f t="shared" si="2"/>
        <v>0</v>
      </c>
      <c r="Z283" s="29">
        <f t="shared" si="3"/>
        <v>0</v>
      </c>
      <c r="AA283" s="29">
        <f t="shared" si="4"/>
        <v>0</v>
      </c>
      <c r="AB283" s="29" t="b">
        <f t="array" ref="AB283">IF(R283="",FALSE,IFERROR(AND(ISNUMBER(MATCH(R283,'Live Medal Table'!$B$2:$B$94,0)),XLOOKUP(R283,'Live Medal Table'!$B$2:$B$94,Countries!$I$2:$I$72,FALSE)),FALSE))</f>
        <v>0</v>
      </c>
    </row>
    <row r="284" ht="15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29"/>
      <c r="M284" s="29"/>
      <c r="N284" s="29" t="str">
        <f t="array" ref="N284">IFERROR(IF(INDEX(Entries!$C$2:$C$47,36)="","",INDEX(Entries!$Q$2:$Q$47,36)),"")</f>
        <v/>
      </c>
      <c r="O284" s="29" t="str">
        <f t="array" ref="O284">IF(N284="","",IFERROR(INDEX(Entries!$E$2:$E$47,36),""))</f>
        <v/>
      </c>
      <c r="P284" s="29" t="str">
        <f>IF(N284="","","Tier2_Pick2")</f>
        <v/>
      </c>
      <c r="Q284" s="29" t="str">
        <f t="shared" si="75"/>
        <v/>
      </c>
      <c r="R284" s="29" t="str">
        <f t="array" ref="R284">IF(N284="","",IFERROR(INDEX(Entries!$N$2:$N$47,36),""))</f>
        <v/>
      </c>
      <c r="S284" s="29" t="str">
        <f t="array" ref="S284">IF(R284="","",IFERROR(XLOOKUP(R284,'Live Medal Table'!$B$2:$B$94,'Live Medal Table'!$C$2:$C$94,"???"),"???"))</f>
        <v/>
      </c>
      <c r="T284" s="29">
        <f t="array" ref="T284">IF(R284="",0,IFERROR(XLOOKUP(R284,'Live Medal Table'!$B$2:$B$94,'Live Medal Table'!$F$2:$F$94,0),0))</f>
        <v>0</v>
      </c>
      <c r="U284" s="29">
        <f t="array" ref="U284">IF(R284="",0,IFERROR(XLOOKUP(R284,'Live Medal Table'!$B$2:$B$94,'Live Medal Table'!$G$2:$G$94,0),0))</f>
        <v>0</v>
      </c>
      <c r="V284" s="29">
        <f t="array" ref="V284">IF(R284="",0,IFERROR(XLOOKUP(R284,'Live Medal Table'!$B$2:$B$94,'Live Medal Table'!$H$2:$H$94,0),0))</f>
        <v>0</v>
      </c>
      <c r="W284" s="29">
        <f t="array" ref="W284">IF(R284="",0,IFERROR(XLOOKUP(R284,'Live Medal Table'!$B$2:$B$94,'Live Medal Table'!$I$2:$I$94,0),0))</f>
        <v>0</v>
      </c>
      <c r="X284" s="29">
        <f t="shared" si="1"/>
        <v>0</v>
      </c>
      <c r="Y284" s="29">
        <f t="shared" si="2"/>
        <v>0</v>
      </c>
      <c r="Z284" s="29">
        <f t="shared" si="3"/>
        <v>0</v>
      </c>
      <c r="AA284" s="29">
        <f t="shared" si="4"/>
        <v>0</v>
      </c>
      <c r="AB284" s="29" t="b">
        <f t="array" ref="AB284">IF(R284="",FALSE,IFERROR(AND(ISNUMBER(MATCH(R284,'Live Medal Table'!$B$2:$B$94,0)),XLOOKUP(R284,'Live Medal Table'!$B$2:$B$94,Countries!$I$2:$I$72,FALSE)),FALSE))</f>
        <v>0</v>
      </c>
    </row>
    <row r="285" ht="15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29"/>
      <c r="M285" s="29"/>
      <c r="N285" s="29" t="str">
        <f t="array" ref="N285">IFERROR(IF(INDEX(Entries!$C$2:$C$47,36)="","",INDEX(Entries!$Q$2:$Q$47,36)),"")</f>
        <v/>
      </c>
      <c r="O285" s="29" t="str">
        <f t="array" ref="O285">IF(N285="","",IFERROR(INDEX(Entries!$E$2:$E$47,36),""))</f>
        <v/>
      </c>
      <c r="P285" s="29" t="str">
        <f>IF(N285="","","Tier3_Pick1")</f>
        <v/>
      </c>
      <c r="Q285" s="29" t="str">
        <f>IF(N285="","",3)</f>
        <v/>
      </c>
      <c r="R285" s="29" t="str">
        <f t="array" ref="R285">IF(N285="","",IFERROR(INDEX(Entries!$H$2:$H$47,36),""))</f>
        <v/>
      </c>
      <c r="S285" s="29" t="str">
        <f t="array" ref="S285">IF(R285="","",IFERROR(XLOOKUP(R285,'Live Medal Table'!$B$2:$B$94,'Live Medal Table'!$C$2:$C$94,"???"),"???"))</f>
        <v/>
      </c>
      <c r="T285" s="29">
        <f t="array" ref="T285">IF(R285="",0,IFERROR(XLOOKUP(R285,'Live Medal Table'!$B$2:$B$94,'Live Medal Table'!$F$2:$F$94,0),0))</f>
        <v>0</v>
      </c>
      <c r="U285" s="29">
        <f t="array" ref="U285">IF(R285="",0,IFERROR(XLOOKUP(R285,'Live Medal Table'!$B$2:$B$94,'Live Medal Table'!$G$2:$G$94,0),0))</f>
        <v>0</v>
      </c>
      <c r="V285" s="29">
        <f t="array" ref="V285">IF(R285="",0,IFERROR(XLOOKUP(R285,'Live Medal Table'!$B$2:$B$94,'Live Medal Table'!$H$2:$H$94,0),0))</f>
        <v>0</v>
      </c>
      <c r="W285" s="29">
        <f t="array" ref="W285">IF(R285="",0,IFERROR(XLOOKUP(R285,'Live Medal Table'!$B$2:$B$94,'Live Medal Table'!$I$2:$I$94,0),0))</f>
        <v>0</v>
      </c>
      <c r="X285" s="29">
        <f t="shared" si="1"/>
        <v>0</v>
      </c>
      <c r="Y285" s="29">
        <f t="shared" si="2"/>
        <v>0</v>
      </c>
      <c r="Z285" s="29">
        <f t="shared" si="3"/>
        <v>0</v>
      </c>
      <c r="AA285" s="29">
        <f t="shared" si="4"/>
        <v>0</v>
      </c>
      <c r="AB285" s="29" t="b">
        <f t="array" ref="AB285">IF(R285="",FALSE,IFERROR(AND(ISNUMBER(MATCH(R285,'Live Medal Table'!$B$2:$B$94,0)),XLOOKUP(R285,'Live Medal Table'!$B$2:$B$94,Countries!$I$2:$I$72,FALSE)),FALSE))</f>
        <v>0</v>
      </c>
    </row>
    <row r="286" ht="15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29"/>
      <c r="M286" s="29"/>
      <c r="N286" s="29" t="str">
        <f t="array" ref="N286">IFERROR(IF(INDEX(Entries!$C$2:$C$47,36)="","",INDEX(Entries!$Q$2:$Q$47,36)),"")</f>
        <v/>
      </c>
      <c r="O286" s="29" t="str">
        <f t="array" ref="O286">IF(N286="","",IFERROR(INDEX(Entries!$E$2:$E$47,36),""))</f>
        <v/>
      </c>
      <c r="P286" s="29" t="str">
        <f>IF(N286="","","Tier4_Pick1")</f>
        <v/>
      </c>
      <c r="Q286" s="29" t="str">
        <f>IF(N286="","",4)</f>
        <v/>
      </c>
      <c r="R286" s="29" t="str">
        <f t="array" ref="R286">IF(N286="","",IFERROR(INDEX(Entries!$I$2:$I$47,36),""))</f>
        <v/>
      </c>
      <c r="S286" s="29" t="str">
        <f t="array" ref="S286">IF(R286="","",IFERROR(XLOOKUP(R286,'Live Medal Table'!$B$2:$B$94,'Live Medal Table'!$C$2:$C$94,"???"),"???"))</f>
        <v/>
      </c>
      <c r="T286" s="29">
        <f t="array" ref="T286">IF(R286="",0,IFERROR(XLOOKUP(R286,'Live Medal Table'!$B$2:$B$94,'Live Medal Table'!$F$2:$F$94,0),0))</f>
        <v>0</v>
      </c>
      <c r="U286" s="29">
        <f t="array" ref="U286">IF(R286="",0,IFERROR(XLOOKUP(R286,'Live Medal Table'!$B$2:$B$94,'Live Medal Table'!$G$2:$G$94,0),0))</f>
        <v>0</v>
      </c>
      <c r="V286" s="29">
        <f t="array" ref="V286">IF(R286="",0,IFERROR(XLOOKUP(R286,'Live Medal Table'!$B$2:$B$94,'Live Medal Table'!$H$2:$H$94,0),0))</f>
        <v>0</v>
      </c>
      <c r="W286" s="29">
        <f t="array" ref="W286">IF(R286="",0,IFERROR(XLOOKUP(R286,'Live Medal Table'!$B$2:$B$94,'Live Medal Table'!$I$2:$I$94,0),0))</f>
        <v>0</v>
      </c>
      <c r="X286" s="29">
        <f t="shared" si="1"/>
        <v>0</v>
      </c>
      <c r="Y286" s="29">
        <f t="shared" si="2"/>
        <v>0</v>
      </c>
      <c r="Z286" s="29">
        <f t="shared" si="3"/>
        <v>0</v>
      </c>
      <c r="AA286" s="29">
        <f t="shared" si="4"/>
        <v>0</v>
      </c>
      <c r="AB286" s="29" t="b">
        <f t="array" ref="AB286">IF(R286="",FALSE,IFERROR(AND(ISNUMBER(MATCH(R286,'Live Medal Table'!$B$2:$B$94,0)),XLOOKUP(R286,'Live Medal Table'!$B$2:$B$94,Countries!$I$2:$I$72,FALSE)),FALSE))</f>
        <v>0</v>
      </c>
    </row>
    <row r="287" ht="15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29"/>
      <c r="M287" s="29"/>
      <c r="N287" s="29" t="str">
        <f t="array" ref="N287">IFERROR(IF(INDEX(Entries!$C$2:$C$47,36)="","",INDEX(Entries!$Q$2:$Q$47,36)),"")</f>
        <v/>
      </c>
      <c r="O287" s="29" t="str">
        <f t="array" ref="O287">IF(N287="","",IFERROR(INDEX(Entries!$E$2:$E$47,36),""))</f>
        <v/>
      </c>
      <c r="P287" s="29" t="str">
        <f>IF(N287="","","Tier5_Pick1")</f>
        <v/>
      </c>
      <c r="Q287" s="29" t="str">
        <f>IF(N287="","",5)</f>
        <v/>
      </c>
      <c r="R287" s="29" t="str">
        <f t="array" ref="R287">IF(N287="","",IFERROR(INDEX(Entries!$J$2:$J$47,36),""))</f>
        <v/>
      </c>
      <c r="S287" s="29" t="str">
        <f t="array" ref="S287">IF(R287="","",IFERROR(XLOOKUP(R287,'Live Medal Table'!$B$2:$B$94,'Live Medal Table'!$C$2:$C$94,"???"),"???"))</f>
        <v/>
      </c>
      <c r="T287" s="29">
        <f t="array" ref="T287">IF(R287="",0,IFERROR(XLOOKUP(R287,'Live Medal Table'!$B$2:$B$94,'Live Medal Table'!$F$2:$F$94,0),0))</f>
        <v>0</v>
      </c>
      <c r="U287" s="29">
        <f t="array" ref="U287">IF(R287="",0,IFERROR(XLOOKUP(R287,'Live Medal Table'!$B$2:$B$94,'Live Medal Table'!$G$2:$G$94,0),0))</f>
        <v>0</v>
      </c>
      <c r="V287" s="29">
        <f t="array" ref="V287">IF(R287="",0,IFERROR(XLOOKUP(R287,'Live Medal Table'!$B$2:$B$94,'Live Medal Table'!$H$2:$H$94,0),0))</f>
        <v>0</v>
      </c>
      <c r="W287" s="29">
        <f t="array" ref="W287">IF(R287="",0,IFERROR(XLOOKUP(R287,'Live Medal Table'!$B$2:$B$94,'Live Medal Table'!$I$2:$I$94,0),0))</f>
        <v>0</v>
      </c>
      <c r="X287" s="29">
        <f t="shared" si="1"/>
        <v>0</v>
      </c>
      <c r="Y287" s="29">
        <f t="shared" si="2"/>
        <v>0</v>
      </c>
      <c r="Z287" s="29">
        <f t="shared" si="3"/>
        <v>0</v>
      </c>
      <c r="AA287" s="29">
        <f t="shared" si="4"/>
        <v>0</v>
      </c>
      <c r="AB287" s="29" t="b">
        <f t="array" ref="AB287">IF(R287="",FALSE,IFERROR(AND(ISNUMBER(MATCH(R287,'Live Medal Table'!$B$2:$B$94,0)),XLOOKUP(R287,'Live Medal Table'!$B$2:$B$94,Countries!$I$2:$I$72,FALSE)),FALSE))</f>
        <v>0</v>
      </c>
    </row>
    <row r="288" ht="15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29"/>
      <c r="M288" s="29"/>
      <c r="N288" s="29" t="str">
        <f t="array" ref="N288">IFERROR(IF(INDEX(Entries!$C$2:$C$47,36)="","",INDEX(Entries!$Q$2:$Q$47,36)),"")</f>
        <v/>
      </c>
      <c r="O288" s="29" t="str">
        <f t="array" ref="O288">IF(N288="","",IFERROR(INDEX(Entries!$E$2:$E$47,36),""))</f>
        <v/>
      </c>
      <c r="P288" s="29" t="str">
        <f>IF(N288="","","Tier6_Pick1")</f>
        <v/>
      </c>
      <c r="Q288" s="29" t="str">
        <f t="shared" ref="Q288:Q289" si="76">IF(N288="","",6)</f>
        <v/>
      </c>
      <c r="R288" s="29" t="str">
        <f t="array" ref="R288">IF(N288="","",IFERROR(INDEX(Entries!$O$2:$O$47,36),""))</f>
        <v/>
      </c>
      <c r="S288" s="29" t="str">
        <f t="array" ref="S288">IF(R288="","",IFERROR(XLOOKUP(R288,'Live Medal Table'!$B$2:$B$94,'Live Medal Table'!$C$2:$C$94,"???"),"???"))</f>
        <v/>
      </c>
      <c r="T288" s="29">
        <f t="array" ref="T288">IF(R288="",0,IFERROR(XLOOKUP(R288,'Live Medal Table'!$B$2:$B$94,'Live Medal Table'!$F$2:$F$94,0),0))</f>
        <v>0</v>
      </c>
      <c r="U288" s="29">
        <f t="array" ref="U288">IF(R288="",0,IFERROR(XLOOKUP(R288,'Live Medal Table'!$B$2:$B$94,'Live Medal Table'!$G$2:$G$94,0),0))</f>
        <v>0</v>
      </c>
      <c r="V288" s="29">
        <f t="array" ref="V288">IF(R288="",0,IFERROR(XLOOKUP(R288,'Live Medal Table'!$B$2:$B$94,'Live Medal Table'!$H$2:$H$94,0),0))</f>
        <v>0</v>
      </c>
      <c r="W288" s="29">
        <f t="array" ref="W288">IF(R288="",0,IFERROR(XLOOKUP(R288,'Live Medal Table'!$B$2:$B$94,'Live Medal Table'!$I$2:$I$94,0),0))</f>
        <v>0</v>
      </c>
      <c r="X288" s="29">
        <f t="shared" si="1"/>
        <v>0</v>
      </c>
      <c r="Y288" s="29">
        <f t="shared" si="2"/>
        <v>0</v>
      </c>
      <c r="Z288" s="29">
        <f t="shared" si="3"/>
        <v>0</v>
      </c>
      <c r="AA288" s="29">
        <f t="shared" si="4"/>
        <v>0</v>
      </c>
      <c r="AB288" s="29" t="b">
        <f t="array" ref="AB288">IF(R288="",FALSE,IFERROR(AND(ISNUMBER(MATCH(R288,'Live Medal Table'!$B$2:$B$94,0)),XLOOKUP(R288,'Live Medal Table'!$B$2:$B$94,Countries!$I$2:$I$72,FALSE)),FALSE))</f>
        <v>0</v>
      </c>
    </row>
    <row r="289" ht="15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29"/>
      <c r="M289" s="29"/>
      <c r="N289" s="29" t="str">
        <f t="array" ref="N289">IFERROR(IF(INDEX(Entries!$C$2:$C$47,36)="","",INDEX(Entries!$Q$2:$Q$47,36)),"")</f>
        <v/>
      </c>
      <c r="O289" s="29" t="str">
        <f t="array" ref="O289">IF(N289="","",IFERROR(INDEX(Entries!$E$2:$E$47,36),""))</f>
        <v/>
      </c>
      <c r="P289" s="29" t="str">
        <f>IF(N289="","","Tier6_Pick2")</f>
        <v/>
      </c>
      <c r="Q289" s="29" t="str">
        <f t="shared" si="76"/>
        <v/>
      </c>
      <c r="R289" s="29" t="str">
        <f t="array" ref="R289">IF(N289="","",IFERROR(INDEX(Entries!$P$2:$P$47,36),""))</f>
        <v/>
      </c>
      <c r="S289" s="29" t="str">
        <f t="array" ref="S289">IF(R289="","",IFERROR(XLOOKUP(R289,'Live Medal Table'!$B$2:$B$94,'Live Medal Table'!$C$2:$C$94,"???"),"???"))</f>
        <v/>
      </c>
      <c r="T289" s="29">
        <f t="array" ref="T289">IF(R289="",0,IFERROR(XLOOKUP(R289,'Live Medal Table'!$B$2:$B$94,'Live Medal Table'!$F$2:$F$94,0),0))</f>
        <v>0</v>
      </c>
      <c r="U289" s="29">
        <f t="array" ref="U289">IF(R289="",0,IFERROR(XLOOKUP(R289,'Live Medal Table'!$B$2:$B$94,'Live Medal Table'!$G$2:$G$94,0),0))</f>
        <v>0</v>
      </c>
      <c r="V289" s="29">
        <f t="array" ref="V289">IF(R289="",0,IFERROR(XLOOKUP(R289,'Live Medal Table'!$B$2:$B$94,'Live Medal Table'!$H$2:$H$94,0),0))</f>
        <v>0</v>
      </c>
      <c r="W289" s="29">
        <f t="array" ref="W289">IF(R289="",0,IFERROR(XLOOKUP(R289,'Live Medal Table'!$B$2:$B$94,'Live Medal Table'!$I$2:$I$94,0),0))</f>
        <v>0</v>
      </c>
      <c r="X289" s="29">
        <f t="shared" si="1"/>
        <v>0</v>
      </c>
      <c r="Y289" s="29">
        <f t="shared" si="2"/>
        <v>0</v>
      </c>
      <c r="Z289" s="29">
        <f t="shared" si="3"/>
        <v>0</v>
      </c>
      <c r="AA289" s="29">
        <f t="shared" si="4"/>
        <v>0</v>
      </c>
      <c r="AB289" s="29" t="b">
        <f t="array" ref="AB289">IF(R289="",FALSE,IFERROR(AND(ISNUMBER(MATCH(R289,'Live Medal Table'!$B$2:$B$94,0)),XLOOKUP(R289,'Live Medal Table'!$B$2:$B$94,Countries!$I$2:$I$72,FALSE)),FALSE))</f>
        <v>0</v>
      </c>
    </row>
    <row r="290" ht="15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29"/>
      <c r="M290" s="29"/>
      <c r="N290" s="29" t="str">
        <f t="array" ref="N290">IFERROR(IF(INDEX(Entries!$C$2:$C$47,37)="","",INDEX(Entries!$Q$2:$Q$47,37)),"")</f>
        <v/>
      </c>
      <c r="O290" s="29" t="str">
        <f t="array" ref="O290">IF(N290="","",IFERROR(INDEX(Entries!$E$2:$E$47,37),""))</f>
        <v/>
      </c>
      <c r="P290" s="29" t="str">
        <f>IF(N290="","","Tier1_Pick1")</f>
        <v/>
      </c>
      <c r="Q290" s="29" t="str">
        <f>IF(N290="","",1)</f>
        <v/>
      </c>
      <c r="R290" s="29" t="str">
        <f t="array" ref="R290">IF(N290="","",IFERROR(INDEX(Entries!$F$2:$F$47,37),""))</f>
        <v/>
      </c>
      <c r="S290" s="29" t="str">
        <f t="array" ref="S290">IF(R290="","",IFERROR(XLOOKUP(R290,'Live Medal Table'!$B$2:$B$94,'Live Medal Table'!$C$2:$C$94,"???"),"???"))</f>
        <v/>
      </c>
      <c r="T290" s="29">
        <f t="array" ref="T290">IF(R290="",0,IFERROR(XLOOKUP(R290,'Live Medal Table'!$B$2:$B$94,'Live Medal Table'!$F$2:$F$94,0),0))</f>
        <v>0</v>
      </c>
      <c r="U290" s="29">
        <f t="array" ref="U290">IF(R290="",0,IFERROR(XLOOKUP(R290,'Live Medal Table'!$B$2:$B$94,'Live Medal Table'!$G$2:$G$94,0),0))</f>
        <v>0</v>
      </c>
      <c r="V290" s="29">
        <f t="array" ref="V290">IF(R290="",0,IFERROR(XLOOKUP(R290,'Live Medal Table'!$B$2:$B$94,'Live Medal Table'!$H$2:$H$94,0),0))</f>
        <v>0</v>
      </c>
      <c r="W290" s="29">
        <f t="array" ref="W290">IF(R290="",0,IFERROR(XLOOKUP(R290,'Live Medal Table'!$B$2:$B$94,'Live Medal Table'!$I$2:$I$94,0),0))</f>
        <v>0</v>
      </c>
      <c r="X290" s="29">
        <f t="shared" si="1"/>
        <v>0</v>
      </c>
      <c r="Y290" s="29">
        <f t="shared" si="2"/>
        <v>0</v>
      </c>
      <c r="Z290" s="29">
        <f t="shared" si="3"/>
        <v>0</v>
      </c>
      <c r="AA290" s="29">
        <f t="shared" si="4"/>
        <v>0</v>
      </c>
      <c r="AB290" s="29" t="b">
        <f t="array" ref="AB290">IF(R290="",FALSE,IFERROR(AND(ISNUMBER(MATCH(R290,'Live Medal Table'!$B$2:$B$94,0)),XLOOKUP(R290,'Live Medal Table'!$B$2:$B$94,Countries!$I$2:$I$72,FALSE)),FALSE))</f>
        <v>0</v>
      </c>
    </row>
    <row r="291" ht="15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29"/>
      <c r="M291" s="29"/>
      <c r="N291" s="29" t="str">
        <f t="array" ref="N291">IFERROR(IF(INDEX(Entries!$C$2:$C$47,37)="","",INDEX(Entries!$Q$2:$Q$47,37)),"")</f>
        <v/>
      </c>
      <c r="O291" s="29" t="str">
        <f t="array" ref="O291">IF(N291="","",IFERROR(INDEX(Entries!$E$2:$E$47,37),""))</f>
        <v/>
      </c>
      <c r="P291" s="29" t="str">
        <f>IF(N291="","","Tier2_Pick1")</f>
        <v/>
      </c>
      <c r="Q291" s="29" t="str">
        <f t="shared" ref="Q291:Q292" si="77">IF(N291="","",2)</f>
        <v/>
      </c>
      <c r="R291" s="29" t="str">
        <f t="array" ref="R291">IF(N291="","",IFERROR(INDEX(Entries!$M$2:$M$47,37),""))</f>
        <v/>
      </c>
      <c r="S291" s="29" t="str">
        <f t="array" ref="S291">IF(R291="","",IFERROR(XLOOKUP(R291,'Live Medal Table'!$B$2:$B$94,'Live Medal Table'!$C$2:$C$94,"???"),"???"))</f>
        <v/>
      </c>
      <c r="T291" s="29">
        <f t="array" ref="T291">IF(R291="",0,IFERROR(XLOOKUP(R291,'Live Medal Table'!$B$2:$B$94,'Live Medal Table'!$F$2:$F$94,0),0))</f>
        <v>0</v>
      </c>
      <c r="U291" s="29">
        <f t="array" ref="U291">IF(R291="",0,IFERROR(XLOOKUP(R291,'Live Medal Table'!$B$2:$B$94,'Live Medal Table'!$G$2:$G$94,0),0))</f>
        <v>0</v>
      </c>
      <c r="V291" s="29">
        <f t="array" ref="V291">IF(R291="",0,IFERROR(XLOOKUP(R291,'Live Medal Table'!$B$2:$B$94,'Live Medal Table'!$H$2:$H$94,0),0))</f>
        <v>0</v>
      </c>
      <c r="W291" s="29">
        <f t="array" ref="W291">IF(R291="",0,IFERROR(XLOOKUP(R291,'Live Medal Table'!$B$2:$B$94,'Live Medal Table'!$I$2:$I$94,0),0))</f>
        <v>0</v>
      </c>
      <c r="X291" s="29">
        <f t="shared" si="1"/>
        <v>0</v>
      </c>
      <c r="Y291" s="29">
        <f t="shared" si="2"/>
        <v>0</v>
      </c>
      <c r="Z291" s="29">
        <f t="shared" si="3"/>
        <v>0</v>
      </c>
      <c r="AA291" s="29">
        <f t="shared" si="4"/>
        <v>0</v>
      </c>
      <c r="AB291" s="29" t="b">
        <f t="array" ref="AB291">IF(R291="",FALSE,IFERROR(AND(ISNUMBER(MATCH(R291,'Live Medal Table'!$B$2:$B$94,0)),XLOOKUP(R291,'Live Medal Table'!$B$2:$B$94,Countries!$I$2:$I$72,FALSE)),FALSE))</f>
        <v>0</v>
      </c>
    </row>
    <row r="292" ht="15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29"/>
      <c r="M292" s="29"/>
      <c r="N292" s="29" t="str">
        <f t="array" ref="N292">IFERROR(IF(INDEX(Entries!$C$2:$C$47,37)="","",INDEX(Entries!$Q$2:$Q$47,37)),"")</f>
        <v/>
      </c>
      <c r="O292" s="29" t="str">
        <f t="array" ref="O292">IF(N292="","",IFERROR(INDEX(Entries!$E$2:$E$47,37),""))</f>
        <v/>
      </c>
      <c r="P292" s="29" t="str">
        <f>IF(N292="","","Tier2_Pick2")</f>
        <v/>
      </c>
      <c r="Q292" s="29" t="str">
        <f t="shared" si="77"/>
        <v/>
      </c>
      <c r="R292" s="29" t="str">
        <f t="array" ref="R292">IF(N292="","",IFERROR(INDEX(Entries!$N$2:$N$47,37),""))</f>
        <v/>
      </c>
      <c r="S292" s="29" t="str">
        <f t="array" ref="S292">IF(R292="","",IFERROR(XLOOKUP(R292,'Live Medal Table'!$B$2:$B$94,'Live Medal Table'!$C$2:$C$94,"???"),"???"))</f>
        <v/>
      </c>
      <c r="T292" s="29">
        <f t="array" ref="T292">IF(R292="",0,IFERROR(XLOOKUP(R292,'Live Medal Table'!$B$2:$B$94,'Live Medal Table'!$F$2:$F$94,0),0))</f>
        <v>0</v>
      </c>
      <c r="U292" s="29">
        <f t="array" ref="U292">IF(R292="",0,IFERROR(XLOOKUP(R292,'Live Medal Table'!$B$2:$B$94,'Live Medal Table'!$G$2:$G$94,0),0))</f>
        <v>0</v>
      </c>
      <c r="V292" s="29">
        <f t="array" ref="V292">IF(R292="",0,IFERROR(XLOOKUP(R292,'Live Medal Table'!$B$2:$B$94,'Live Medal Table'!$H$2:$H$94,0),0))</f>
        <v>0</v>
      </c>
      <c r="W292" s="29">
        <f t="array" ref="W292">IF(R292="",0,IFERROR(XLOOKUP(R292,'Live Medal Table'!$B$2:$B$94,'Live Medal Table'!$I$2:$I$94,0),0))</f>
        <v>0</v>
      </c>
      <c r="X292" s="29">
        <f t="shared" si="1"/>
        <v>0</v>
      </c>
      <c r="Y292" s="29">
        <f t="shared" si="2"/>
        <v>0</v>
      </c>
      <c r="Z292" s="29">
        <f t="shared" si="3"/>
        <v>0</v>
      </c>
      <c r="AA292" s="29">
        <f t="shared" si="4"/>
        <v>0</v>
      </c>
      <c r="AB292" s="29" t="b">
        <f t="array" ref="AB292">IF(R292="",FALSE,IFERROR(AND(ISNUMBER(MATCH(R292,'Live Medal Table'!$B$2:$B$94,0)),XLOOKUP(R292,'Live Medal Table'!$B$2:$B$94,Countries!$I$2:$I$72,FALSE)),FALSE))</f>
        <v>0</v>
      </c>
    </row>
    <row r="293" ht="15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29"/>
      <c r="M293" s="29"/>
      <c r="N293" s="29" t="str">
        <f t="array" ref="N293">IFERROR(IF(INDEX(Entries!$C$2:$C$47,37)="","",INDEX(Entries!$Q$2:$Q$47,37)),"")</f>
        <v/>
      </c>
      <c r="O293" s="29" t="str">
        <f t="array" ref="O293">IF(N293="","",IFERROR(INDEX(Entries!$E$2:$E$47,37),""))</f>
        <v/>
      </c>
      <c r="P293" s="29" t="str">
        <f>IF(N293="","","Tier3_Pick1")</f>
        <v/>
      </c>
      <c r="Q293" s="29" t="str">
        <f>IF(N293="","",3)</f>
        <v/>
      </c>
      <c r="R293" s="29" t="str">
        <f t="array" ref="R293">IF(N293="","",IFERROR(INDEX(Entries!$H$2:$H$47,37),""))</f>
        <v/>
      </c>
      <c r="S293" s="29" t="str">
        <f t="array" ref="S293">IF(R293="","",IFERROR(XLOOKUP(R293,'Live Medal Table'!$B$2:$B$94,'Live Medal Table'!$C$2:$C$94,"???"),"???"))</f>
        <v/>
      </c>
      <c r="T293" s="29">
        <f t="array" ref="T293">IF(R293="",0,IFERROR(XLOOKUP(R293,'Live Medal Table'!$B$2:$B$94,'Live Medal Table'!$F$2:$F$94,0),0))</f>
        <v>0</v>
      </c>
      <c r="U293" s="29">
        <f t="array" ref="U293">IF(R293="",0,IFERROR(XLOOKUP(R293,'Live Medal Table'!$B$2:$B$94,'Live Medal Table'!$G$2:$G$94,0),0))</f>
        <v>0</v>
      </c>
      <c r="V293" s="29">
        <f t="array" ref="V293">IF(R293="",0,IFERROR(XLOOKUP(R293,'Live Medal Table'!$B$2:$B$94,'Live Medal Table'!$H$2:$H$94,0),0))</f>
        <v>0</v>
      </c>
      <c r="W293" s="29">
        <f t="array" ref="W293">IF(R293="",0,IFERROR(XLOOKUP(R293,'Live Medal Table'!$B$2:$B$94,'Live Medal Table'!$I$2:$I$94,0),0))</f>
        <v>0</v>
      </c>
      <c r="X293" s="29">
        <f t="shared" si="1"/>
        <v>0</v>
      </c>
      <c r="Y293" s="29">
        <f t="shared" si="2"/>
        <v>0</v>
      </c>
      <c r="Z293" s="29">
        <f t="shared" si="3"/>
        <v>0</v>
      </c>
      <c r="AA293" s="29">
        <f t="shared" si="4"/>
        <v>0</v>
      </c>
      <c r="AB293" s="29" t="b">
        <f t="array" ref="AB293">IF(R293="",FALSE,IFERROR(AND(ISNUMBER(MATCH(R293,'Live Medal Table'!$B$2:$B$94,0)),XLOOKUP(R293,'Live Medal Table'!$B$2:$B$94,Countries!$I$2:$I$72,FALSE)),FALSE))</f>
        <v>0</v>
      </c>
    </row>
    <row r="294" ht="15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29"/>
      <c r="M294" s="29"/>
      <c r="N294" s="29" t="str">
        <f t="array" ref="N294">IFERROR(IF(INDEX(Entries!$C$2:$C$47,37)="","",INDEX(Entries!$Q$2:$Q$47,37)),"")</f>
        <v/>
      </c>
      <c r="O294" s="29" t="str">
        <f t="array" ref="O294">IF(N294="","",IFERROR(INDEX(Entries!$E$2:$E$47,37),""))</f>
        <v/>
      </c>
      <c r="P294" s="29" t="str">
        <f>IF(N294="","","Tier4_Pick1")</f>
        <v/>
      </c>
      <c r="Q294" s="29" t="str">
        <f>IF(N294="","",4)</f>
        <v/>
      </c>
      <c r="R294" s="29" t="str">
        <f t="array" ref="R294">IF(N294="","",IFERROR(INDEX(Entries!$I$2:$I$47,37),""))</f>
        <v/>
      </c>
      <c r="S294" s="29" t="str">
        <f t="array" ref="S294">IF(R294="","",IFERROR(XLOOKUP(R294,'Live Medal Table'!$B$2:$B$94,'Live Medal Table'!$C$2:$C$94,"???"),"???"))</f>
        <v/>
      </c>
      <c r="T294" s="29">
        <f t="array" ref="T294">IF(R294="",0,IFERROR(XLOOKUP(R294,'Live Medal Table'!$B$2:$B$94,'Live Medal Table'!$F$2:$F$94,0),0))</f>
        <v>0</v>
      </c>
      <c r="U294" s="29">
        <f t="array" ref="U294">IF(R294="",0,IFERROR(XLOOKUP(R294,'Live Medal Table'!$B$2:$B$94,'Live Medal Table'!$G$2:$G$94,0),0))</f>
        <v>0</v>
      </c>
      <c r="V294" s="29">
        <f t="array" ref="V294">IF(R294="",0,IFERROR(XLOOKUP(R294,'Live Medal Table'!$B$2:$B$94,'Live Medal Table'!$H$2:$H$94,0),0))</f>
        <v>0</v>
      </c>
      <c r="W294" s="29">
        <f t="array" ref="W294">IF(R294="",0,IFERROR(XLOOKUP(R294,'Live Medal Table'!$B$2:$B$94,'Live Medal Table'!$I$2:$I$94,0),0))</f>
        <v>0</v>
      </c>
      <c r="X294" s="29">
        <f t="shared" si="1"/>
        <v>0</v>
      </c>
      <c r="Y294" s="29">
        <f t="shared" si="2"/>
        <v>0</v>
      </c>
      <c r="Z294" s="29">
        <f t="shared" si="3"/>
        <v>0</v>
      </c>
      <c r="AA294" s="29">
        <f t="shared" si="4"/>
        <v>0</v>
      </c>
      <c r="AB294" s="29" t="b">
        <f t="array" ref="AB294">IF(R294="",FALSE,IFERROR(AND(ISNUMBER(MATCH(R294,'Live Medal Table'!$B$2:$B$94,0)),XLOOKUP(R294,'Live Medal Table'!$B$2:$B$94,Countries!$I$2:$I$72,FALSE)),FALSE))</f>
        <v>0</v>
      </c>
    </row>
    <row r="295" ht="15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29"/>
      <c r="M295" s="29"/>
      <c r="N295" s="29" t="str">
        <f t="array" ref="N295">IFERROR(IF(INDEX(Entries!$C$2:$C$47,37)="","",INDEX(Entries!$Q$2:$Q$47,37)),"")</f>
        <v/>
      </c>
      <c r="O295" s="29" t="str">
        <f t="array" ref="O295">IF(N295="","",IFERROR(INDEX(Entries!$E$2:$E$47,37),""))</f>
        <v/>
      </c>
      <c r="P295" s="29" t="str">
        <f>IF(N295="","","Tier5_Pick1")</f>
        <v/>
      </c>
      <c r="Q295" s="29" t="str">
        <f>IF(N295="","",5)</f>
        <v/>
      </c>
      <c r="R295" s="29" t="str">
        <f t="array" ref="R295">IF(N295="","",IFERROR(INDEX(Entries!$J$2:$J$47,37),""))</f>
        <v/>
      </c>
      <c r="S295" s="29" t="str">
        <f t="array" ref="S295">IF(R295="","",IFERROR(XLOOKUP(R295,'Live Medal Table'!$B$2:$B$94,'Live Medal Table'!$C$2:$C$94,"???"),"???"))</f>
        <v/>
      </c>
      <c r="T295" s="29">
        <f t="array" ref="T295">IF(R295="",0,IFERROR(XLOOKUP(R295,'Live Medal Table'!$B$2:$B$94,'Live Medal Table'!$F$2:$F$94,0),0))</f>
        <v>0</v>
      </c>
      <c r="U295" s="29">
        <f t="array" ref="U295">IF(R295="",0,IFERROR(XLOOKUP(R295,'Live Medal Table'!$B$2:$B$94,'Live Medal Table'!$G$2:$G$94,0),0))</f>
        <v>0</v>
      </c>
      <c r="V295" s="29">
        <f t="array" ref="V295">IF(R295="",0,IFERROR(XLOOKUP(R295,'Live Medal Table'!$B$2:$B$94,'Live Medal Table'!$H$2:$H$94,0),0))</f>
        <v>0</v>
      </c>
      <c r="W295" s="29">
        <f t="array" ref="W295">IF(R295="",0,IFERROR(XLOOKUP(R295,'Live Medal Table'!$B$2:$B$94,'Live Medal Table'!$I$2:$I$94,0),0))</f>
        <v>0</v>
      </c>
      <c r="X295" s="29">
        <f t="shared" si="1"/>
        <v>0</v>
      </c>
      <c r="Y295" s="29">
        <f t="shared" si="2"/>
        <v>0</v>
      </c>
      <c r="Z295" s="29">
        <f t="shared" si="3"/>
        <v>0</v>
      </c>
      <c r="AA295" s="29">
        <f t="shared" si="4"/>
        <v>0</v>
      </c>
      <c r="AB295" s="29" t="b">
        <f t="array" ref="AB295">IF(R295="",FALSE,IFERROR(AND(ISNUMBER(MATCH(R295,'Live Medal Table'!$B$2:$B$94,0)),XLOOKUP(R295,'Live Medal Table'!$B$2:$B$94,Countries!$I$2:$I$72,FALSE)),FALSE))</f>
        <v>0</v>
      </c>
    </row>
    <row r="296" ht="15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29"/>
      <c r="M296" s="29"/>
      <c r="N296" s="29" t="str">
        <f t="array" ref="N296">IFERROR(IF(INDEX(Entries!$C$2:$C$47,37)="","",INDEX(Entries!$Q$2:$Q$47,37)),"")</f>
        <v/>
      </c>
      <c r="O296" s="29" t="str">
        <f t="array" ref="O296">IF(N296="","",IFERROR(INDEX(Entries!$E$2:$E$47,37),""))</f>
        <v/>
      </c>
      <c r="P296" s="29" t="str">
        <f>IF(N296="","","Tier6_Pick1")</f>
        <v/>
      </c>
      <c r="Q296" s="29" t="str">
        <f t="shared" ref="Q296:Q297" si="78">IF(N296="","",6)</f>
        <v/>
      </c>
      <c r="R296" s="29" t="str">
        <f t="array" ref="R296">IF(N296="","",IFERROR(INDEX(Entries!$O$2:$O$47,37),""))</f>
        <v/>
      </c>
      <c r="S296" s="29" t="str">
        <f t="array" ref="S296">IF(R296="","",IFERROR(XLOOKUP(R296,'Live Medal Table'!$B$2:$B$94,'Live Medal Table'!$C$2:$C$94,"???"),"???"))</f>
        <v/>
      </c>
      <c r="T296" s="29">
        <f t="array" ref="T296">IF(R296="",0,IFERROR(XLOOKUP(R296,'Live Medal Table'!$B$2:$B$94,'Live Medal Table'!$F$2:$F$94,0),0))</f>
        <v>0</v>
      </c>
      <c r="U296" s="29">
        <f t="array" ref="U296">IF(R296="",0,IFERROR(XLOOKUP(R296,'Live Medal Table'!$B$2:$B$94,'Live Medal Table'!$G$2:$G$94,0),0))</f>
        <v>0</v>
      </c>
      <c r="V296" s="29">
        <f t="array" ref="V296">IF(R296="",0,IFERROR(XLOOKUP(R296,'Live Medal Table'!$B$2:$B$94,'Live Medal Table'!$H$2:$H$94,0),0))</f>
        <v>0</v>
      </c>
      <c r="W296" s="29">
        <f t="array" ref="W296">IF(R296="",0,IFERROR(XLOOKUP(R296,'Live Medal Table'!$B$2:$B$94,'Live Medal Table'!$I$2:$I$94,0),0))</f>
        <v>0</v>
      </c>
      <c r="X296" s="29">
        <f t="shared" si="1"/>
        <v>0</v>
      </c>
      <c r="Y296" s="29">
        <f t="shared" si="2"/>
        <v>0</v>
      </c>
      <c r="Z296" s="29">
        <f t="shared" si="3"/>
        <v>0</v>
      </c>
      <c r="AA296" s="29">
        <f t="shared" si="4"/>
        <v>0</v>
      </c>
      <c r="AB296" s="29" t="b">
        <f t="array" ref="AB296">IF(R296="",FALSE,IFERROR(AND(ISNUMBER(MATCH(R296,'Live Medal Table'!$B$2:$B$94,0)),XLOOKUP(R296,'Live Medal Table'!$B$2:$B$94,Countries!$I$2:$I$72,FALSE)),FALSE))</f>
        <v>0</v>
      </c>
    </row>
    <row r="297" ht="15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29"/>
      <c r="M297" s="29"/>
      <c r="N297" s="29" t="str">
        <f t="array" ref="N297">IFERROR(IF(INDEX(Entries!$C$2:$C$47,37)="","",INDEX(Entries!$Q$2:$Q$47,37)),"")</f>
        <v/>
      </c>
      <c r="O297" s="29" t="str">
        <f t="array" ref="O297">IF(N297="","",IFERROR(INDEX(Entries!$E$2:$E$47,37),""))</f>
        <v/>
      </c>
      <c r="P297" s="29" t="str">
        <f>IF(N297="","","Tier6_Pick2")</f>
        <v/>
      </c>
      <c r="Q297" s="29" t="str">
        <f t="shared" si="78"/>
        <v/>
      </c>
      <c r="R297" s="29" t="str">
        <f t="array" ref="R297">IF(N297="","",IFERROR(INDEX(Entries!$P$2:$P$47,37),""))</f>
        <v/>
      </c>
      <c r="S297" s="29" t="str">
        <f t="array" ref="S297">IF(R297="","",IFERROR(XLOOKUP(R297,'Live Medal Table'!$B$2:$B$94,'Live Medal Table'!$C$2:$C$94,"???"),"???"))</f>
        <v/>
      </c>
      <c r="T297" s="29">
        <f t="array" ref="T297">IF(R297="",0,IFERROR(XLOOKUP(R297,'Live Medal Table'!$B$2:$B$94,'Live Medal Table'!$F$2:$F$94,0),0))</f>
        <v>0</v>
      </c>
      <c r="U297" s="29">
        <f t="array" ref="U297">IF(R297="",0,IFERROR(XLOOKUP(R297,'Live Medal Table'!$B$2:$B$94,'Live Medal Table'!$G$2:$G$94,0),0))</f>
        <v>0</v>
      </c>
      <c r="V297" s="29">
        <f t="array" ref="V297">IF(R297="",0,IFERROR(XLOOKUP(R297,'Live Medal Table'!$B$2:$B$94,'Live Medal Table'!$H$2:$H$94,0),0))</f>
        <v>0</v>
      </c>
      <c r="W297" s="29">
        <f t="array" ref="W297">IF(R297="",0,IFERROR(XLOOKUP(R297,'Live Medal Table'!$B$2:$B$94,'Live Medal Table'!$I$2:$I$94,0),0))</f>
        <v>0</v>
      </c>
      <c r="X297" s="29">
        <f t="shared" si="1"/>
        <v>0</v>
      </c>
      <c r="Y297" s="29">
        <f t="shared" si="2"/>
        <v>0</v>
      </c>
      <c r="Z297" s="29">
        <f t="shared" si="3"/>
        <v>0</v>
      </c>
      <c r="AA297" s="29">
        <f t="shared" si="4"/>
        <v>0</v>
      </c>
      <c r="AB297" s="29" t="b">
        <f t="array" ref="AB297">IF(R297="",FALSE,IFERROR(AND(ISNUMBER(MATCH(R297,'Live Medal Table'!$B$2:$B$94,0)),XLOOKUP(R297,'Live Medal Table'!$B$2:$B$94,Countries!$I$2:$I$72,FALSE)),FALSE))</f>
        <v>0</v>
      </c>
    </row>
    <row r="298" ht="15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29"/>
      <c r="M298" s="29"/>
      <c r="N298" s="29" t="str">
        <f t="array" ref="N298">IFERROR(IF(INDEX(Entries!$C$2:$C$47,38)="","",INDEX(Entries!$Q$2:$Q$47,38)),"")</f>
        <v/>
      </c>
      <c r="O298" s="29" t="str">
        <f t="array" ref="O298">IF(N298="","",IFERROR(INDEX(Entries!$E$2:$E$47,38),""))</f>
        <v/>
      </c>
      <c r="P298" s="29" t="str">
        <f>IF(N298="","","Tier1_Pick1")</f>
        <v/>
      </c>
      <c r="Q298" s="29" t="str">
        <f>IF(N298="","",1)</f>
        <v/>
      </c>
      <c r="R298" s="29" t="str">
        <f t="array" ref="R298">IF(N298="","",IFERROR(INDEX(Entries!$F$2:$F$47,38),""))</f>
        <v/>
      </c>
      <c r="S298" s="29" t="str">
        <f t="array" ref="S298">IF(R298="","",IFERROR(XLOOKUP(R298,'Live Medal Table'!$B$2:$B$94,'Live Medal Table'!$C$2:$C$94,"???"),"???"))</f>
        <v/>
      </c>
      <c r="T298" s="29">
        <f t="array" ref="T298">IF(R298="",0,IFERROR(XLOOKUP(R298,'Live Medal Table'!$B$2:$B$94,'Live Medal Table'!$F$2:$F$94,0),0))</f>
        <v>0</v>
      </c>
      <c r="U298" s="29">
        <f t="array" ref="U298">IF(R298="",0,IFERROR(XLOOKUP(R298,'Live Medal Table'!$B$2:$B$94,'Live Medal Table'!$G$2:$G$94,0),0))</f>
        <v>0</v>
      </c>
      <c r="V298" s="29">
        <f t="array" ref="V298">IF(R298="",0,IFERROR(XLOOKUP(R298,'Live Medal Table'!$B$2:$B$94,'Live Medal Table'!$H$2:$H$94,0),0))</f>
        <v>0</v>
      </c>
      <c r="W298" s="29">
        <f t="array" ref="W298">IF(R298="",0,IFERROR(XLOOKUP(R298,'Live Medal Table'!$B$2:$B$94,'Live Medal Table'!$I$2:$I$94,0),0))</f>
        <v>0</v>
      </c>
      <c r="X298" s="29">
        <f t="shared" si="1"/>
        <v>0</v>
      </c>
      <c r="Y298" s="29">
        <f t="shared" si="2"/>
        <v>0</v>
      </c>
      <c r="Z298" s="29">
        <f t="shared" si="3"/>
        <v>0</v>
      </c>
      <c r="AA298" s="29">
        <f t="shared" si="4"/>
        <v>0</v>
      </c>
      <c r="AB298" s="29" t="b">
        <f t="array" ref="AB298">IF(R298="",FALSE,IFERROR(AND(ISNUMBER(MATCH(R298,'Live Medal Table'!$B$2:$B$94,0)),XLOOKUP(R298,'Live Medal Table'!$B$2:$B$94,Countries!$I$2:$I$72,FALSE)),FALSE))</f>
        <v>0</v>
      </c>
    </row>
    <row r="299" ht="15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29"/>
      <c r="M299" s="29"/>
      <c r="N299" s="29" t="str">
        <f t="array" ref="N299">IFERROR(IF(INDEX(Entries!$C$2:$C$47,38)="","",INDEX(Entries!$Q$2:$Q$47,38)),"")</f>
        <v/>
      </c>
      <c r="O299" s="29" t="str">
        <f t="array" ref="O299">IF(N299="","",IFERROR(INDEX(Entries!$E$2:$E$47,38),""))</f>
        <v/>
      </c>
      <c r="P299" s="29" t="str">
        <f>IF(N299="","","Tier2_Pick1")</f>
        <v/>
      </c>
      <c r="Q299" s="29" t="str">
        <f t="shared" ref="Q299:Q300" si="79">IF(N299="","",2)</f>
        <v/>
      </c>
      <c r="R299" s="29" t="str">
        <f t="array" ref="R299">IF(N299="","",IFERROR(INDEX(Entries!$M$2:$M$47,38),""))</f>
        <v/>
      </c>
      <c r="S299" s="29" t="str">
        <f t="array" ref="S299">IF(R299="","",IFERROR(XLOOKUP(R299,'Live Medal Table'!$B$2:$B$94,'Live Medal Table'!$C$2:$C$94,"???"),"???"))</f>
        <v/>
      </c>
      <c r="T299" s="29">
        <f t="array" ref="T299">IF(R299="",0,IFERROR(XLOOKUP(R299,'Live Medal Table'!$B$2:$B$94,'Live Medal Table'!$F$2:$F$94,0),0))</f>
        <v>0</v>
      </c>
      <c r="U299" s="29">
        <f t="array" ref="U299">IF(R299="",0,IFERROR(XLOOKUP(R299,'Live Medal Table'!$B$2:$B$94,'Live Medal Table'!$G$2:$G$94,0),0))</f>
        <v>0</v>
      </c>
      <c r="V299" s="29">
        <f t="array" ref="V299">IF(R299="",0,IFERROR(XLOOKUP(R299,'Live Medal Table'!$B$2:$B$94,'Live Medal Table'!$H$2:$H$94,0),0))</f>
        <v>0</v>
      </c>
      <c r="W299" s="29">
        <f t="array" ref="W299">IF(R299="",0,IFERROR(XLOOKUP(R299,'Live Medal Table'!$B$2:$B$94,'Live Medal Table'!$I$2:$I$94,0),0))</f>
        <v>0</v>
      </c>
      <c r="X299" s="29">
        <f t="shared" si="1"/>
        <v>0</v>
      </c>
      <c r="Y299" s="29">
        <f t="shared" si="2"/>
        <v>0</v>
      </c>
      <c r="Z299" s="29">
        <f t="shared" si="3"/>
        <v>0</v>
      </c>
      <c r="AA299" s="29">
        <f t="shared" si="4"/>
        <v>0</v>
      </c>
      <c r="AB299" s="29" t="b">
        <f t="array" ref="AB299">IF(R299="",FALSE,IFERROR(AND(ISNUMBER(MATCH(R299,'Live Medal Table'!$B$2:$B$94,0)),XLOOKUP(R299,'Live Medal Table'!$B$2:$B$94,Countries!$I$2:$I$72,FALSE)),FALSE))</f>
        <v>0</v>
      </c>
    </row>
    <row r="300" ht="15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29"/>
      <c r="M300" s="29"/>
      <c r="N300" s="29" t="str">
        <f t="array" ref="N300">IFERROR(IF(INDEX(Entries!$C$2:$C$47,38)="","",INDEX(Entries!$Q$2:$Q$47,38)),"")</f>
        <v/>
      </c>
      <c r="O300" s="29" t="str">
        <f t="array" ref="O300">IF(N300="","",IFERROR(INDEX(Entries!$E$2:$E$47,38),""))</f>
        <v/>
      </c>
      <c r="P300" s="29" t="str">
        <f>IF(N300="","","Tier2_Pick2")</f>
        <v/>
      </c>
      <c r="Q300" s="29" t="str">
        <f t="shared" si="79"/>
        <v/>
      </c>
      <c r="R300" s="29" t="str">
        <f t="array" ref="R300">IF(N300="","",IFERROR(INDEX(Entries!$N$2:$N$47,38),""))</f>
        <v/>
      </c>
      <c r="S300" s="29" t="str">
        <f t="array" ref="S300">IF(R300="","",IFERROR(XLOOKUP(R300,'Live Medal Table'!$B$2:$B$94,'Live Medal Table'!$C$2:$C$94,"???"),"???"))</f>
        <v/>
      </c>
      <c r="T300" s="29">
        <f t="array" ref="T300">IF(R300="",0,IFERROR(XLOOKUP(R300,'Live Medal Table'!$B$2:$B$94,'Live Medal Table'!$F$2:$F$94,0),0))</f>
        <v>0</v>
      </c>
      <c r="U300" s="29">
        <f t="array" ref="U300">IF(R300="",0,IFERROR(XLOOKUP(R300,'Live Medal Table'!$B$2:$B$94,'Live Medal Table'!$G$2:$G$94,0),0))</f>
        <v>0</v>
      </c>
      <c r="V300" s="29">
        <f t="array" ref="V300">IF(R300="",0,IFERROR(XLOOKUP(R300,'Live Medal Table'!$B$2:$B$94,'Live Medal Table'!$H$2:$H$94,0),0))</f>
        <v>0</v>
      </c>
      <c r="W300" s="29">
        <f t="array" ref="W300">IF(R300="",0,IFERROR(XLOOKUP(R300,'Live Medal Table'!$B$2:$B$94,'Live Medal Table'!$I$2:$I$94,0),0))</f>
        <v>0</v>
      </c>
      <c r="X300" s="29">
        <f t="shared" si="1"/>
        <v>0</v>
      </c>
      <c r="Y300" s="29">
        <f t="shared" si="2"/>
        <v>0</v>
      </c>
      <c r="Z300" s="29">
        <f t="shared" si="3"/>
        <v>0</v>
      </c>
      <c r="AA300" s="29">
        <f t="shared" si="4"/>
        <v>0</v>
      </c>
      <c r="AB300" s="29" t="b">
        <f t="array" ref="AB300">IF(R300="",FALSE,IFERROR(AND(ISNUMBER(MATCH(R300,'Live Medal Table'!$B$2:$B$94,0)),XLOOKUP(R300,'Live Medal Table'!$B$2:$B$94,Countries!$I$2:$I$72,FALSE)),FALSE))</f>
        <v>0</v>
      </c>
    </row>
    <row r="301" ht="15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29"/>
      <c r="M301" s="29"/>
      <c r="N301" s="29" t="str">
        <f t="array" ref="N301">IFERROR(IF(INDEX(Entries!$C$2:$C$47,38)="","",INDEX(Entries!$Q$2:$Q$47,38)),"")</f>
        <v/>
      </c>
      <c r="O301" s="29" t="str">
        <f t="array" ref="O301">IF(N301="","",IFERROR(INDEX(Entries!$E$2:$E$47,38),""))</f>
        <v/>
      </c>
      <c r="P301" s="29" t="str">
        <f>IF(N301="","","Tier3_Pick1")</f>
        <v/>
      </c>
      <c r="Q301" s="29" t="str">
        <f>IF(N301="","",3)</f>
        <v/>
      </c>
      <c r="R301" s="29" t="str">
        <f t="array" ref="R301">IF(N301="","",IFERROR(INDEX(Entries!$H$2:$H$47,38),""))</f>
        <v/>
      </c>
      <c r="S301" s="29" t="str">
        <f t="array" ref="S301">IF(R301="","",IFERROR(XLOOKUP(R301,'Live Medal Table'!$B$2:$B$94,'Live Medal Table'!$C$2:$C$94,"???"),"???"))</f>
        <v/>
      </c>
      <c r="T301" s="29">
        <f t="array" ref="T301">IF(R301="",0,IFERROR(XLOOKUP(R301,'Live Medal Table'!$B$2:$B$94,'Live Medal Table'!$F$2:$F$94,0),0))</f>
        <v>0</v>
      </c>
      <c r="U301" s="29">
        <f t="array" ref="U301">IF(R301="",0,IFERROR(XLOOKUP(R301,'Live Medal Table'!$B$2:$B$94,'Live Medal Table'!$G$2:$G$94,0),0))</f>
        <v>0</v>
      </c>
      <c r="V301" s="29">
        <f t="array" ref="V301">IF(R301="",0,IFERROR(XLOOKUP(R301,'Live Medal Table'!$B$2:$B$94,'Live Medal Table'!$H$2:$H$94,0),0))</f>
        <v>0</v>
      </c>
      <c r="W301" s="29">
        <f t="array" ref="W301">IF(R301="",0,IFERROR(XLOOKUP(R301,'Live Medal Table'!$B$2:$B$94,'Live Medal Table'!$I$2:$I$94,0),0))</f>
        <v>0</v>
      </c>
      <c r="X301" s="29">
        <f t="shared" si="1"/>
        <v>0</v>
      </c>
      <c r="Y301" s="29">
        <f t="shared" si="2"/>
        <v>0</v>
      </c>
      <c r="Z301" s="29">
        <f t="shared" si="3"/>
        <v>0</v>
      </c>
      <c r="AA301" s="29">
        <f t="shared" si="4"/>
        <v>0</v>
      </c>
      <c r="AB301" s="29" t="b">
        <f t="array" ref="AB301">IF(R301="",FALSE,IFERROR(AND(ISNUMBER(MATCH(R301,'Live Medal Table'!$B$2:$B$94,0)),XLOOKUP(R301,'Live Medal Table'!$B$2:$B$94,Countries!$I$2:$I$72,FALSE)),FALSE))</f>
        <v>0</v>
      </c>
    </row>
    <row r="302" ht="15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29"/>
      <c r="M302" s="29"/>
      <c r="N302" s="29" t="str">
        <f t="array" ref="N302">IFERROR(IF(INDEX(Entries!$C$2:$C$47,38)="","",INDEX(Entries!$Q$2:$Q$47,38)),"")</f>
        <v/>
      </c>
      <c r="O302" s="29" t="str">
        <f t="array" ref="O302">IF(N302="","",IFERROR(INDEX(Entries!$E$2:$E$47,38),""))</f>
        <v/>
      </c>
      <c r="P302" s="29" t="str">
        <f>IF(N302="","","Tier4_Pick1")</f>
        <v/>
      </c>
      <c r="Q302" s="29" t="str">
        <f>IF(N302="","",4)</f>
        <v/>
      </c>
      <c r="R302" s="29" t="str">
        <f t="array" ref="R302">IF(N302="","",IFERROR(INDEX(Entries!$I$2:$I$47,38),""))</f>
        <v/>
      </c>
      <c r="S302" s="29" t="str">
        <f t="array" ref="S302">IF(R302="","",IFERROR(XLOOKUP(R302,'Live Medal Table'!$B$2:$B$94,'Live Medal Table'!$C$2:$C$94,"???"),"???"))</f>
        <v/>
      </c>
      <c r="T302" s="29">
        <f t="array" ref="T302">IF(R302="",0,IFERROR(XLOOKUP(R302,'Live Medal Table'!$B$2:$B$94,'Live Medal Table'!$F$2:$F$94,0),0))</f>
        <v>0</v>
      </c>
      <c r="U302" s="29">
        <f t="array" ref="U302">IF(R302="",0,IFERROR(XLOOKUP(R302,'Live Medal Table'!$B$2:$B$94,'Live Medal Table'!$G$2:$G$94,0),0))</f>
        <v>0</v>
      </c>
      <c r="V302" s="29">
        <f t="array" ref="V302">IF(R302="",0,IFERROR(XLOOKUP(R302,'Live Medal Table'!$B$2:$B$94,'Live Medal Table'!$H$2:$H$94,0),0))</f>
        <v>0</v>
      </c>
      <c r="W302" s="29">
        <f t="array" ref="W302">IF(R302="",0,IFERROR(XLOOKUP(R302,'Live Medal Table'!$B$2:$B$94,'Live Medal Table'!$I$2:$I$94,0),0))</f>
        <v>0</v>
      </c>
      <c r="X302" s="29">
        <f t="shared" si="1"/>
        <v>0</v>
      </c>
      <c r="Y302" s="29">
        <f t="shared" si="2"/>
        <v>0</v>
      </c>
      <c r="Z302" s="29">
        <f t="shared" si="3"/>
        <v>0</v>
      </c>
      <c r="AA302" s="29">
        <f t="shared" si="4"/>
        <v>0</v>
      </c>
      <c r="AB302" s="29" t="b">
        <f t="array" ref="AB302">IF(R302="",FALSE,IFERROR(AND(ISNUMBER(MATCH(R302,'Live Medal Table'!$B$2:$B$94,0)),XLOOKUP(R302,'Live Medal Table'!$B$2:$B$94,Countries!$I$2:$I$72,FALSE)),FALSE))</f>
        <v>0</v>
      </c>
    </row>
    <row r="303" ht="15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29"/>
      <c r="M303" s="29"/>
      <c r="N303" s="29" t="str">
        <f t="array" ref="N303">IFERROR(IF(INDEX(Entries!$C$2:$C$47,38)="","",INDEX(Entries!$Q$2:$Q$47,38)),"")</f>
        <v/>
      </c>
      <c r="O303" s="29" t="str">
        <f t="array" ref="O303">IF(N303="","",IFERROR(INDEX(Entries!$E$2:$E$47,38),""))</f>
        <v/>
      </c>
      <c r="P303" s="29" t="str">
        <f>IF(N303="","","Tier5_Pick1")</f>
        <v/>
      </c>
      <c r="Q303" s="29" t="str">
        <f>IF(N303="","",5)</f>
        <v/>
      </c>
      <c r="R303" s="29" t="str">
        <f t="array" ref="R303">IF(N303="","",IFERROR(INDEX(Entries!$J$2:$J$47,38),""))</f>
        <v/>
      </c>
      <c r="S303" s="29" t="str">
        <f t="array" ref="S303">IF(R303="","",IFERROR(XLOOKUP(R303,'Live Medal Table'!$B$2:$B$94,'Live Medal Table'!$C$2:$C$94,"???"),"???"))</f>
        <v/>
      </c>
      <c r="T303" s="29">
        <f t="array" ref="T303">IF(R303="",0,IFERROR(XLOOKUP(R303,'Live Medal Table'!$B$2:$B$94,'Live Medal Table'!$F$2:$F$94,0),0))</f>
        <v>0</v>
      </c>
      <c r="U303" s="29">
        <f t="array" ref="U303">IF(R303="",0,IFERROR(XLOOKUP(R303,'Live Medal Table'!$B$2:$B$94,'Live Medal Table'!$G$2:$G$94,0),0))</f>
        <v>0</v>
      </c>
      <c r="V303" s="29">
        <f t="array" ref="V303">IF(R303="",0,IFERROR(XLOOKUP(R303,'Live Medal Table'!$B$2:$B$94,'Live Medal Table'!$H$2:$H$94,0),0))</f>
        <v>0</v>
      </c>
      <c r="W303" s="29">
        <f t="array" ref="W303">IF(R303="",0,IFERROR(XLOOKUP(R303,'Live Medal Table'!$B$2:$B$94,'Live Medal Table'!$I$2:$I$94,0),0))</f>
        <v>0</v>
      </c>
      <c r="X303" s="29">
        <f t="shared" si="1"/>
        <v>0</v>
      </c>
      <c r="Y303" s="29">
        <f t="shared" si="2"/>
        <v>0</v>
      </c>
      <c r="Z303" s="29">
        <f t="shared" si="3"/>
        <v>0</v>
      </c>
      <c r="AA303" s="29">
        <f t="shared" si="4"/>
        <v>0</v>
      </c>
      <c r="AB303" s="29" t="b">
        <f t="array" ref="AB303">IF(R303="",FALSE,IFERROR(AND(ISNUMBER(MATCH(R303,'Live Medal Table'!$B$2:$B$94,0)),XLOOKUP(R303,'Live Medal Table'!$B$2:$B$94,Countries!$I$2:$I$72,FALSE)),FALSE))</f>
        <v>0</v>
      </c>
    </row>
    <row r="304" ht="15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29"/>
      <c r="M304" s="29"/>
      <c r="N304" s="29" t="str">
        <f t="array" ref="N304">IFERROR(IF(INDEX(Entries!$C$2:$C$47,38)="","",INDEX(Entries!$Q$2:$Q$47,38)),"")</f>
        <v/>
      </c>
      <c r="O304" s="29" t="str">
        <f t="array" ref="O304">IF(N304="","",IFERROR(INDEX(Entries!$E$2:$E$47,38),""))</f>
        <v/>
      </c>
      <c r="P304" s="29" t="str">
        <f>IF(N304="","","Tier6_Pick1")</f>
        <v/>
      </c>
      <c r="Q304" s="29" t="str">
        <f t="shared" ref="Q304:Q305" si="80">IF(N304="","",6)</f>
        <v/>
      </c>
      <c r="R304" s="29" t="str">
        <f t="array" ref="R304">IF(N304="","",IFERROR(INDEX(Entries!$O$2:$O$47,38),""))</f>
        <v/>
      </c>
      <c r="S304" s="29" t="str">
        <f t="array" ref="S304">IF(R304="","",IFERROR(XLOOKUP(R304,'Live Medal Table'!$B$2:$B$94,'Live Medal Table'!$C$2:$C$94,"???"),"???"))</f>
        <v/>
      </c>
      <c r="T304" s="29">
        <f t="array" ref="T304">IF(R304="",0,IFERROR(XLOOKUP(R304,'Live Medal Table'!$B$2:$B$94,'Live Medal Table'!$F$2:$F$94,0),0))</f>
        <v>0</v>
      </c>
      <c r="U304" s="29">
        <f t="array" ref="U304">IF(R304="",0,IFERROR(XLOOKUP(R304,'Live Medal Table'!$B$2:$B$94,'Live Medal Table'!$G$2:$G$94,0),0))</f>
        <v>0</v>
      </c>
      <c r="V304" s="29">
        <f t="array" ref="V304">IF(R304="",0,IFERROR(XLOOKUP(R304,'Live Medal Table'!$B$2:$B$94,'Live Medal Table'!$H$2:$H$94,0),0))</f>
        <v>0</v>
      </c>
      <c r="W304" s="29">
        <f t="array" ref="W304">IF(R304="",0,IFERROR(XLOOKUP(R304,'Live Medal Table'!$B$2:$B$94,'Live Medal Table'!$I$2:$I$94,0),0))</f>
        <v>0</v>
      </c>
      <c r="X304" s="29">
        <f t="shared" si="1"/>
        <v>0</v>
      </c>
      <c r="Y304" s="29">
        <f t="shared" si="2"/>
        <v>0</v>
      </c>
      <c r="Z304" s="29">
        <f t="shared" si="3"/>
        <v>0</v>
      </c>
      <c r="AA304" s="29">
        <f t="shared" si="4"/>
        <v>0</v>
      </c>
      <c r="AB304" s="29" t="b">
        <f t="array" ref="AB304">IF(R304="",FALSE,IFERROR(AND(ISNUMBER(MATCH(R304,'Live Medal Table'!$B$2:$B$94,0)),XLOOKUP(R304,'Live Medal Table'!$B$2:$B$94,Countries!$I$2:$I$72,FALSE)),FALSE))</f>
        <v>0</v>
      </c>
    </row>
    <row r="305" ht="15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29"/>
      <c r="M305" s="29"/>
      <c r="N305" s="29" t="str">
        <f t="array" ref="N305">IFERROR(IF(INDEX(Entries!$C$2:$C$47,38)="","",INDEX(Entries!$Q$2:$Q$47,38)),"")</f>
        <v/>
      </c>
      <c r="O305" s="29" t="str">
        <f t="array" ref="O305">IF(N305="","",IFERROR(INDEX(Entries!$E$2:$E$47,38),""))</f>
        <v/>
      </c>
      <c r="P305" s="29" t="str">
        <f>IF(N305="","","Tier6_Pick2")</f>
        <v/>
      </c>
      <c r="Q305" s="29" t="str">
        <f t="shared" si="80"/>
        <v/>
      </c>
      <c r="R305" s="29" t="str">
        <f t="array" ref="R305">IF(N305="","",IFERROR(INDEX(Entries!$P$2:$P$47,38),""))</f>
        <v/>
      </c>
      <c r="S305" s="29" t="str">
        <f t="array" ref="S305">IF(R305="","",IFERROR(XLOOKUP(R305,'Live Medal Table'!$B$2:$B$94,'Live Medal Table'!$C$2:$C$94,"???"),"???"))</f>
        <v/>
      </c>
      <c r="T305" s="29">
        <f t="array" ref="T305">IF(R305="",0,IFERROR(XLOOKUP(R305,'Live Medal Table'!$B$2:$B$94,'Live Medal Table'!$F$2:$F$94,0),0))</f>
        <v>0</v>
      </c>
      <c r="U305" s="29">
        <f t="array" ref="U305">IF(R305="",0,IFERROR(XLOOKUP(R305,'Live Medal Table'!$B$2:$B$94,'Live Medal Table'!$G$2:$G$94,0),0))</f>
        <v>0</v>
      </c>
      <c r="V305" s="29">
        <f t="array" ref="V305">IF(R305="",0,IFERROR(XLOOKUP(R305,'Live Medal Table'!$B$2:$B$94,'Live Medal Table'!$H$2:$H$94,0),0))</f>
        <v>0</v>
      </c>
      <c r="W305" s="29">
        <f t="array" ref="W305">IF(R305="",0,IFERROR(XLOOKUP(R305,'Live Medal Table'!$B$2:$B$94,'Live Medal Table'!$I$2:$I$94,0),0))</f>
        <v>0</v>
      </c>
      <c r="X305" s="29">
        <f t="shared" si="1"/>
        <v>0</v>
      </c>
      <c r="Y305" s="29">
        <f t="shared" si="2"/>
        <v>0</v>
      </c>
      <c r="Z305" s="29">
        <f t="shared" si="3"/>
        <v>0</v>
      </c>
      <c r="AA305" s="29">
        <f t="shared" si="4"/>
        <v>0</v>
      </c>
      <c r="AB305" s="29" t="b">
        <f t="array" ref="AB305">IF(R305="",FALSE,IFERROR(AND(ISNUMBER(MATCH(R305,'Live Medal Table'!$B$2:$B$94,0)),XLOOKUP(R305,'Live Medal Table'!$B$2:$B$94,Countries!$I$2:$I$72,FALSE)),FALSE))</f>
        <v>0</v>
      </c>
    </row>
    <row r="306" ht="15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29"/>
      <c r="M306" s="29"/>
      <c r="N306" s="29" t="str">
        <f t="array" ref="N306">IFERROR(IF(INDEX(Entries!$C$2:$C$47,39)="","",INDEX(Entries!$Q$2:$Q$47,39)),"")</f>
        <v/>
      </c>
      <c r="O306" s="29" t="str">
        <f t="array" ref="O306">IF(N306="","",IFERROR(INDEX(Entries!$E$2:$E$47,39),""))</f>
        <v/>
      </c>
      <c r="P306" s="29" t="str">
        <f>IF(N306="","","Tier1_Pick1")</f>
        <v/>
      </c>
      <c r="Q306" s="29" t="str">
        <f>IF(N306="","",1)</f>
        <v/>
      </c>
      <c r="R306" s="29" t="str">
        <f t="array" ref="R306">IF(N306="","",IFERROR(INDEX(Entries!$F$2:$F$47,39),""))</f>
        <v/>
      </c>
      <c r="S306" s="29" t="str">
        <f t="array" ref="S306">IF(R306="","",IFERROR(XLOOKUP(R306,'Live Medal Table'!$B$2:$B$94,'Live Medal Table'!$C$2:$C$94,"???"),"???"))</f>
        <v/>
      </c>
      <c r="T306" s="29">
        <f t="array" ref="T306">IF(R306="",0,IFERROR(XLOOKUP(R306,'Live Medal Table'!$B$2:$B$94,'Live Medal Table'!$F$2:$F$94,0),0))</f>
        <v>0</v>
      </c>
      <c r="U306" s="29">
        <f t="array" ref="U306">IF(R306="",0,IFERROR(XLOOKUP(R306,'Live Medal Table'!$B$2:$B$94,'Live Medal Table'!$G$2:$G$94,0),0))</f>
        <v>0</v>
      </c>
      <c r="V306" s="29">
        <f t="array" ref="V306">IF(R306="",0,IFERROR(XLOOKUP(R306,'Live Medal Table'!$B$2:$B$94,'Live Medal Table'!$H$2:$H$94,0),0))</f>
        <v>0</v>
      </c>
      <c r="W306" s="29">
        <f t="array" ref="W306">IF(R306="",0,IFERROR(XLOOKUP(R306,'Live Medal Table'!$B$2:$B$94,'Live Medal Table'!$I$2:$I$94,0),0))</f>
        <v>0</v>
      </c>
      <c r="X306" s="29">
        <f t="shared" si="1"/>
        <v>0</v>
      </c>
      <c r="Y306" s="29">
        <f t="shared" si="2"/>
        <v>0</v>
      </c>
      <c r="Z306" s="29">
        <f t="shared" si="3"/>
        <v>0</v>
      </c>
      <c r="AA306" s="29">
        <f t="shared" si="4"/>
        <v>0</v>
      </c>
      <c r="AB306" s="29" t="b">
        <f t="array" ref="AB306">IF(R306="",FALSE,IFERROR(AND(ISNUMBER(MATCH(R306,'Live Medal Table'!$B$2:$B$94,0)),XLOOKUP(R306,'Live Medal Table'!$B$2:$B$94,Countries!$I$2:$I$72,FALSE)),FALSE))</f>
        <v>0</v>
      </c>
    </row>
    <row r="307" ht="15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29"/>
      <c r="M307" s="29"/>
      <c r="N307" s="29" t="str">
        <f t="array" ref="N307">IFERROR(IF(INDEX(Entries!$C$2:$C$47,39)="","",INDEX(Entries!$Q$2:$Q$47,39)),"")</f>
        <v/>
      </c>
      <c r="O307" s="29" t="str">
        <f t="array" ref="O307">IF(N307="","",IFERROR(INDEX(Entries!$E$2:$E$47,39),""))</f>
        <v/>
      </c>
      <c r="P307" s="29" t="str">
        <f>IF(N307="","","Tier2_Pick1")</f>
        <v/>
      </c>
      <c r="Q307" s="29" t="str">
        <f t="shared" ref="Q307:Q308" si="81">IF(N307="","",2)</f>
        <v/>
      </c>
      <c r="R307" s="29" t="str">
        <f t="array" ref="R307">IF(N307="","",IFERROR(INDEX(Entries!$M$2:$M$47,39),""))</f>
        <v/>
      </c>
      <c r="S307" s="29" t="str">
        <f t="array" ref="S307">IF(R307="","",IFERROR(XLOOKUP(R307,'Live Medal Table'!$B$2:$B$94,'Live Medal Table'!$C$2:$C$94,"???"),"???"))</f>
        <v/>
      </c>
      <c r="T307" s="29">
        <f t="array" ref="T307">IF(R307="",0,IFERROR(XLOOKUP(R307,'Live Medal Table'!$B$2:$B$94,'Live Medal Table'!$F$2:$F$94,0),0))</f>
        <v>0</v>
      </c>
      <c r="U307" s="29">
        <f t="array" ref="U307">IF(R307="",0,IFERROR(XLOOKUP(R307,'Live Medal Table'!$B$2:$B$94,'Live Medal Table'!$G$2:$G$94,0),0))</f>
        <v>0</v>
      </c>
      <c r="V307" s="29">
        <f t="array" ref="V307">IF(R307="",0,IFERROR(XLOOKUP(R307,'Live Medal Table'!$B$2:$B$94,'Live Medal Table'!$H$2:$H$94,0),0))</f>
        <v>0</v>
      </c>
      <c r="W307" s="29">
        <f t="array" ref="W307">IF(R307="",0,IFERROR(XLOOKUP(R307,'Live Medal Table'!$B$2:$B$94,'Live Medal Table'!$I$2:$I$94,0),0))</f>
        <v>0</v>
      </c>
      <c r="X307" s="29">
        <f t="shared" si="1"/>
        <v>0</v>
      </c>
      <c r="Y307" s="29">
        <f t="shared" si="2"/>
        <v>0</v>
      </c>
      <c r="Z307" s="29">
        <f t="shared" si="3"/>
        <v>0</v>
      </c>
      <c r="AA307" s="29">
        <f t="shared" si="4"/>
        <v>0</v>
      </c>
      <c r="AB307" s="29" t="b">
        <f t="array" ref="AB307">IF(R307="",FALSE,IFERROR(AND(ISNUMBER(MATCH(R307,'Live Medal Table'!$B$2:$B$94,0)),XLOOKUP(R307,'Live Medal Table'!$B$2:$B$94,Countries!$I$2:$I$72,FALSE)),FALSE))</f>
        <v>0</v>
      </c>
    </row>
    <row r="308" ht="15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29"/>
      <c r="M308" s="29"/>
      <c r="N308" s="29" t="str">
        <f t="array" ref="N308">IFERROR(IF(INDEX(Entries!$C$2:$C$47,39)="","",INDEX(Entries!$Q$2:$Q$47,39)),"")</f>
        <v/>
      </c>
      <c r="O308" s="29" t="str">
        <f t="array" ref="O308">IF(N308="","",IFERROR(INDEX(Entries!$E$2:$E$47,39),""))</f>
        <v/>
      </c>
      <c r="P308" s="29" t="str">
        <f>IF(N308="","","Tier2_Pick2")</f>
        <v/>
      </c>
      <c r="Q308" s="29" t="str">
        <f t="shared" si="81"/>
        <v/>
      </c>
      <c r="R308" s="29" t="str">
        <f t="array" ref="R308">IF(N308="","",IFERROR(INDEX(Entries!$N$2:$N$47,39),""))</f>
        <v/>
      </c>
      <c r="S308" s="29" t="str">
        <f t="array" ref="S308">IF(R308="","",IFERROR(XLOOKUP(R308,'Live Medal Table'!$B$2:$B$94,'Live Medal Table'!$C$2:$C$94,"???"),"???"))</f>
        <v/>
      </c>
      <c r="T308" s="29">
        <f t="array" ref="T308">IF(R308="",0,IFERROR(XLOOKUP(R308,'Live Medal Table'!$B$2:$B$94,'Live Medal Table'!$F$2:$F$94,0),0))</f>
        <v>0</v>
      </c>
      <c r="U308" s="29">
        <f t="array" ref="U308">IF(R308="",0,IFERROR(XLOOKUP(R308,'Live Medal Table'!$B$2:$B$94,'Live Medal Table'!$G$2:$G$94,0),0))</f>
        <v>0</v>
      </c>
      <c r="V308" s="29">
        <f t="array" ref="V308">IF(R308="",0,IFERROR(XLOOKUP(R308,'Live Medal Table'!$B$2:$B$94,'Live Medal Table'!$H$2:$H$94,0),0))</f>
        <v>0</v>
      </c>
      <c r="W308" s="29">
        <f t="array" ref="W308">IF(R308="",0,IFERROR(XLOOKUP(R308,'Live Medal Table'!$B$2:$B$94,'Live Medal Table'!$I$2:$I$94,0),0))</f>
        <v>0</v>
      </c>
      <c r="X308" s="29">
        <f t="shared" si="1"/>
        <v>0</v>
      </c>
      <c r="Y308" s="29">
        <f t="shared" si="2"/>
        <v>0</v>
      </c>
      <c r="Z308" s="29">
        <f t="shared" si="3"/>
        <v>0</v>
      </c>
      <c r="AA308" s="29">
        <f t="shared" si="4"/>
        <v>0</v>
      </c>
      <c r="AB308" s="29" t="b">
        <f t="array" ref="AB308">IF(R308="",FALSE,IFERROR(AND(ISNUMBER(MATCH(R308,'Live Medal Table'!$B$2:$B$94,0)),XLOOKUP(R308,'Live Medal Table'!$B$2:$B$94,Countries!$I$2:$I$72,FALSE)),FALSE))</f>
        <v>0</v>
      </c>
    </row>
    <row r="309" ht="15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29"/>
      <c r="M309" s="29"/>
      <c r="N309" s="29" t="str">
        <f t="array" ref="N309">IFERROR(IF(INDEX(Entries!$C$2:$C$47,39)="","",INDEX(Entries!$Q$2:$Q$47,39)),"")</f>
        <v/>
      </c>
      <c r="O309" s="29" t="str">
        <f t="array" ref="O309">IF(N309="","",IFERROR(INDEX(Entries!$E$2:$E$47,39),""))</f>
        <v/>
      </c>
      <c r="P309" s="29" t="str">
        <f>IF(N309="","","Tier3_Pick1")</f>
        <v/>
      </c>
      <c r="Q309" s="29" t="str">
        <f>IF(N309="","",3)</f>
        <v/>
      </c>
      <c r="R309" s="29" t="str">
        <f t="array" ref="R309">IF(N309="","",IFERROR(INDEX(Entries!$H$2:$H$47,39),""))</f>
        <v/>
      </c>
      <c r="S309" s="29" t="str">
        <f t="array" ref="S309">IF(R309="","",IFERROR(XLOOKUP(R309,'Live Medal Table'!$B$2:$B$94,'Live Medal Table'!$C$2:$C$94,"???"),"???"))</f>
        <v/>
      </c>
      <c r="T309" s="29">
        <f t="array" ref="T309">IF(R309="",0,IFERROR(XLOOKUP(R309,'Live Medal Table'!$B$2:$B$94,'Live Medal Table'!$F$2:$F$94,0),0))</f>
        <v>0</v>
      </c>
      <c r="U309" s="29">
        <f t="array" ref="U309">IF(R309="",0,IFERROR(XLOOKUP(R309,'Live Medal Table'!$B$2:$B$94,'Live Medal Table'!$G$2:$G$94,0),0))</f>
        <v>0</v>
      </c>
      <c r="V309" s="29">
        <f t="array" ref="V309">IF(R309="",0,IFERROR(XLOOKUP(R309,'Live Medal Table'!$B$2:$B$94,'Live Medal Table'!$H$2:$H$94,0),0))</f>
        <v>0</v>
      </c>
      <c r="W309" s="29">
        <f t="array" ref="W309">IF(R309="",0,IFERROR(XLOOKUP(R309,'Live Medal Table'!$B$2:$B$94,'Live Medal Table'!$I$2:$I$94,0),0))</f>
        <v>0</v>
      </c>
      <c r="X309" s="29">
        <f t="shared" si="1"/>
        <v>0</v>
      </c>
      <c r="Y309" s="29">
        <f t="shared" si="2"/>
        <v>0</v>
      </c>
      <c r="Z309" s="29">
        <f t="shared" si="3"/>
        <v>0</v>
      </c>
      <c r="AA309" s="29">
        <f t="shared" si="4"/>
        <v>0</v>
      </c>
      <c r="AB309" s="29" t="b">
        <f t="array" ref="AB309">IF(R309="",FALSE,IFERROR(AND(ISNUMBER(MATCH(R309,'Live Medal Table'!$B$2:$B$94,0)),XLOOKUP(R309,'Live Medal Table'!$B$2:$B$94,Countries!$I$2:$I$72,FALSE)),FALSE))</f>
        <v>0</v>
      </c>
    </row>
    <row r="310" ht="15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29"/>
      <c r="M310" s="29"/>
      <c r="N310" s="29" t="str">
        <f t="array" ref="N310">IFERROR(IF(INDEX(Entries!$C$2:$C$47,39)="","",INDEX(Entries!$Q$2:$Q$47,39)),"")</f>
        <v/>
      </c>
      <c r="O310" s="29" t="str">
        <f t="array" ref="O310">IF(N310="","",IFERROR(INDEX(Entries!$E$2:$E$47,39),""))</f>
        <v/>
      </c>
      <c r="P310" s="29" t="str">
        <f>IF(N310="","","Tier4_Pick1")</f>
        <v/>
      </c>
      <c r="Q310" s="29" t="str">
        <f>IF(N310="","",4)</f>
        <v/>
      </c>
      <c r="R310" s="29" t="str">
        <f t="array" ref="R310">IF(N310="","",IFERROR(INDEX(Entries!$I$2:$I$47,39),""))</f>
        <v/>
      </c>
      <c r="S310" s="29" t="str">
        <f t="array" ref="S310">IF(R310="","",IFERROR(XLOOKUP(R310,'Live Medal Table'!$B$2:$B$94,'Live Medal Table'!$C$2:$C$94,"???"),"???"))</f>
        <v/>
      </c>
      <c r="T310" s="29">
        <f t="array" ref="T310">IF(R310="",0,IFERROR(XLOOKUP(R310,'Live Medal Table'!$B$2:$B$94,'Live Medal Table'!$F$2:$F$94,0),0))</f>
        <v>0</v>
      </c>
      <c r="U310" s="29">
        <f t="array" ref="U310">IF(R310="",0,IFERROR(XLOOKUP(R310,'Live Medal Table'!$B$2:$B$94,'Live Medal Table'!$G$2:$G$94,0),0))</f>
        <v>0</v>
      </c>
      <c r="V310" s="29">
        <f t="array" ref="V310">IF(R310="",0,IFERROR(XLOOKUP(R310,'Live Medal Table'!$B$2:$B$94,'Live Medal Table'!$H$2:$H$94,0),0))</f>
        <v>0</v>
      </c>
      <c r="W310" s="29">
        <f t="array" ref="W310">IF(R310="",0,IFERROR(XLOOKUP(R310,'Live Medal Table'!$B$2:$B$94,'Live Medal Table'!$I$2:$I$94,0),0))</f>
        <v>0</v>
      </c>
      <c r="X310" s="29">
        <f t="shared" si="1"/>
        <v>0</v>
      </c>
      <c r="Y310" s="29">
        <f t="shared" si="2"/>
        <v>0</v>
      </c>
      <c r="Z310" s="29">
        <f t="shared" si="3"/>
        <v>0</v>
      </c>
      <c r="AA310" s="29">
        <f t="shared" si="4"/>
        <v>0</v>
      </c>
      <c r="AB310" s="29" t="b">
        <f t="array" ref="AB310">IF(R310="",FALSE,IFERROR(AND(ISNUMBER(MATCH(R310,'Live Medal Table'!$B$2:$B$94,0)),XLOOKUP(R310,'Live Medal Table'!$B$2:$B$94,Countries!$I$2:$I$72,FALSE)),FALSE))</f>
        <v>0</v>
      </c>
    </row>
    <row r="311" ht="15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29"/>
      <c r="M311" s="29"/>
      <c r="N311" s="29" t="str">
        <f t="array" ref="N311">IFERROR(IF(INDEX(Entries!$C$2:$C$47,39)="","",INDEX(Entries!$Q$2:$Q$47,39)),"")</f>
        <v/>
      </c>
      <c r="O311" s="29" t="str">
        <f t="array" ref="O311">IF(N311="","",IFERROR(INDEX(Entries!$E$2:$E$47,39),""))</f>
        <v/>
      </c>
      <c r="P311" s="29" t="str">
        <f>IF(N311="","","Tier5_Pick1")</f>
        <v/>
      </c>
      <c r="Q311" s="29" t="str">
        <f>IF(N311="","",5)</f>
        <v/>
      </c>
      <c r="R311" s="29" t="str">
        <f t="array" ref="R311">IF(N311="","",IFERROR(INDEX(Entries!$J$2:$J$47,39),""))</f>
        <v/>
      </c>
      <c r="S311" s="29" t="str">
        <f t="array" ref="S311">IF(R311="","",IFERROR(XLOOKUP(R311,'Live Medal Table'!$B$2:$B$94,'Live Medal Table'!$C$2:$C$94,"???"),"???"))</f>
        <v/>
      </c>
      <c r="T311" s="29">
        <f t="array" ref="T311">IF(R311="",0,IFERROR(XLOOKUP(R311,'Live Medal Table'!$B$2:$B$94,'Live Medal Table'!$F$2:$F$94,0),0))</f>
        <v>0</v>
      </c>
      <c r="U311" s="29">
        <f t="array" ref="U311">IF(R311="",0,IFERROR(XLOOKUP(R311,'Live Medal Table'!$B$2:$B$94,'Live Medal Table'!$G$2:$G$94,0),0))</f>
        <v>0</v>
      </c>
      <c r="V311" s="29">
        <f t="array" ref="V311">IF(R311="",0,IFERROR(XLOOKUP(R311,'Live Medal Table'!$B$2:$B$94,'Live Medal Table'!$H$2:$H$94,0),0))</f>
        <v>0</v>
      </c>
      <c r="W311" s="29">
        <f t="array" ref="W311">IF(R311="",0,IFERROR(XLOOKUP(R311,'Live Medal Table'!$B$2:$B$94,'Live Medal Table'!$I$2:$I$94,0),0))</f>
        <v>0</v>
      </c>
      <c r="X311" s="29">
        <f t="shared" si="1"/>
        <v>0</v>
      </c>
      <c r="Y311" s="29">
        <f t="shared" si="2"/>
        <v>0</v>
      </c>
      <c r="Z311" s="29">
        <f t="shared" si="3"/>
        <v>0</v>
      </c>
      <c r="AA311" s="29">
        <f t="shared" si="4"/>
        <v>0</v>
      </c>
      <c r="AB311" s="29" t="b">
        <f t="array" ref="AB311">IF(R311="",FALSE,IFERROR(AND(ISNUMBER(MATCH(R311,'Live Medal Table'!$B$2:$B$94,0)),XLOOKUP(R311,'Live Medal Table'!$B$2:$B$94,Countries!$I$2:$I$72,FALSE)),FALSE))</f>
        <v>0</v>
      </c>
    </row>
    <row r="312" ht="15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29"/>
      <c r="M312" s="29"/>
      <c r="N312" s="29" t="str">
        <f t="array" ref="N312">IFERROR(IF(INDEX(Entries!$C$2:$C$47,39)="","",INDEX(Entries!$Q$2:$Q$47,39)),"")</f>
        <v/>
      </c>
      <c r="O312" s="29" t="str">
        <f t="array" ref="O312">IF(N312="","",IFERROR(INDEX(Entries!$E$2:$E$47,39),""))</f>
        <v/>
      </c>
      <c r="P312" s="29" t="str">
        <f>IF(N312="","","Tier6_Pick1")</f>
        <v/>
      </c>
      <c r="Q312" s="29" t="str">
        <f t="shared" ref="Q312:Q313" si="82">IF(N312="","",6)</f>
        <v/>
      </c>
      <c r="R312" s="29" t="str">
        <f t="array" ref="R312">IF(N312="","",IFERROR(INDEX(Entries!$O$2:$O$47,39),""))</f>
        <v/>
      </c>
      <c r="S312" s="29" t="str">
        <f t="array" ref="S312">IF(R312="","",IFERROR(XLOOKUP(R312,'Live Medal Table'!$B$2:$B$94,'Live Medal Table'!$C$2:$C$94,"???"),"???"))</f>
        <v/>
      </c>
      <c r="T312" s="29">
        <f t="array" ref="T312">IF(R312="",0,IFERROR(XLOOKUP(R312,'Live Medal Table'!$B$2:$B$94,'Live Medal Table'!$F$2:$F$94,0),0))</f>
        <v>0</v>
      </c>
      <c r="U312" s="29">
        <f t="array" ref="U312">IF(R312="",0,IFERROR(XLOOKUP(R312,'Live Medal Table'!$B$2:$B$94,'Live Medal Table'!$G$2:$G$94,0),0))</f>
        <v>0</v>
      </c>
      <c r="V312" s="29">
        <f t="array" ref="V312">IF(R312="",0,IFERROR(XLOOKUP(R312,'Live Medal Table'!$B$2:$B$94,'Live Medal Table'!$H$2:$H$94,0),0))</f>
        <v>0</v>
      </c>
      <c r="W312" s="29">
        <f t="array" ref="W312">IF(R312="",0,IFERROR(XLOOKUP(R312,'Live Medal Table'!$B$2:$B$94,'Live Medal Table'!$I$2:$I$94,0),0))</f>
        <v>0</v>
      </c>
      <c r="X312" s="29">
        <f t="shared" si="1"/>
        <v>0</v>
      </c>
      <c r="Y312" s="29">
        <f t="shared" si="2"/>
        <v>0</v>
      </c>
      <c r="Z312" s="29">
        <f t="shared" si="3"/>
        <v>0</v>
      </c>
      <c r="AA312" s="29">
        <f t="shared" si="4"/>
        <v>0</v>
      </c>
      <c r="AB312" s="29" t="b">
        <f t="array" ref="AB312">IF(R312="",FALSE,IFERROR(AND(ISNUMBER(MATCH(R312,'Live Medal Table'!$B$2:$B$94,0)),XLOOKUP(R312,'Live Medal Table'!$B$2:$B$94,Countries!$I$2:$I$72,FALSE)),FALSE))</f>
        <v>0</v>
      </c>
    </row>
    <row r="313" ht="15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29"/>
      <c r="M313" s="29"/>
      <c r="N313" s="29" t="str">
        <f t="array" ref="N313">IFERROR(IF(INDEX(Entries!$C$2:$C$47,39)="","",INDEX(Entries!$Q$2:$Q$47,39)),"")</f>
        <v/>
      </c>
      <c r="O313" s="29" t="str">
        <f t="array" ref="O313">IF(N313="","",IFERROR(INDEX(Entries!$E$2:$E$47,39),""))</f>
        <v/>
      </c>
      <c r="P313" s="29" t="str">
        <f>IF(N313="","","Tier6_Pick2")</f>
        <v/>
      </c>
      <c r="Q313" s="29" t="str">
        <f t="shared" si="82"/>
        <v/>
      </c>
      <c r="R313" s="29" t="str">
        <f t="array" ref="R313">IF(N313="","",IFERROR(INDEX(Entries!$P$2:$P$47,39),""))</f>
        <v/>
      </c>
      <c r="S313" s="29" t="str">
        <f t="array" ref="S313">IF(R313="","",IFERROR(XLOOKUP(R313,'Live Medal Table'!$B$2:$B$94,'Live Medal Table'!$C$2:$C$94,"???"),"???"))</f>
        <v/>
      </c>
      <c r="T313" s="29">
        <f t="array" ref="T313">IF(R313="",0,IFERROR(XLOOKUP(R313,'Live Medal Table'!$B$2:$B$94,'Live Medal Table'!$F$2:$F$94,0),0))</f>
        <v>0</v>
      </c>
      <c r="U313" s="29">
        <f t="array" ref="U313">IF(R313="",0,IFERROR(XLOOKUP(R313,'Live Medal Table'!$B$2:$B$94,'Live Medal Table'!$G$2:$G$94,0),0))</f>
        <v>0</v>
      </c>
      <c r="V313" s="29">
        <f t="array" ref="V313">IF(R313="",0,IFERROR(XLOOKUP(R313,'Live Medal Table'!$B$2:$B$94,'Live Medal Table'!$H$2:$H$94,0),0))</f>
        <v>0</v>
      </c>
      <c r="W313" s="29">
        <f t="array" ref="W313">IF(R313="",0,IFERROR(XLOOKUP(R313,'Live Medal Table'!$B$2:$B$94,'Live Medal Table'!$I$2:$I$94,0),0))</f>
        <v>0</v>
      </c>
      <c r="X313" s="29">
        <f t="shared" si="1"/>
        <v>0</v>
      </c>
      <c r="Y313" s="29">
        <f t="shared" si="2"/>
        <v>0</v>
      </c>
      <c r="Z313" s="29">
        <f t="shared" si="3"/>
        <v>0</v>
      </c>
      <c r="AA313" s="29">
        <f t="shared" si="4"/>
        <v>0</v>
      </c>
      <c r="AB313" s="29" t="b">
        <f t="array" ref="AB313">IF(R313="",FALSE,IFERROR(AND(ISNUMBER(MATCH(R313,'Live Medal Table'!$B$2:$B$94,0)),XLOOKUP(R313,'Live Medal Table'!$B$2:$B$94,Countries!$I$2:$I$72,FALSE)),FALSE))</f>
        <v>0</v>
      </c>
    </row>
    <row r="314" ht="15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29"/>
      <c r="M314" s="29"/>
      <c r="N314" s="29" t="str">
        <f t="array" ref="N314">IFERROR(IF(INDEX(Entries!$C$2:$C$47,40)="","",INDEX(Entries!$Q$2:$Q$47,40)),"")</f>
        <v/>
      </c>
      <c r="O314" s="29" t="str">
        <f t="array" ref="O314">IF(N314="","",IFERROR(INDEX(Entries!$E$2:$E$47,40),""))</f>
        <v/>
      </c>
      <c r="P314" s="29" t="str">
        <f>IF(N314="","","Tier1_Pick1")</f>
        <v/>
      </c>
      <c r="Q314" s="29" t="str">
        <f>IF(N314="","",1)</f>
        <v/>
      </c>
      <c r="R314" s="29" t="str">
        <f t="array" ref="R314">IF(N314="","",IFERROR(INDEX(Entries!$F$2:$F$47,40),""))</f>
        <v/>
      </c>
      <c r="S314" s="29" t="str">
        <f t="array" ref="S314">IF(R314="","",IFERROR(XLOOKUP(R314,'Live Medal Table'!$B$2:$B$94,'Live Medal Table'!$C$2:$C$94,"???"),"???"))</f>
        <v/>
      </c>
      <c r="T314" s="29">
        <f t="array" ref="T314">IF(R314="",0,IFERROR(XLOOKUP(R314,'Live Medal Table'!$B$2:$B$94,'Live Medal Table'!$F$2:$F$94,0),0))</f>
        <v>0</v>
      </c>
      <c r="U314" s="29">
        <f t="array" ref="U314">IF(R314="",0,IFERROR(XLOOKUP(R314,'Live Medal Table'!$B$2:$B$94,'Live Medal Table'!$G$2:$G$94,0),0))</f>
        <v>0</v>
      </c>
      <c r="V314" s="29">
        <f t="array" ref="V314">IF(R314="",0,IFERROR(XLOOKUP(R314,'Live Medal Table'!$B$2:$B$94,'Live Medal Table'!$H$2:$H$94,0),0))</f>
        <v>0</v>
      </c>
      <c r="W314" s="29">
        <f t="array" ref="W314">IF(R314="",0,IFERROR(XLOOKUP(R314,'Live Medal Table'!$B$2:$B$94,'Live Medal Table'!$I$2:$I$94,0),0))</f>
        <v>0</v>
      </c>
      <c r="X314" s="29">
        <f t="shared" si="1"/>
        <v>0</v>
      </c>
      <c r="Y314" s="29">
        <f t="shared" si="2"/>
        <v>0</v>
      </c>
      <c r="Z314" s="29">
        <f t="shared" si="3"/>
        <v>0</v>
      </c>
      <c r="AA314" s="29">
        <f t="shared" si="4"/>
        <v>0</v>
      </c>
      <c r="AB314" s="29" t="b">
        <f t="array" ref="AB314">IF(R314="",FALSE,IFERROR(AND(ISNUMBER(MATCH(R314,'Live Medal Table'!$B$2:$B$94,0)),XLOOKUP(R314,'Live Medal Table'!$B$2:$B$94,Countries!$I$2:$I$72,FALSE)),FALSE))</f>
        <v>0</v>
      </c>
    </row>
    <row r="315" ht="15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29"/>
      <c r="M315" s="29"/>
      <c r="N315" s="29" t="str">
        <f t="array" ref="N315">IFERROR(IF(INDEX(Entries!$C$2:$C$47,40)="","",INDEX(Entries!$Q$2:$Q$47,40)),"")</f>
        <v/>
      </c>
      <c r="O315" s="29" t="str">
        <f t="array" ref="O315">IF(N315="","",IFERROR(INDEX(Entries!$E$2:$E$47,40),""))</f>
        <v/>
      </c>
      <c r="P315" s="29" t="str">
        <f>IF(N315="","","Tier2_Pick1")</f>
        <v/>
      </c>
      <c r="Q315" s="29" t="str">
        <f t="shared" ref="Q315:Q316" si="83">IF(N315="","",2)</f>
        <v/>
      </c>
      <c r="R315" s="29" t="str">
        <f t="array" ref="R315">IF(N315="","",IFERROR(INDEX(Entries!$M$2:$M$47,40),""))</f>
        <v/>
      </c>
      <c r="S315" s="29" t="str">
        <f t="array" ref="S315">IF(R315="","",IFERROR(XLOOKUP(R315,'Live Medal Table'!$B$2:$B$94,'Live Medal Table'!$C$2:$C$94,"???"),"???"))</f>
        <v/>
      </c>
      <c r="T315" s="29">
        <f t="array" ref="T315">IF(R315="",0,IFERROR(XLOOKUP(R315,'Live Medal Table'!$B$2:$B$94,'Live Medal Table'!$F$2:$F$94,0),0))</f>
        <v>0</v>
      </c>
      <c r="U315" s="29">
        <f t="array" ref="U315">IF(R315="",0,IFERROR(XLOOKUP(R315,'Live Medal Table'!$B$2:$B$94,'Live Medal Table'!$G$2:$G$94,0),0))</f>
        <v>0</v>
      </c>
      <c r="V315" s="29">
        <f t="array" ref="V315">IF(R315="",0,IFERROR(XLOOKUP(R315,'Live Medal Table'!$B$2:$B$94,'Live Medal Table'!$H$2:$H$94,0),0))</f>
        <v>0</v>
      </c>
      <c r="W315" s="29">
        <f t="array" ref="W315">IF(R315="",0,IFERROR(XLOOKUP(R315,'Live Medal Table'!$B$2:$B$94,'Live Medal Table'!$I$2:$I$94,0),0))</f>
        <v>0</v>
      </c>
      <c r="X315" s="29">
        <f t="shared" si="1"/>
        <v>0</v>
      </c>
      <c r="Y315" s="29">
        <f t="shared" si="2"/>
        <v>0</v>
      </c>
      <c r="Z315" s="29">
        <f t="shared" si="3"/>
        <v>0</v>
      </c>
      <c r="AA315" s="29">
        <f t="shared" si="4"/>
        <v>0</v>
      </c>
      <c r="AB315" s="29" t="b">
        <f t="array" ref="AB315">IF(R315="",FALSE,IFERROR(AND(ISNUMBER(MATCH(R315,'Live Medal Table'!$B$2:$B$94,0)),XLOOKUP(R315,'Live Medal Table'!$B$2:$B$94,Countries!$I$2:$I$72,FALSE)),FALSE))</f>
        <v>0</v>
      </c>
    </row>
    <row r="316" ht="15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29"/>
      <c r="M316" s="29"/>
      <c r="N316" s="29" t="str">
        <f t="array" ref="N316">IFERROR(IF(INDEX(Entries!$C$2:$C$47,40)="","",INDEX(Entries!$Q$2:$Q$47,40)),"")</f>
        <v/>
      </c>
      <c r="O316" s="29" t="str">
        <f t="array" ref="O316">IF(N316="","",IFERROR(INDEX(Entries!$E$2:$E$47,40),""))</f>
        <v/>
      </c>
      <c r="P316" s="29" t="str">
        <f>IF(N316="","","Tier2_Pick2")</f>
        <v/>
      </c>
      <c r="Q316" s="29" t="str">
        <f t="shared" si="83"/>
        <v/>
      </c>
      <c r="R316" s="29" t="str">
        <f t="array" ref="R316">IF(N316="","",IFERROR(INDEX(Entries!$N$2:$N$47,40),""))</f>
        <v/>
      </c>
      <c r="S316" s="29" t="str">
        <f t="array" ref="S316">IF(R316="","",IFERROR(XLOOKUP(R316,'Live Medal Table'!$B$2:$B$94,'Live Medal Table'!$C$2:$C$94,"???"),"???"))</f>
        <v/>
      </c>
      <c r="T316" s="29">
        <f t="array" ref="T316">IF(R316="",0,IFERROR(XLOOKUP(R316,'Live Medal Table'!$B$2:$B$94,'Live Medal Table'!$F$2:$F$94,0),0))</f>
        <v>0</v>
      </c>
      <c r="U316" s="29">
        <f t="array" ref="U316">IF(R316="",0,IFERROR(XLOOKUP(R316,'Live Medal Table'!$B$2:$B$94,'Live Medal Table'!$G$2:$G$94,0),0))</f>
        <v>0</v>
      </c>
      <c r="V316" s="29">
        <f t="array" ref="V316">IF(R316="",0,IFERROR(XLOOKUP(R316,'Live Medal Table'!$B$2:$B$94,'Live Medal Table'!$H$2:$H$94,0),0))</f>
        <v>0</v>
      </c>
      <c r="W316" s="29">
        <f t="array" ref="W316">IF(R316="",0,IFERROR(XLOOKUP(R316,'Live Medal Table'!$B$2:$B$94,'Live Medal Table'!$I$2:$I$94,0),0))</f>
        <v>0</v>
      </c>
      <c r="X316" s="29">
        <f t="shared" si="1"/>
        <v>0</v>
      </c>
      <c r="Y316" s="29">
        <f t="shared" si="2"/>
        <v>0</v>
      </c>
      <c r="Z316" s="29">
        <f t="shared" si="3"/>
        <v>0</v>
      </c>
      <c r="AA316" s="29">
        <f t="shared" si="4"/>
        <v>0</v>
      </c>
      <c r="AB316" s="29" t="b">
        <f t="array" ref="AB316">IF(R316="",FALSE,IFERROR(AND(ISNUMBER(MATCH(R316,'Live Medal Table'!$B$2:$B$94,0)),XLOOKUP(R316,'Live Medal Table'!$B$2:$B$94,Countries!$I$2:$I$72,FALSE)),FALSE))</f>
        <v>0</v>
      </c>
    </row>
    <row r="317" ht="15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29"/>
      <c r="M317" s="29"/>
      <c r="N317" s="29" t="str">
        <f t="array" ref="N317">IFERROR(IF(INDEX(Entries!$C$2:$C$47,40)="","",INDEX(Entries!$Q$2:$Q$47,40)),"")</f>
        <v/>
      </c>
      <c r="O317" s="29" t="str">
        <f t="array" ref="O317">IF(N317="","",IFERROR(INDEX(Entries!$E$2:$E$47,40),""))</f>
        <v/>
      </c>
      <c r="P317" s="29" t="str">
        <f>IF(N317="","","Tier3_Pick1")</f>
        <v/>
      </c>
      <c r="Q317" s="29" t="str">
        <f>IF(N317="","",3)</f>
        <v/>
      </c>
      <c r="R317" s="29" t="str">
        <f t="array" ref="R317">IF(N317="","",IFERROR(INDEX(Entries!$H$2:$H$47,40),""))</f>
        <v/>
      </c>
      <c r="S317" s="29" t="str">
        <f t="array" ref="S317">IF(R317="","",IFERROR(XLOOKUP(R317,'Live Medal Table'!$B$2:$B$94,'Live Medal Table'!$C$2:$C$94,"???"),"???"))</f>
        <v/>
      </c>
      <c r="T317" s="29">
        <f t="array" ref="T317">IF(R317="",0,IFERROR(XLOOKUP(R317,'Live Medal Table'!$B$2:$B$94,'Live Medal Table'!$F$2:$F$94,0),0))</f>
        <v>0</v>
      </c>
      <c r="U317" s="29">
        <f t="array" ref="U317">IF(R317="",0,IFERROR(XLOOKUP(R317,'Live Medal Table'!$B$2:$B$94,'Live Medal Table'!$G$2:$G$94,0),0))</f>
        <v>0</v>
      </c>
      <c r="V317" s="29">
        <f t="array" ref="V317">IF(R317="",0,IFERROR(XLOOKUP(R317,'Live Medal Table'!$B$2:$B$94,'Live Medal Table'!$H$2:$H$94,0),0))</f>
        <v>0</v>
      </c>
      <c r="W317" s="29">
        <f t="array" ref="W317">IF(R317="",0,IFERROR(XLOOKUP(R317,'Live Medal Table'!$B$2:$B$94,'Live Medal Table'!$I$2:$I$94,0),0))</f>
        <v>0</v>
      </c>
      <c r="X317" s="29">
        <f t="shared" si="1"/>
        <v>0</v>
      </c>
      <c r="Y317" s="29">
        <f t="shared" si="2"/>
        <v>0</v>
      </c>
      <c r="Z317" s="29">
        <f t="shared" si="3"/>
        <v>0</v>
      </c>
      <c r="AA317" s="29">
        <f t="shared" si="4"/>
        <v>0</v>
      </c>
      <c r="AB317" s="29" t="b">
        <f t="array" ref="AB317">IF(R317="",FALSE,IFERROR(AND(ISNUMBER(MATCH(R317,'Live Medal Table'!$B$2:$B$94,0)),XLOOKUP(R317,'Live Medal Table'!$B$2:$B$94,Countries!$I$2:$I$72,FALSE)),FALSE))</f>
        <v>0</v>
      </c>
    </row>
    <row r="318" ht="15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29"/>
      <c r="M318" s="29"/>
      <c r="N318" s="29" t="str">
        <f t="array" ref="N318">IFERROR(IF(INDEX(Entries!$C$2:$C$47,40)="","",INDEX(Entries!$Q$2:$Q$47,40)),"")</f>
        <v/>
      </c>
      <c r="O318" s="29" t="str">
        <f t="array" ref="O318">IF(N318="","",IFERROR(INDEX(Entries!$E$2:$E$47,40),""))</f>
        <v/>
      </c>
      <c r="P318" s="29" t="str">
        <f>IF(N318="","","Tier4_Pick1")</f>
        <v/>
      </c>
      <c r="Q318" s="29" t="str">
        <f>IF(N318="","",4)</f>
        <v/>
      </c>
      <c r="R318" s="29" t="str">
        <f t="array" ref="R318">IF(N318="","",IFERROR(INDEX(Entries!$I$2:$I$47,40),""))</f>
        <v/>
      </c>
      <c r="S318" s="29" t="str">
        <f t="array" ref="S318">IF(R318="","",IFERROR(XLOOKUP(R318,'Live Medal Table'!$B$2:$B$94,'Live Medal Table'!$C$2:$C$94,"???"),"???"))</f>
        <v/>
      </c>
      <c r="T318" s="29">
        <f t="array" ref="T318">IF(R318="",0,IFERROR(XLOOKUP(R318,'Live Medal Table'!$B$2:$B$94,'Live Medal Table'!$F$2:$F$94,0),0))</f>
        <v>0</v>
      </c>
      <c r="U318" s="29">
        <f t="array" ref="U318">IF(R318="",0,IFERROR(XLOOKUP(R318,'Live Medal Table'!$B$2:$B$94,'Live Medal Table'!$G$2:$G$94,0),0))</f>
        <v>0</v>
      </c>
      <c r="V318" s="29">
        <f t="array" ref="V318">IF(R318="",0,IFERROR(XLOOKUP(R318,'Live Medal Table'!$B$2:$B$94,'Live Medal Table'!$H$2:$H$94,0),0))</f>
        <v>0</v>
      </c>
      <c r="W318" s="29">
        <f t="array" ref="W318">IF(R318="",0,IFERROR(XLOOKUP(R318,'Live Medal Table'!$B$2:$B$94,'Live Medal Table'!$I$2:$I$94,0),0))</f>
        <v>0</v>
      </c>
      <c r="X318" s="29">
        <f t="shared" si="1"/>
        <v>0</v>
      </c>
      <c r="Y318" s="29">
        <f t="shared" si="2"/>
        <v>0</v>
      </c>
      <c r="Z318" s="29">
        <f t="shared" si="3"/>
        <v>0</v>
      </c>
      <c r="AA318" s="29">
        <f t="shared" si="4"/>
        <v>0</v>
      </c>
      <c r="AB318" s="29" t="b">
        <f t="array" ref="AB318">IF(R318="",FALSE,IFERROR(AND(ISNUMBER(MATCH(R318,'Live Medal Table'!$B$2:$B$94,0)),XLOOKUP(R318,'Live Medal Table'!$B$2:$B$94,Countries!$I$2:$I$72,FALSE)),FALSE))</f>
        <v>0</v>
      </c>
    </row>
    <row r="319" ht="15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29"/>
      <c r="M319" s="29"/>
      <c r="N319" s="29" t="str">
        <f t="array" ref="N319">IFERROR(IF(INDEX(Entries!$C$2:$C$47,40)="","",INDEX(Entries!$Q$2:$Q$47,40)),"")</f>
        <v/>
      </c>
      <c r="O319" s="29" t="str">
        <f t="array" ref="O319">IF(N319="","",IFERROR(INDEX(Entries!$E$2:$E$47,40),""))</f>
        <v/>
      </c>
      <c r="P319" s="29" t="str">
        <f>IF(N319="","","Tier5_Pick1")</f>
        <v/>
      </c>
      <c r="Q319" s="29" t="str">
        <f>IF(N319="","",5)</f>
        <v/>
      </c>
      <c r="R319" s="29" t="str">
        <f t="array" ref="R319">IF(N319="","",IFERROR(INDEX(Entries!$J$2:$J$47,40),""))</f>
        <v/>
      </c>
      <c r="S319" s="29" t="str">
        <f t="array" ref="S319">IF(R319="","",IFERROR(XLOOKUP(R319,'Live Medal Table'!$B$2:$B$94,'Live Medal Table'!$C$2:$C$94,"???"),"???"))</f>
        <v/>
      </c>
      <c r="T319" s="29">
        <f t="array" ref="T319">IF(R319="",0,IFERROR(XLOOKUP(R319,'Live Medal Table'!$B$2:$B$94,'Live Medal Table'!$F$2:$F$94,0),0))</f>
        <v>0</v>
      </c>
      <c r="U319" s="29">
        <f t="array" ref="U319">IF(R319="",0,IFERROR(XLOOKUP(R319,'Live Medal Table'!$B$2:$B$94,'Live Medal Table'!$G$2:$G$94,0),0))</f>
        <v>0</v>
      </c>
      <c r="V319" s="29">
        <f t="array" ref="V319">IF(R319="",0,IFERROR(XLOOKUP(R319,'Live Medal Table'!$B$2:$B$94,'Live Medal Table'!$H$2:$H$94,0),0))</f>
        <v>0</v>
      </c>
      <c r="W319" s="29">
        <f t="array" ref="W319">IF(R319="",0,IFERROR(XLOOKUP(R319,'Live Medal Table'!$B$2:$B$94,'Live Medal Table'!$I$2:$I$94,0),0))</f>
        <v>0</v>
      </c>
      <c r="X319" s="29">
        <f t="shared" si="1"/>
        <v>0</v>
      </c>
      <c r="Y319" s="29">
        <f t="shared" si="2"/>
        <v>0</v>
      </c>
      <c r="Z319" s="29">
        <f t="shared" si="3"/>
        <v>0</v>
      </c>
      <c r="AA319" s="29">
        <f t="shared" si="4"/>
        <v>0</v>
      </c>
      <c r="AB319" s="29" t="b">
        <f t="array" ref="AB319">IF(R319="",FALSE,IFERROR(AND(ISNUMBER(MATCH(R319,'Live Medal Table'!$B$2:$B$94,0)),XLOOKUP(R319,'Live Medal Table'!$B$2:$B$94,Countries!$I$2:$I$72,FALSE)),FALSE))</f>
        <v>0</v>
      </c>
    </row>
    <row r="320" ht="15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29"/>
      <c r="M320" s="29"/>
      <c r="N320" s="29" t="str">
        <f t="array" ref="N320">IFERROR(IF(INDEX(Entries!$C$2:$C$47,40)="","",INDEX(Entries!$Q$2:$Q$47,40)),"")</f>
        <v/>
      </c>
      <c r="O320" s="29" t="str">
        <f t="array" ref="O320">IF(N320="","",IFERROR(INDEX(Entries!$E$2:$E$47,40),""))</f>
        <v/>
      </c>
      <c r="P320" s="29" t="str">
        <f>IF(N320="","","Tier6_Pick1")</f>
        <v/>
      </c>
      <c r="Q320" s="29" t="str">
        <f t="shared" ref="Q320:Q321" si="84">IF(N320="","",6)</f>
        <v/>
      </c>
      <c r="R320" s="29" t="str">
        <f t="array" ref="R320">IF(N320="","",IFERROR(INDEX(Entries!$O$2:$O$47,40),""))</f>
        <v/>
      </c>
      <c r="S320" s="29" t="str">
        <f t="array" ref="S320">IF(R320="","",IFERROR(XLOOKUP(R320,'Live Medal Table'!$B$2:$B$94,'Live Medal Table'!$C$2:$C$94,"???"),"???"))</f>
        <v/>
      </c>
      <c r="T320" s="29">
        <f t="array" ref="T320">IF(R320="",0,IFERROR(XLOOKUP(R320,'Live Medal Table'!$B$2:$B$94,'Live Medal Table'!$F$2:$F$94,0),0))</f>
        <v>0</v>
      </c>
      <c r="U320" s="29">
        <f t="array" ref="U320">IF(R320="",0,IFERROR(XLOOKUP(R320,'Live Medal Table'!$B$2:$B$94,'Live Medal Table'!$G$2:$G$94,0),0))</f>
        <v>0</v>
      </c>
      <c r="V320" s="29">
        <f t="array" ref="V320">IF(R320="",0,IFERROR(XLOOKUP(R320,'Live Medal Table'!$B$2:$B$94,'Live Medal Table'!$H$2:$H$94,0),0))</f>
        <v>0</v>
      </c>
      <c r="W320" s="29">
        <f t="array" ref="W320">IF(R320="",0,IFERROR(XLOOKUP(R320,'Live Medal Table'!$B$2:$B$94,'Live Medal Table'!$I$2:$I$94,0),0))</f>
        <v>0</v>
      </c>
      <c r="X320" s="29">
        <f t="shared" si="1"/>
        <v>0</v>
      </c>
      <c r="Y320" s="29">
        <f t="shared" si="2"/>
        <v>0</v>
      </c>
      <c r="Z320" s="29">
        <f t="shared" si="3"/>
        <v>0</v>
      </c>
      <c r="AA320" s="29">
        <f t="shared" si="4"/>
        <v>0</v>
      </c>
      <c r="AB320" s="29" t="b">
        <f t="array" ref="AB320">IF(R320="",FALSE,IFERROR(AND(ISNUMBER(MATCH(R320,'Live Medal Table'!$B$2:$B$94,0)),XLOOKUP(R320,'Live Medal Table'!$B$2:$B$94,Countries!$I$2:$I$72,FALSE)),FALSE))</f>
        <v>0</v>
      </c>
    </row>
    <row r="321" ht="15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29"/>
      <c r="M321" s="29"/>
      <c r="N321" s="29" t="str">
        <f t="array" ref="N321">IFERROR(IF(INDEX(Entries!$C$2:$C$47,40)="","",INDEX(Entries!$Q$2:$Q$47,40)),"")</f>
        <v/>
      </c>
      <c r="O321" s="29" t="str">
        <f t="array" ref="O321">IF(N321="","",IFERROR(INDEX(Entries!$E$2:$E$47,40),""))</f>
        <v/>
      </c>
      <c r="P321" s="29" t="str">
        <f>IF(N321="","","Tier6_Pick2")</f>
        <v/>
      </c>
      <c r="Q321" s="29" t="str">
        <f t="shared" si="84"/>
        <v/>
      </c>
      <c r="R321" s="29" t="str">
        <f t="array" ref="R321">IF(N321="","",IFERROR(INDEX(Entries!$P$2:$P$47,40),""))</f>
        <v/>
      </c>
      <c r="S321" s="29" t="str">
        <f t="array" ref="S321">IF(R321="","",IFERROR(XLOOKUP(R321,'Live Medal Table'!$B$2:$B$94,'Live Medal Table'!$C$2:$C$94,"???"),"???"))</f>
        <v/>
      </c>
      <c r="T321" s="29">
        <f t="array" ref="T321">IF(R321="",0,IFERROR(XLOOKUP(R321,'Live Medal Table'!$B$2:$B$94,'Live Medal Table'!$F$2:$F$94,0),0))</f>
        <v>0</v>
      </c>
      <c r="U321" s="29">
        <f t="array" ref="U321">IF(R321="",0,IFERROR(XLOOKUP(R321,'Live Medal Table'!$B$2:$B$94,'Live Medal Table'!$G$2:$G$94,0),0))</f>
        <v>0</v>
      </c>
      <c r="V321" s="29">
        <f t="array" ref="V321">IF(R321="",0,IFERROR(XLOOKUP(R321,'Live Medal Table'!$B$2:$B$94,'Live Medal Table'!$H$2:$H$94,0),0))</f>
        <v>0</v>
      </c>
      <c r="W321" s="29">
        <f t="array" ref="W321">IF(R321="",0,IFERROR(XLOOKUP(R321,'Live Medal Table'!$B$2:$B$94,'Live Medal Table'!$I$2:$I$94,0),0))</f>
        <v>0</v>
      </c>
      <c r="X321" s="29">
        <f t="shared" si="1"/>
        <v>0</v>
      </c>
      <c r="Y321" s="29">
        <f t="shared" si="2"/>
        <v>0</v>
      </c>
      <c r="Z321" s="29">
        <f t="shared" si="3"/>
        <v>0</v>
      </c>
      <c r="AA321" s="29">
        <f t="shared" si="4"/>
        <v>0</v>
      </c>
      <c r="AB321" s="29" t="b">
        <f t="array" ref="AB321">IF(R321="",FALSE,IFERROR(AND(ISNUMBER(MATCH(R321,'Live Medal Table'!$B$2:$B$94,0)),XLOOKUP(R321,'Live Medal Table'!$B$2:$B$94,Countries!$I$2:$I$72,FALSE)),FALSE))</f>
        <v>0</v>
      </c>
    </row>
    <row r="322" ht="15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29"/>
      <c r="M322" s="29"/>
      <c r="N322" s="29" t="str">
        <f t="array" ref="N322">IFERROR(IF(INDEX(Entries!$C$2:$C$47,41)="","",INDEX(Entries!$Q$2:$Q$47,41)),"")</f>
        <v/>
      </c>
      <c r="O322" s="29" t="str">
        <f t="array" ref="O322">IF(N322="","",IFERROR(INDEX(Entries!$E$2:$E$47,41),""))</f>
        <v/>
      </c>
      <c r="P322" s="29" t="str">
        <f>IF(N322="","","Tier1_Pick1")</f>
        <v/>
      </c>
      <c r="Q322" s="29" t="str">
        <f>IF(N322="","",1)</f>
        <v/>
      </c>
      <c r="R322" s="29" t="str">
        <f t="array" ref="R322">IF(N322="","",IFERROR(INDEX(Entries!$F$2:$F$47,41),""))</f>
        <v/>
      </c>
      <c r="S322" s="29" t="str">
        <f t="array" ref="S322">IF(R322="","",IFERROR(XLOOKUP(R322,'Live Medal Table'!$B$2:$B$94,'Live Medal Table'!$C$2:$C$94,"???"),"???"))</f>
        <v/>
      </c>
      <c r="T322" s="29">
        <f t="array" ref="T322">IF(R322="",0,IFERROR(XLOOKUP(R322,'Live Medal Table'!$B$2:$B$94,'Live Medal Table'!$F$2:$F$94,0),0))</f>
        <v>0</v>
      </c>
      <c r="U322" s="29">
        <f t="array" ref="U322">IF(R322="",0,IFERROR(XLOOKUP(R322,'Live Medal Table'!$B$2:$B$94,'Live Medal Table'!$G$2:$G$94,0),0))</f>
        <v>0</v>
      </c>
      <c r="V322" s="29">
        <f t="array" ref="V322">IF(R322="",0,IFERROR(XLOOKUP(R322,'Live Medal Table'!$B$2:$B$94,'Live Medal Table'!$H$2:$H$94,0),0))</f>
        <v>0</v>
      </c>
      <c r="W322" s="29">
        <f t="array" ref="W322">IF(R322="",0,IFERROR(XLOOKUP(R322,'Live Medal Table'!$B$2:$B$94,'Live Medal Table'!$I$2:$I$94,0),0))</f>
        <v>0</v>
      </c>
      <c r="X322" s="29">
        <f t="shared" si="1"/>
        <v>0</v>
      </c>
      <c r="Y322" s="29">
        <f t="shared" si="2"/>
        <v>0</v>
      </c>
      <c r="Z322" s="29">
        <f t="shared" si="3"/>
        <v>0</v>
      </c>
      <c r="AA322" s="29">
        <f t="shared" si="4"/>
        <v>0</v>
      </c>
      <c r="AB322" s="29" t="b">
        <f t="array" ref="AB322">IF(R322="",FALSE,IFERROR(AND(ISNUMBER(MATCH(R322,'Live Medal Table'!$B$2:$B$94,0)),XLOOKUP(R322,'Live Medal Table'!$B$2:$B$94,Countries!$I$2:$I$72,FALSE)),FALSE))</f>
        <v>0</v>
      </c>
    </row>
    <row r="323" ht="15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29"/>
      <c r="M323" s="29"/>
      <c r="N323" s="29" t="str">
        <f t="array" ref="N323">IFERROR(IF(INDEX(Entries!$C$2:$C$47,41)="","",INDEX(Entries!$Q$2:$Q$47,41)),"")</f>
        <v/>
      </c>
      <c r="O323" s="29" t="str">
        <f t="array" ref="O323">IF(N323="","",IFERROR(INDEX(Entries!$E$2:$E$47,41),""))</f>
        <v/>
      </c>
      <c r="P323" s="29" t="str">
        <f>IF(N323="","","Tier2_Pick1")</f>
        <v/>
      </c>
      <c r="Q323" s="29" t="str">
        <f t="shared" ref="Q323:Q324" si="85">IF(N323="","",2)</f>
        <v/>
      </c>
      <c r="R323" s="29" t="str">
        <f t="array" ref="R323">IF(N323="","",IFERROR(INDEX(Entries!$M$2:$M$47,41),""))</f>
        <v/>
      </c>
      <c r="S323" s="29" t="str">
        <f t="array" ref="S323">IF(R323="","",IFERROR(XLOOKUP(R323,'Live Medal Table'!$B$2:$B$94,'Live Medal Table'!$C$2:$C$94,"???"),"???"))</f>
        <v/>
      </c>
      <c r="T323" s="29">
        <f t="array" ref="T323">IF(R323="",0,IFERROR(XLOOKUP(R323,'Live Medal Table'!$B$2:$B$94,'Live Medal Table'!$F$2:$F$94,0),0))</f>
        <v>0</v>
      </c>
      <c r="U323" s="29">
        <f t="array" ref="U323">IF(R323="",0,IFERROR(XLOOKUP(R323,'Live Medal Table'!$B$2:$B$94,'Live Medal Table'!$G$2:$G$94,0),0))</f>
        <v>0</v>
      </c>
      <c r="V323" s="29">
        <f t="array" ref="V323">IF(R323="",0,IFERROR(XLOOKUP(R323,'Live Medal Table'!$B$2:$B$94,'Live Medal Table'!$H$2:$H$94,0),0))</f>
        <v>0</v>
      </c>
      <c r="W323" s="29">
        <f t="array" ref="W323">IF(R323="",0,IFERROR(XLOOKUP(R323,'Live Medal Table'!$B$2:$B$94,'Live Medal Table'!$I$2:$I$94,0),0))</f>
        <v>0</v>
      </c>
      <c r="X323" s="29">
        <f t="shared" si="1"/>
        <v>0</v>
      </c>
      <c r="Y323" s="29">
        <f t="shared" si="2"/>
        <v>0</v>
      </c>
      <c r="Z323" s="29">
        <f t="shared" si="3"/>
        <v>0</v>
      </c>
      <c r="AA323" s="29">
        <f t="shared" si="4"/>
        <v>0</v>
      </c>
      <c r="AB323" s="29" t="b">
        <f t="array" ref="AB323">IF(R323="",FALSE,IFERROR(AND(ISNUMBER(MATCH(R323,'Live Medal Table'!$B$2:$B$94,0)),XLOOKUP(R323,'Live Medal Table'!$B$2:$B$94,Countries!$I$2:$I$72,FALSE)),FALSE))</f>
        <v>0</v>
      </c>
    </row>
    <row r="324" ht="15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29"/>
      <c r="M324" s="29"/>
      <c r="N324" s="29" t="str">
        <f t="array" ref="N324">IFERROR(IF(INDEX(Entries!$C$2:$C$47,41)="","",INDEX(Entries!$Q$2:$Q$47,41)),"")</f>
        <v/>
      </c>
      <c r="O324" s="29" t="str">
        <f t="array" ref="O324">IF(N324="","",IFERROR(INDEX(Entries!$E$2:$E$47,41),""))</f>
        <v/>
      </c>
      <c r="P324" s="29" t="str">
        <f>IF(N324="","","Tier2_Pick2")</f>
        <v/>
      </c>
      <c r="Q324" s="29" t="str">
        <f t="shared" si="85"/>
        <v/>
      </c>
      <c r="R324" s="29" t="str">
        <f t="array" ref="R324">IF(N324="","",IFERROR(INDEX(Entries!$N$2:$N$47,41),""))</f>
        <v/>
      </c>
      <c r="S324" s="29" t="str">
        <f t="array" ref="S324">IF(R324="","",IFERROR(XLOOKUP(R324,'Live Medal Table'!$B$2:$B$94,'Live Medal Table'!$C$2:$C$94,"???"),"???"))</f>
        <v/>
      </c>
      <c r="T324" s="29">
        <f t="array" ref="T324">IF(R324="",0,IFERROR(XLOOKUP(R324,'Live Medal Table'!$B$2:$B$94,'Live Medal Table'!$F$2:$F$94,0),0))</f>
        <v>0</v>
      </c>
      <c r="U324" s="29">
        <f t="array" ref="U324">IF(R324="",0,IFERROR(XLOOKUP(R324,'Live Medal Table'!$B$2:$B$94,'Live Medal Table'!$G$2:$G$94,0),0))</f>
        <v>0</v>
      </c>
      <c r="V324" s="29">
        <f t="array" ref="V324">IF(R324="",0,IFERROR(XLOOKUP(R324,'Live Medal Table'!$B$2:$B$94,'Live Medal Table'!$H$2:$H$94,0),0))</f>
        <v>0</v>
      </c>
      <c r="W324" s="29">
        <f t="array" ref="W324">IF(R324="",0,IFERROR(XLOOKUP(R324,'Live Medal Table'!$B$2:$B$94,'Live Medal Table'!$I$2:$I$94,0),0))</f>
        <v>0</v>
      </c>
      <c r="X324" s="29">
        <f t="shared" si="1"/>
        <v>0</v>
      </c>
      <c r="Y324" s="29">
        <f t="shared" si="2"/>
        <v>0</v>
      </c>
      <c r="Z324" s="29">
        <f t="shared" si="3"/>
        <v>0</v>
      </c>
      <c r="AA324" s="29">
        <f t="shared" si="4"/>
        <v>0</v>
      </c>
      <c r="AB324" s="29" t="b">
        <f t="array" ref="AB324">IF(R324="",FALSE,IFERROR(AND(ISNUMBER(MATCH(R324,'Live Medal Table'!$B$2:$B$94,0)),XLOOKUP(R324,'Live Medal Table'!$B$2:$B$94,Countries!$I$2:$I$72,FALSE)),FALSE))</f>
        <v>0</v>
      </c>
    </row>
    <row r="325" ht="15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29"/>
      <c r="M325" s="29"/>
      <c r="N325" s="29" t="str">
        <f t="array" ref="N325">IFERROR(IF(INDEX(Entries!$C$2:$C$47,41)="","",INDEX(Entries!$Q$2:$Q$47,41)),"")</f>
        <v/>
      </c>
      <c r="O325" s="29" t="str">
        <f t="array" ref="O325">IF(N325="","",IFERROR(INDEX(Entries!$E$2:$E$47,41),""))</f>
        <v/>
      </c>
      <c r="P325" s="29" t="str">
        <f>IF(N325="","","Tier3_Pick1")</f>
        <v/>
      </c>
      <c r="Q325" s="29" t="str">
        <f>IF(N325="","",3)</f>
        <v/>
      </c>
      <c r="R325" s="29" t="str">
        <f t="array" ref="R325">IF(N325="","",IFERROR(INDEX(Entries!$H$2:$H$47,41),""))</f>
        <v/>
      </c>
      <c r="S325" s="29" t="str">
        <f t="array" ref="S325">IF(R325="","",IFERROR(XLOOKUP(R325,'Live Medal Table'!$B$2:$B$94,'Live Medal Table'!$C$2:$C$94,"???"),"???"))</f>
        <v/>
      </c>
      <c r="T325" s="29">
        <f t="array" ref="T325">IF(R325="",0,IFERROR(XLOOKUP(R325,'Live Medal Table'!$B$2:$B$94,'Live Medal Table'!$F$2:$F$94,0),0))</f>
        <v>0</v>
      </c>
      <c r="U325" s="29">
        <f t="array" ref="U325">IF(R325="",0,IFERROR(XLOOKUP(R325,'Live Medal Table'!$B$2:$B$94,'Live Medal Table'!$G$2:$G$94,0),0))</f>
        <v>0</v>
      </c>
      <c r="V325" s="29">
        <f t="array" ref="V325">IF(R325="",0,IFERROR(XLOOKUP(R325,'Live Medal Table'!$B$2:$B$94,'Live Medal Table'!$H$2:$H$94,0),0))</f>
        <v>0</v>
      </c>
      <c r="W325" s="29">
        <f t="array" ref="W325">IF(R325="",0,IFERROR(XLOOKUP(R325,'Live Medal Table'!$B$2:$B$94,'Live Medal Table'!$I$2:$I$94,0),0))</f>
        <v>0</v>
      </c>
      <c r="X325" s="29">
        <f t="shared" si="1"/>
        <v>0</v>
      </c>
      <c r="Y325" s="29">
        <f t="shared" si="2"/>
        <v>0</v>
      </c>
      <c r="Z325" s="29">
        <f t="shared" si="3"/>
        <v>0</v>
      </c>
      <c r="AA325" s="29">
        <f t="shared" si="4"/>
        <v>0</v>
      </c>
      <c r="AB325" s="29" t="b">
        <f t="array" ref="AB325">IF(R325="",FALSE,IFERROR(AND(ISNUMBER(MATCH(R325,'Live Medal Table'!$B$2:$B$94,0)),XLOOKUP(R325,'Live Medal Table'!$B$2:$B$94,Countries!$I$2:$I$72,FALSE)),FALSE))</f>
        <v>0</v>
      </c>
    </row>
    <row r="326" ht="15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29"/>
      <c r="M326" s="29"/>
      <c r="N326" s="29" t="str">
        <f t="array" ref="N326">IFERROR(IF(INDEX(Entries!$C$2:$C$47,41)="","",INDEX(Entries!$Q$2:$Q$47,41)),"")</f>
        <v/>
      </c>
      <c r="O326" s="29" t="str">
        <f t="array" ref="O326">IF(N326="","",IFERROR(INDEX(Entries!$E$2:$E$47,41),""))</f>
        <v/>
      </c>
      <c r="P326" s="29" t="str">
        <f>IF(N326="","","Tier4_Pick1")</f>
        <v/>
      </c>
      <c r="Q326" s="29" t="str">
        <f>IF(N326="","",4)</f>
        <v/>
      </c>
      <c r="R326" s="29" t="str">
        <f t="array" ref="R326">IF(N326="","",IFERROR(INDEX(Entries!$I$2:$I$47,41),""))</f>
        <v/>
      </c>
      <c r="S326" s="29" t="str">
        <f t="array" ref="S326">IF(R326="","",IFERROR(XLOOKUP(R326,'Live Medal Table'!$B$2:$B$94,'Live Medal Table'!$C$2:$C$94,"???"),"???"))</f>
        <v/>
      </c>
      <c r="T326" s="29">
        <f t="array" ref="T326">IF(R326="",0,IFERROR(XLOOKUP(R326,'Live Medal Table'!$B$2:$B$94,'Live Medal Table'!$F$2:$F$94,0),0))</f>
        <v>0</v>
      </c>
      <c r="U326" s="29">
        <f t="array" ref="U326">IF(R326="",0,IFERROR(XLOOKUP(R326,'Live Medal Table'!$B$2:$B$94,'Live Medal Table'!$G$2:$G$94,0),0))</f>
        <v>0</v>
      </c>
      <c r="V326" s="29">
        <f t="array" ref="V326">IF(R326="",0,IFERROR(XLOOKUP(R326,'Live Medal Table'!$B$2:$B$94,'Live Medal Table'!$H$2:$H$94,0),0))</f>
        <v>0</v>
      </c>
      <c r="W326" s="29">
        <f t="array" ref="W326">IF(R326="",0,IFERROR(XLOOKUP(R326,'Live Medal Table'!$B$2:$B$94,'Live Medal Table'!$I$2:$I$94,0),0))</f>
        <v>0</v>
      </c>
      <c r="X326" s="29">
        <f t="shared" si="1"/>
        <v>0</v>
      </c>
      <c r="Y326" s="29">
        <f t="shared" si="2"/>
        <v>0</v>
      </c>
      <c r="Z326" s="29">
        <f t="shared" si="3"/>
        <v>0</v>
      </c>
      <c r="AA326" s="29">
        <f t="shared" si="4"/>
        <v>0</v>
      </c>
      <c r="AB326" s="29" t="b">
        <f t="array" ref="AB326">IF(R326="",FALSE,IFERROR(AND(ISNUMBER(MATCH(R326,'Live Medal Table'!$B$2:$B$94,0)),XLOOKUP(R326,'Live Medal Table'!$B$2:$B$94,Countries!$I$2:$I$72,FALSE)),FALSE))</f>
        <v>0</v>
      </c>
    </row>
    <row r="327" ht="15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29"/>
      <c r="M327" s="29"/>
      <c r="N327" s="29" t="str">
        <f t="array" ref="N327">IFERROR(IF(INDEX(Entries!$C$2:$C$47,41)="","",INDEX(Entries!$Q$2:$Q$47,41)),"")</f>
        <v/>
      </c>
      <c r="O327" s="29" t="str">
        <f t="array" ref="O327">IF(N327="","",IFERROR(INDEX(Entries!$E$2:$E$47,41),""))</f>
        <v/>
      </c>
      <c r="P327" s="29" t="str">
        <f>IF(N327="","","Tier5_Pick1")</f>
        <v/>
      </c>
      <c r="Q327" s="29" t="str">
        <f>IF(N327="","",5)</f>
        <v/>
      </c>
      <c r="R327" s="29" t="str">
        <f t="array" ref="R327">IF(N327="","",IFERROR(INDEX(Entries!$J$2:$J$47,41),""))</f>
        <v/>
      </c>
      <c r="S327" s="29" t="str">
        <f t="array" ref="S327">IF(R327="","",IFERROR(XLOOKUP(R327,'Live Medal Table'!$B$2:$B$94,'Live Medal Table'!$C$2:$C$94,"???"),"???"))</f>
        <v/>
      </c>
      <c r="T327" s="29">
        <f t="array" ref="T327">IF(R327="",0,IFERROR(XLOOKUP(R327,'Live Medal Table'!$B$2:$B$94,'Live Medal Table'!$F$2:$F$94,0),0))</f>
        <v>0</v>
      </c>
      <c r="U327" s="29">
        <f t="array" ref="U327">IF(R327="",0,IFERROR(XLOOKUP(R327,'Live Medal Table'!$B$2:$B$94,'Live Medal Table'!$G$2:$G$94,0),0))</f>
        <v>0</v>
      </c>
      <c r="V327" s="29">
        <f t="array" ref="V327">IF(R327="",0,IFERROR(XLOOKUP(R327,'Live Medal Table'!$B$2:$B$94,'Live Medal Table'!$H$2:$H$94,0),0))</f>
        <v>0</v>
      </c>
      <c r="W327" s="29">
        <f t="array" ref="W327">IF(R327="",0,IFERROR(XLOOKUP(R327,'Live Medal Table'!$B$2:$B$94,'Live Medal Table'!$I$2:$I$94,0),0))</f>
        <v>0</v>
      </c>
      <c r="X327" s="29">
        <f t="shared" si="1"/>
        <v>0</v>
      </c>
      <c r="Y327" s="29">
        <f t="shared" si="2"/>
        <v>0</v>
      </c>
      <c r="Z327" s="29">
        <f t="shared" si="3"/>
        <v>0</v>
      </c>
      <c r="AA327" s="29">
        <f t="shared" si="4"/>
        <v>0</v>
      </c>
      <c r="AB327" s="29" t="b">
        <f t="array" ref="AB327">IF(R327="",FALSE,IFERROR(AND(ISNUMBER(MATCH(R327,'Live Medal Table'!$B$2:$B$94,0)),XLOOKUP(R327,'Live Medal Table'!$B$2:$B$94,Countries!$I$2:$I$72,FALSE)),FALSE))</f>
        <v>0</v>
      </c>
    </row>
    <row r="328" ht="15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29"/>
      <c r="M328" s="29"/>
      <c r="N328" s="29" t="str">
        <f t="array" ref="N328">IFERROR(IF(INDEX(Entries!$C$2:$C$47,41)="","",INDEX(Entries!$Q$2:$Q$47,41)),"")</f>
        <v/>
      </c>
      <c r="O328" s="29" t="str">
        <f t="array" ref="O328">IF(N328="","",IFERROR(INDEX(Entries!$E$2:$E$47,41),""))</f>
        <v/>
      </c>
      <c r="P328" s="29" t="str">
        <f>IF(N328="","","Tier6_Pick1")</f>
        <v/>
      </c>
      <c r="Q328" s="29" t="str">
        <f t="shared" ref="Q328:Q329" si="86">IF(N328="","",6)</f>
        <v/>
      </c>
      <c r="R328" s="29" t="str">
        <f t="array" ref="R328">IF(N328="","",IFERROR(INDEX(Entries!$O$2:$O$47,41),""))</f>
        <v/>
      </c>
      <c r="S328" s="29" t="str">
        <f t="array" ref="S328">IF(R328="","",IFERROR(XLOOKUP(R328,'Live Medal Table'!$B$2:$B$94,'Live Medal Table'!$C$2:$C$94,"???"),"???"))</f>
        <v/>
      </c>
      <c r="T328" s="29">
        <f t="array" ref="T328">IF(R328="",0,IFERROR(XLOOKUP(R328,'Live Medal Table'!$B$2:$B$94,'Live Medal Table'!$F$2:$F$94,0),0))</f>
        <v>0</v>
      </c>
      <c r="U328" s="29">
        <f t="array" ref="U328">IF(R328="",0,IFERROR(XLOOKUP(R328,'Live Medal Table'!$B$2:$B$94,'Live Medal Table'!$G$2:$G$94,0),0))</f>
        <v>0</v>
      </c>
      <c r="V328" s="29">
        <f t="array" ref="V328">IF(R328="",0,IFERROR(XLOOKUP(R328,'Live Medal Table'!$B$2:$B$94,'Live Medal Table'!$H$2:$H$94,0),0))</f>
        <v>0</v>
      </c>
      <c r="W328" s="29">
        <f t="array" ref="W328">IF(R328="",0,IFERROR(XLOOKUP(R328,'Live Medal Table'!$B$2:$B$94,'Live Medal Table'!$I$2:$I$94,0),0))</f>
        <v>0</v>
      </c>
      <c r="X328" s="29">
        <f t="shared" si="1"/>
        <v>0</v>
      </c>
      <c r="Y328" s="29">
        <f t="shared" si="2"/>
        <v>0</v>
      </c>
      <c r="Z328" s="29">
        <f t="shared" si="3"/>
        <v>0</v>
      </c>
      <c r="AA328" s="29">
        <f t="shared" si="4"/>
        <v>0</v>
      </c>
      <c r="AB328" s="29" t="b">
        <f t="array" ref="AB328">IF(R328="",FALSE,IFERROR(AND(ISNUMBER(MATCH(R328,'Live Medal Table'!$B$2:$B$94,0)),XLOOKUP(R328,'Live Medal Table'!$B$2:$B$94,Countries!$I$2:$I$72,FALSE)),FALSE))</f>
        <v>0</v>
      </c>
    </row>
    <row r="329" ht="15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29"/>
      <c r="M329" s="29"/>
      <c r="N329" s="29" t="str">
        <f t="array" ref="N329">IFERROR(IF(INDEX(Entries!$C$2:$C$47,41)="","",INDEX(Entries!$Q$2:$Q$47,41)),"")</f>
        <v/>
      </c>
      <c r="O329" s="29" t="str">
        <f t="array" ref="O329">IF(N329="","",IFERROR(INDEX(Entries!$E$2:$E$47,41),""))</f>
        <v/>
      </c>
      <c r="P329" s="29" t="str">
        <f>IF(N329="","","Tier6_Pick2")</f>
        <v/>
      </c>
      <c r="Q329" s="29" t="str">
        <f t="shared" si="86"/>
        <v/>
      </c>
      <c r="R329" s="29" t="str">
        <f t="array" ref="R329">IF(N329="","",IFERROR(INDEX(Entries!$P$2:$P$47,41),""))</f>
        <v/>
      </c>
      <c r="S329" s="29" t="str">
        <f t="array" ref="S329">IF(R329="","",IFERROR(XLOOKUP(R329,'Live Medal Table'!$B$2:$B$94,'Live Medal Table'!$C$2:$C$94,"???"),"???"))</f>
        <v/>
      </c>
      <c r="T329" s="29">
        <f t="array" ref="T329">IF(R329="",0,IFERROR(XLOOKUP(R329,'Live Medal Table'!$B$2:$B$94,'Live Medal Table'!$F$2:$F$94,0),0))</f>
        <v>0</v>
      </c>
      <c r="U329" s="29">
        <f t="array" ref="U329">IF(R329="",0,IFERROR(XLOOKUP(R329,'Live Medal Table'!$B$2:$B$94,'Live Medal Table'!$G$2:$G$94,0),0))</f>
        <v>0</v>
      </c>
      <c r="V329" s="29">
        <f t="array" ref="V329">IF(R329="",0,IFERROR(XLOOKUP(R329,'Live Medal Table'!$B$2:$B$94,'Live Medal Table'!$H$2:$H$94,0),0))</f>
        <v>0</v>
      </c>
      <c r="W329" s="29">
        <f t="array" ref="W329">IF(R329="",0,IFERROR(XLOOKUP(R329,'Live Medal Table'!$B$2:$B$94,'Live Medal Table'!$I$2:$I$94,0),0))</f>
        <v>0</v>
      </c>
      <c r="X329" s="29">
        <f t="shared" si="1"/>
        <v>0</v>
      </c>
      <c r="Y329" s="29">
        <f t="shared" si="2"/>
        <v>0</v>
      </c>
      <c r="Z329" s="29">
        <f t="shared" si="3"/>
        <v>0</v>
      </c>
      <c r="AA329" s="29">
        <f t="shared" si="4"/>
        <v>0</v>
      </c>
      <c r="AB329" s="29" t="b">
        <f t="array" ref="AB329">IF(R329="",FALSE,IFERROR(AND(ISNUMBER(MATCH(R329,'Live Medal Table'!$B$2:$B$94,0)),XLOOKUP(R329,'Live Medal Table'!$B$2:$B$94,Countries!$I$2:$I$72,FALSE)),FALSE))</f>
        <v>0</v>
      </c>
    </row>
    <row r="330" ht="15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29"/>
      <c r="M330" s="29"/>
      <c r="N330" s="29" t="str">
        <f t="array" ref="N330">IFERROR(IF(INDEX(Entries!$C$2:$C$47,42)="","",INDEX(Entries!$Q$2:$Q$47,42)),"")</f>
        <v/>
      </c>
      <c r="O330" s="29" t="str">
        <f t="array" ref="O330">IF(N330="","",IFERROR(INDEX(Entries!$E$2:$E$47,42),""))</f>
        <v/>
      </c>
      <c r="P330" s="29" t="str">
        <f>IF(N330="","","Tier1_Pick1")</f>
        <v/>
      </c>
      <c r="Q330" s="29" t="str">
        <f>IF(N330="","",1)</f>
        <v/>
      </c>
      <c r="R330" s="29" t="str">
        <f t="array" ref="R330">IF(N330="","",IFERROR(INDEX(Entries!$F$2:$F$47,42),""))</f>
        <v/>
      </c>
      <c r="S330" s="29" t="str">
        <f t="array" ref="S330">IF(R330="","",IFERROR(XLOOKUP(R330,'Live Medal Table'!$B$2:$B$94,'Live Medal Table'!$C$2:$C$94,"???"),"???"))</f>
        <v/>
      </c>
      <c r="T330" s="29">
        <f t="array" ref="T330">IF(R330="",0,IFERROR(XLOOKUP(R330,'Live Medal Table'!$B$2:$B$94,'Live Medal Table'!$F$2:$F$94,0),0))</f>
        <v>0</v>
      </c>
      <c r="U330" s="29">
        <f t="array" ref="U330">IF(R330="",0,IFERROR(XLOOKUP(R330,'Live Medal Table'!$B$2:$B$94,'Live Medal Table'!$G$2:$G$94,0),0))</f>
        <v>0</v>
      </c>
      <c r="V330" s="29">
        <f t="array" ref="V330">IF(R330="",0,IFERROR(XLOOKUP(R330,'Live Medal Table'!$B$2:$B$94,'Live Medal Table'!$H$2:$H$94,0),0))</f>
        <v>0</v>
      </c>
      <c r="W330" s="29">
        <f t="array" ref="W330">IF(R330="",0,IFERROR(XLOOKUP(R330,'Live Medal Table'!$B$2:$B$94,'Live Medal Table'!$I$2:$I$94,0),0))</f>
        <v>0</v>
      </c>
      <c r="X330" s="29">
        <f t="shared" si="1"/>
        <v>0</v>
      </c>
      <c r="Y330" s="29">
        <f t="shared" si="2"/>
        <v>0</v>
      </c>
      <c r="Z330" s="29">
        <f t="shared" si="3"/>
        <v>0</v>
      </c>
      <c r="AA330" s="29">
        <f t="shared" si="4"/>
        <v>0</v>
      </c>
      <c r="AB330" s="29" t="b">
        <f t="array" ref="AB330">IF(R330="",FALSE,IFERROR(AND(ISNUMBER(MATCH(R330,'Live Medal Table'!$B$2:$B$94,0)),XLOOKUP(R330,'Live Medal Table'!$B$2:$B$94,Countries!$I$2:$I$72,FALSE)),FALSE))</f>
        <v>0</v>
      </c>
    </row>
    <row r="331" ht="15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29"/>
      <c r="M331" s="29"/>
      <c r="N331" s="29" t="str">
        <f t="array" ref="N331">IFERROR(IF(INDEX(Entries!$C$2:$C$47,42)="","",INDEX(Entries!$Q$2:$Q$47,42)),"")</f>
        <v/>
      </c>
      <c r="O331" s="29" t="str">
        <f t="array" ref="O331">IF(N331="","",IFERROR(INDEX(Entries!$E$2:$E$47,42),""))</f>
        <v/>
      </c>
      <c r="P331" s="29" t="str">
        <f>IF(N331="","","Tier2_Pick1")</f>
        <v/>
      </c>
      <c r="Q331" s="29" t="str">
        <f t="shared" ref="Q331:Q332" si="87">IF(N331="","",2)</f>
        <v/>
      </c>
      <c r="R331" s="29" t="str">
        <f t="array" ref="R331">IF(N331="","",IFERROR(INDEX(Entries!$M$2:$M$47,42),""))</f>
        <v/>
      </c>
      <c r="S331" s="29" t="str">
        <f t="array" ref="S331">IF(R331="","",IFERROR(XLOOKUP(R331,'Live Medal Table'!$B$2:$B$94,'Live Medal Table'!$C$2:$C$94,"???"),"???"))</f>
        <v/>
      </c>
      <c r="T331" s="29">
        <f t="array" ref="T331">IF(R331="",0,IFERROR(XLOOKUP(R331,'Live Medal Table'!$B$2:$B$94,'Live Medal Table'!$F$2:$F$94,0),0))</f>
        <v>0</v>
      </c>
      <c r="U331" s="29">
        <f t="array" ref="U331">IF(R331="",0,IFERROR(XLOOKUP(R331,'Live Medal Table'!$B$2:$B$94,'Live Medal Table'!$G$2:$G$94,0),0))</f>
        <v>0</v>
      </c>
      <c r="V331" s="29">
        <f t="array" ref="V331">IF(R331="",0,IFERROR(XLOOKUP(R331,'Live Medal Table'!$B$2:$B$94,'Live Medal Table'!$H$2:$H$94,0),0))</f>
        <v>0</v>
      </c>
      <c r="W331" s="29">
        <f t="array" ref="W331">IF(R331="",0,IFERROR(XLOOKUP(R331,'Live Medal Table'!$B$2:$B$94,'Live Medal Table'!$I$2:$I$94,0),0))</f>
        <v>0</v>
      </c>
      <c r="X331" s="29">
        <f t="shared" si="1"/>
        <v>0</v>
      </c>
      <c r="Y331" s="29">
        <f t="shared" si="2"/>
        <v>0</v>
      </c>
      <c r="Z331" s="29">
        <f t="shared" si="3"/>
        <v>0</v>
      </c>
      <c r="AA331" s="29">
        <f t="shared" si="4"/>
        <v>0</v>
      </c>
      <c r="AB331" s="29" t="b">
        <f t="array" ref="AB331">IF(R331="",FALSE,IFERROR(AND(ISNUMBER(MATCH(R331,'Live Medal Table'!$B$2:$B$94,0)),XLOOKUP(R331,'Live Medal Table'!$B$2:$B$94,Countries!$I$2:$I$72,FALSE)),FALSE))</f>
        <v>0</v>
      </c>
    </row>
    <row r="332" ht="15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29"/>
      <c r="M332" s="29"/>
      <c r="N332" s="29" t="str">
        <f t="array" ref="N332">IFERROR(IF(INDEX(Entries!$C$2:$C$47,42)="","",INDEX(Entries!$Q$2:$Q$47,42)),"")</f>
        <v/>
      </c>
      <c r="O332" s="29" t="str">
        <f t="array" ref="O332">IF(N332="","",IFERROR(INDEX(Entries!$E$2:$E$47,42),""))</f>
        <v/>
      </c>
      <c r="P332" s="29" t="str">
        <f>IF(N332="","","Tier2_Pick2")</f>
        <v/>
      </c>
      <c r="Q332" s="29" t="str">
        <f t="shared" si="87"/>
        <v/>
      </c>
      <c r="R332" s="29" t="str">
        <f t="array" ref="R332">IF(N332="","",IFERROR(INDEX(Entries!$N$2:$N$47,42),""))</f>
        <v/>
      </c>
      <c r="S332" s="29" t="str">
        <f t="array" ref="S332">IF(R332="","",IFERROR(XLOOKUP(R332,'Live Medal Table'!$B$2:$B$94,'Live Medal Table'!$C$2:$C$94,"???"),"???"))</f>
        <v/>
      </c>
      <c r="T332" s="29">
        <f t="array" ref="T332">IF(R332="",0,IFERROR(XLOOKUP(R332,'Live Medal Table'!$B$2:$B$94,'Live Medal Table'!$F$2:$F$94,0),0))</f>
        <v>0</v>
      </c>
      <c r="U332" s="29">
        <f t="array" ref="U332">IF(R332="",0,IFERROR(XLOOKUP(R332,'Live Medal Table'!$B$2:$B$94,'Live Medal Table'!$G$2:$G$94,0),0))</f>
        <v>0</v>
      </c>
      <c r="V332" s="29">
        <f t="array" ref="V332">IF(R332="",0,IFERROR(XLOOKUP(R332,'Live Medal Table'!$B$2:$B$94,'Live Medal Table'!$H$2:$H$94,0),0))</f>
        <v>0</v>
      </c>
      <c r="W332" s="29">
        <f t="array" ref="W332">IF(R332="",0,IFERROR(XLOOKUP(R332,'Live Medal Table'!$B$2:$B$94,'Live Medal Table'!$I$2:$I$94,0),0))</f>
        <v>0</v>
      </c>
      <c r="X332" s="29">
        <f t="shared" si="1"/>
        <v>0</v>
      </c>
      <c r="Y332" s="29">
        <f t="shared" si="2"/>
        <v>0</v>
      </c>
      <c r="Z332" s="29">
        <f t="shared" si="3"/>
        <v>0</v>
      </c>
      <c r="AA332" s="29">
        <f t="shared" si="4"/>
        <v>0</v>
      </c>
      <c r="AB332" s="29" t="b">
        <f t="array" ref="AB332">IF(R332="",FALSE,IFERROR(AND(ISNUMBER(MATCH(R332,'Live Medal Table'!$B$2:$B$94,0)),XLOOKUP(R332,'Live Medal Table'!$B$2:$B$94,Countries!$I$2:$I$72,FALSE)),FALSE))</f>
        <v>0</v>
      </c>
    </row>
    <row r="333" ht="15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29"/>
      <c r="M333" s="29"/>
      <c r="N333" s="29" t="str">
        <f t="array" ref="N333">IFERROR(IF(INDEX(Entries!$C$2:$C$47,42)="","",INDEX(Entries!$Q$2:$Q$47,42)),"")</f>
        <v/>
      </c>
      <c r="O333" s="29" t="str">
        <f t="array" ref="O333">IF(N333="","",IFERROR(INDEX(Entries!$E$2:$E$47,42),""))</f>
        <v/>
      </c>
      <c r="P333" s="29" t="str">
        <f>IF(N333="","","Tier3_Pick1")</f>
        <v/>
      </c>
      <c r="Q333" s="29" t="str">
        <f>IF(N333="","",3)</f>
        <v/>
      </c>
      <c r="R333" s="29" t="str">
        <f t="array" ref="R333">IF(N333="","",IFERROR(INDEX(Entries!$H$2:$H$47,42),""))</f>
        <v/>
      </c>
      <c r="S333" s="29" t="str">
        <f t="array" ref="S333">IF(R333="","",IFERROR(XLOOKUP(R333,'Live Medal Table'!$B$2:$B$94,'Live Medal Table'!$C$2:$C$94,"???"),"???"))</f>
        <v/>
      </c>
      <c r="T333" s="29">
        <f t="array" ref="T333">IF(R333="",0,IFERROR(XLOOKUP(R333,'Live Medal Table'!$B$2:$B$94,'Live Medal Table'!$F$2:$F$94,0),0))</f>
        <v>0</v>
      </c>
      <c r="U333" s="29">
        <f t="array" ref="U333">IF(R333="",0,IFERROR(XLOOKUP(R333,'Live Medal Table'!$B$2:$B$94,'Live Medal Table'!$G$2:$G$94,0),0))</f>
        <v>0</v>
      </c>
      <c r="V333" s="29">
        <f t="array" ref="V333">IF(R333="",0,IFERROR(XLOOKUP(R333,'Live Medal Table'!$B$2:$B$94,'Live Medal Table'!$H$2:$H$94,0),0))</f>
        <v>0</v>
      </c>
      <c r="W333" s="29">
        <f t="array" ref="W333">IF(R333="",0,IFERROR(XLOOKUP(R333,'Live Medal Table'!$B$2:$B$94,'Live Medal Table'!$I$2:$I$94,0),0))</f>
        <v>0</v>
      </c>
      <c r="X333" s="29">
        <f t="shared" si="1"/>
        <v>0</v>
      </c>
      <c r="Y333" s="29">
        <f t="shared" si="2"/>
        <v>0</v>
      </c>
      <c r="Z333" s="29">
        <f t="shared" si="3"/>
        <v>0</v>
      </c>
      <c r="AA333" s="29">
        <f t="shared" si="4"/>
        <v>0</v>
      </c>
      <c r="AB333" s="29" t="b">
        <f t="array" ref="AB333">IF(R333="",FALSE,IFERROR(AND(ISNUMBER(MATCH(R333,'Live Medal Table'!$B$2:$B$94,0)),XLOOKUP(R333,'Live Medal Table'!$B$2:$B$94,Countries!$I$2:$I$72,FALSE)),FALSE))</f>
        <v>0</v>
      </c>
    </row>
    <row r="334" ht="15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29"/>
      <c r="M334" s="29"/>
      <c r="N334" s="29" t="str">
        <f t="array" ref="N334">IFERROR(IF(INDEX(Entries!$C$2:$C$47,42)="","",INDEX(Entries!$Q$2:$Q$47,42)),"")</f>
        <v/>
      </c>
      <c r="O334" s="29" t="str">
        <f t="array" ref="O334">IF(N334="","",IFERROR(INDEX(Entries!$E$2:$E$47,42),""))</f>
        <v/>
      </c>
      <c r="P334" s="29" t="str">
        <f>IF(N334="","","Tier4_Pick1")</f>
        <v/>
      </c>
      <c r="Q334" s="29" t="str">
        <f>IF(N334="","",4)</f>
        <v/>
      </c>
      <c r="R334" s="29" t="str">
        <f t="array" ref="R334">IF(N334="","",IFERROR(INDEX(Entries!$I$2:$I$47,42),""))</f>
        <v/>
      </c>
      <c r="S334" s="29" t="str">
        <f t="array" ref="S334">IF(R334="","",IFERROR(XLOOKUP(R334,'Live Medal Table'!$B$2:$B$94,'Live Medal Table'!$C$2:$C$94,"???"),"???"))</f>
        <v/>
      </c>
      <c r="T334" s="29">
        <f t="array" ref="T334">IF(R334="",0,IFERROR(XLOOKUP(R334,'Live Medal Table'!$B$2:$B$94,'Live Medal Table'!$F$2:$F$94,0),0))</f>
        <v>0</v>
      </c>
      <c r="U334" s="29">
        <f t="array" ref="U334">IF(R334="",0,IFERROR(XLOOKUP(R334,'Live Medal Table'!$B$2:$B$94,'Live Medal Table'!$G$2:$G$94,0),0))</f>
        <v>0</v>
      </c>
      <c r="V334" s="29">
        <f t="array" ref="V334">IF(R334="",0,IFERROR(XLOOKUP(R334,'Live Medal Table'!$B$2:$B$94,'Live Medal Table'!$H$2:$H$94,0),0))</f>
        <v>0</v>
      </c>
      <c r="W334" s="29">
        <f t="array" ref="W334">IF(R334="",0,IFERROR(XLOOKUP(R334,'Live Medal Table'!$B$2:$B$94,'Live Medal Table'!$I$2:$I$94,0),0))</f>
        <v>0</v>
      </c>
      <c r="X334" s="29">
        <f t="shared" si="1"/>
        <v>0</v>
      </c>
      <c r="Y334" s="29">
        <f t="shared" si="2"/>
        <v>0</v>
      </c>
      <c r="Z334" s="29">
        <f t="shared" si="3"/>
        <v>0</v>
      </c>
      <c r="AA334" s="29">
        <f t="shared" si="4"/>
        <v>0</v>
      </c>
      <c r="AB334" s="29" t="b">
        <f t="array" ref="AB334">IF(R334="",FALSE,IFERROR(AND(ISNUMBER(MATCH(R334,'Live Medal Table'!$B$2:$B$94,0)),XLOOKUP(R334,'Live Medal Table'!$B$2:$B$94,Countries!$I$2:$I$72,FALSE)),FALSE))</f>
        <v>0</v>
      </c>
    </row>
    <row r="335" ht="15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29"/>
      <c r="M335" s="29"/>
      <c r="N335" s="29" t="str">
        <f t="array" ref="N335">IFERROR(IF(INDEX(Entries!$C$2:$C$47,42)="","",INDEX(Entries!$Q$2:$Q$47,42)),"")</f>
        <v/>
      </c>
      <c r="O335" s="29" t="str">
        <f t="array" ref="O335">IF(N335="","",IFERROR(INDEX(Entries!$E$2:$E$47,42),""))</f>
        <v/>
      </c>
      <c r="P335" s="29" t="str">
        <f>IF(N335="","","Tier5_Pick1")</f>
        <v/>
      </c>
      <c r="Q335" s="29" t="str">
        <f>IF(N335="","",5)</f>
        <v/>
      </c>
      <c r="R335" s="29" t="str">
        <f t="array" ref="R335">IF(N335="","",IFERROR(INDEX(Entries!$J$2:$J$47,42),""))</f>
        <v/>
      </c>
      <c r="S335" s="29" t="str">
        <f t="array" ref="S335">IF(R335="","",IFERROR(XLOOKUP(R335,'Live Medal Table'!$B$2:$B$94,'Live Medal Table'!$C$2:$C$94,"???"),"???"))</f>
        <v/>
      </c>
      <c r="T335" s="29">
        <f t="array" ref="T335">IF(R335="",0,IFERROR(XLOOKUP(R335,'Live Medal Table'!$B$2:$B$94,'Live Medal Table'!$F$2:$F$94,0),0))</f>
        <v>0</v>
      </c>
      <c r="U335" s="29">
        <f t="array" ref="U335">IF(R335="",0,IFERROR(XLOOKUP(R335,'Live Medal Table'!$B$2:$B$94,'Live Medal Table'!$G$2:$G$94,0),0))</f>
        <v>0</v>
      </c>
      <c r="V335" s="29">
        <f t="array" ref="V335">IF(R335="",0,IFERROR(XLOOKUP(R335,'Live Medal Table'!$B$2:$B$94,'Live Medal Table'!$H$2:$H$94,0),0))</f>
        <v>0</v>
      </c>
      <c r="W335" s="29">
        <f t="array" ref="W335">IF(R335="",0,IFERROR(XLOOKUP(R335,'Live Medal Table'!$B$2:$B$94,'Live Medal Table'!$I$2:$I$94,0),0))</f>
        <v>0</v>
      </c>
      <c r="X335" s="29">
        <f t="shared" si="1"/>
        <v>0</v>
      </c>
      <c r="Y335" s="29">
        <f t="shared" si="2"/>
        <v>0</v>
      </c>
      <c r="Z335" s="29">
        <f t="shared" si="3"/>
        <v>0</v>
      </c>
      <c r="AA335" s="29">
        <f t="shared" si="4"/>
        <v>0</v>
      </c>
      <c r="AB335" s="29" t="b">
        <f t="array" ref="AB335">IF(R335="",FALSE,IFERROR(AND(ISNUMBER(MATCH(R335,'Live Medal Table'!$B$2:$B$94,0)),XLOOKUP(R335,'Live Medal Table'!$B$2:$B$94,Countries!$I$2:$I$72,FALSE)),FALSE))</f>
        <v>0</v>
      </c>
    </row>
    <row r="336" ht="15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29"/>
      <c r="M336" s="29"/>
      <c r="N336" s="29" t="str">
        <f t="array" ref="N336">IFERROR(IF(INDEX(Entries!$C$2:$C$47,42)="","",INDEX(Entries!$Q$2:$Q$47,42)),"")</f>
        <v/>
      </c>
      <c r="O336" s="29" t="str">
        <f t="array" ref="O336">IF(N336="","",IFERROR(INDEX(Entries!$E$2:$E$47,42),""))</f>
        <v/>
      </c>
      <c r="P336" s="29" t="str">
        <f>IF(N336="","","Tier6_Pick1")</f>
        <v/>
      </c>
      <c r="Q336" s="29" t="str">
        <f t="shared" ref="Q336:Q337" si="88">IF(N336="","",6)</f>
        <v/>
      </c>
      <c r="R336" s="29" t="str">
        <f t="array" ref="R336">IF(N336="","",IFERROR(INDEX(Entries!$O$2:$O$47,42),""))</f>
        <v/>
      </c>
      <c r="S336" s="29" t="str">
        <f t="array" ref="S336">IF(R336="","",IFERROR(XLOOKUP(R336,'Live Medal Table'!$B$2:$B$94,'Live Medal Table'!$C$2:$C$94,"???"),"???"))</f>
        <v/>
      </c>
      <c r="T336" s="29">
        <f t="array" ref="T336">IF(R336="",0,IFERROR(XLOOKUP(R336,'Live Medal Table'!$B$2:$B$94,'Live Medal Table'!$F$2:$F$94,0),0))</f>
        <v>0</v>
      </c>
      <c r="U336" s="29">
        <f t="array" ref="U336">IF(R336="",0,IFERROR(XLOOKUP(R336,'Live Medal Table'!$B$2:$B$94,'Live Medal Table'!$G$2:$G$94,0),0))</f>
        <v>0</v>
      </c>
      <c r="V336" s="29">
        <f t="array" ref="V336">IF(R336="",0,IFERROR(XLOOKUP(R336,'Live Medal Table'!$B$2:$B$94,'Live Medal Table'!$H$2:$H$94,0),0))</f>
        <v>0</v>
      </c>
      <c r="W336" s="29">
        <f t="array" ref="W336">IF(R336="",0,IFERROR(XLOOKUP(R336,'Live Medal Table'!$B$2:$B$94,'Live Medal Table'!$I$2:$I$94,0),0))</f>
        <v>0</v>
      </c>
      <c r="X336" s="29">
        <f t="shared" si="1"/>
        <v>0</v>
      </c>
      <c r="Y336" s="29">
        <f t="shared" si="2"/>
        <v>0</v>
      </c>
      <c r="Z336" s="29">
        <f t="shared" si="3"/>
        <v>0</v>
      </c>
      <c r="AA336" s="29">
        <f t="shared" si="4"/>
        <v>0</v>
      </c>
      <c r="AB336" s="29" t="b">
        <f t="array" ref="AB336">IF(R336="",FALSE,IFERROR(AND(ISNUMBER(MATCH(R336,'Live Medal Table'!$B$2:$B$94,0)),XLOOKUP(R336,'Live Medal Table'!$B$2:$B$94,Countries!$I$2:$I$72,FALSE)),FALSE))</f>
        <v>0</v>
      </c>
    </row>
    <row r="337" ht="15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29"/>
      <c r="M337" s="29"/>
      <c r="N337" s="29" t="str">
        <f t="array" ref="N337">IFERROR(IF(INDEX(Entries!$C$2:$C$47,42)="","",INDEX(Entries!$Q$2:$Q$47,42)),"")</f>
        <v/>
      </c>
      <c r="O337" s="29" t="str">
        <f t="array" ref="O337">IF(N337="","",IFERROR(INDEX(Entries!$E$2:$E$47,42),""))</f>
        <v/>
      </c>
      <c r="P337" s="29" t="str">
        <f>IF(N337="","","Tier6_Pick2")</f>
        <v/>
      </c>
      <c r="Q337" s="29" t="str">
        <f t="shared" si="88"/>
        <v/>
      </c>
      <c r="R337" s="29" t="str">
        <f t="array" ref="R337">IF(N337="","",IFERROR(INDEX(Entries!$P$2:$P$47,42),""))</f>
        <v/>
      </c>
      <c r="S337" s="29" t="str">
        <f t="array" ref="S337">IF(R337="","",IFERROR(XLOOKUP(R337,'Live Medal Table'!$B$2:$B$94,'Live Medal Table'!$C$2:$C$94,"???"),"???"))</f>
        <v/>
      </c>
      <c r="T337" s="29">
        <f t="array" ref="T337">IF(R337="",0,IFERROR(XLOOKUP(R337,'Live Medal Table'!$B$2:$B$94,'Live Medal Table'!$F$2:$F$94,0),0))</f>
        <v>0</v>
      </c>
      <c r="U337" s="29">
        <f t="array" ref="U337">IF(R337="",0,IFERROR(XLOOKUP(R337,'Live Medal Table'!$B$2:$B$94,'Live Medal Table'!$G$2:$G$94,0),0))</f>
        <v>0</v>
      </c>
      <c r="V337" s="29">
        <f t="array" ref="V337">IF(R337="",0,IFERROR(XLOOKUP(R337,'Live Medal Table'!$B$2:$B$94,'Live Medal Table'!$H$2:$H$94,0),0))</f>
        <v>0</v>
      </c>
      <c r="W337" s="29">
        <f t="array" ref="W337">IF(R337="",0,IFERROR(XLOOKUP(R337,'Live Medal Table'!$B$2:$B$94,'Live Medal Table'!$I$2:$I$94,0),0))</f>
        <v>0</v>
      </c>
      <c r="X337" s="29">
        <f t="shared" si="1"/>
        <v>0</v>
      </c>
      <c r="Y337" s="29">
        <f t="shared" si="2"/>
        <v>0</v>
      </c>
      <c r="Z337" s="29">
        <f t="shared" si="3"/>
        <v>0</v>
      </c>
      <c r="AA337" s="29">
        <f t="shared" si="4"/>
        <v>0</v>
      </c>
      <c r="AB337" s="29" t="b">
        <f t="array" ref="AB337">IF(R337="",FALSE,IFERROR(AND(ISNUMBER(MATCH(R337,'Live Medal Table'!$B$2:$B$94,0)),XLOOKUP(R337,'Live Medal Table'!$B$2:$B$94,Countries!$I$2:$I$72,FALSE)),FALSE))</f>
        <v>0</v>
      </c>
    </row>
    <row r="338" ht="15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29"/>
      <c r="M338" s="29"/>
      <c r="N338" s="29" t="str">
        <f t="array" ref="N338">IFERROR(IF(INDEX(Entries!$C$2:$C$47,43)="","",INDEX(Entries!$Q$2:$Q$47,43)),"")</f>
        <v/>
      </c>
      <c r="O338" s="29" t="str">
        <f t="array" ref="O338">IF(N338="","",IFERROR(INDEX(Entries!$E$2:$E$47,43),""))</f>
        <v/>
      </c>
      <c r="P338" s="29" t="str">
        <f>IF(N338="","","Tier1_Pick1")</f>
        <v/>
      </c>
      <c r="Q338" s="29" t="str">
        <f>IF(N338="","",1)</f>
        <v/>
      </c>
      <c r="R338" s="29" t="str">
        <f t="array" ref="R338">IF(N338="","",IFERROR(INDEX(Entries!$F$2:$F$47,43),""))</f>
        <v/>
      </c>
      <c r="S338" s="29" t="str">
        <f t="array" ref="S338">IF(R338="","",IFERROR(XLOOKUP(R338,'Live Medal Table'!$B$2:$B$94,'Live Medal Table'!$C$2:$C$94,"???"),"???"))</f>
        <v/>
      </c>
      <c r="T338" s="29">
        <f t="array" ref="T338">IF(R338="",0,IFERROR(XLOOKUP(R338,'Live Medal Table'!$B$2:$B$94,'Live Medal Table'!$F$2:$F$94,0),0))</f>
        <v>0</v>
      </c>
      <c r="U338" s="29">
        <f t="array" ref="U338">IF(R338="",0,IFERROR(XLOOKUP(R338,'Live Medal Table'!$B$2:$B$94,'Live Medal Table'!$G$2:$G$94,0),0))</f>
        <v>0</v>
      </c>
      <c r="V338" s="29">
        <f t="array" ref="V338">IF(R338="",0,IFERROR(XLOOKUP(R338,'Live Medal Table'!$B$2:$B$94,'Live Medal Table'!$H$2:$H$94,0),0))</f>
        <v>0</v>
      </c>
      <c r="W338" s="29">
        <f t="array" ref="W338">IF(R338="",0,IFERROR(XLOOKUP(R338,'Live Medal Table'!$B$2:$B$94,'Live Medal Table'!$I$2:$I$94,0),0))</f>
        <v>0</v>
      </c>
      <c r="X338" s="29">
        <f t="shared" si="1"/>
        <v>0</v>
      </c>
      <c r="Y338" s="29">
        <f t="shared" si="2"/>
        <v>0</v>
      </c>
      <c r="Z338" s="29">
        <f t="shared" si="3"/>
        <v>0</v>
      </c>
      <c r="AA338" s="29">
        <f t="shared" si="4"/>
        <v>0</v>
      </c>
      <c r="AB338" s="29" t="b">
        <f t="array" ref="AB338">IF(R338="",FALSE,IFERROR(AND(ISNUMBER(MATCH(R338,'Live Medal Table'!$B$2:$B$94,0)),XLOOKUP(R338,'Live Medal Table'!$B$2:$B$94,Countries!$I$2:$I$72,FALSE)),FALSE))</f>
        <v>0</v>
      </c>
    </row>
    <row r="339" ht="15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29"/>
      <c r="M339" s="29"/>
      <c r="N339" s="29" t="str">
        <f t="array" ref="N339">IFERROR(IF(INDEX(Entries!$C$2:$C$47,43)="","",INDEX(Entries!$Q$2:$Q$47,43)),"")</f>
        <v/>
      </c>
      <c r="O339" s="29" t="str">
        <f t="array" ref="O339">IF(N339="","",IFERROR(INDEX(Entries!$E$2:$E$47,43),""))</f>
        <v/>
      </c>
      <c r="P339" s="29" t="str">
        <f>IF(N339="","","Tier2_Pick1")</f>
        <v/>
      </c>
      <c r="Q339" s="29" t="str">
        <f t="shared" ref="Q339:Q340" si="89">IF(N339="","",2)</f>
        <v/>
      </c>
      <c r="R339" s="29" t="str">
        <f t="array" ref="R339">IF(N339="","",IFERROR(INDEX(Entries!$M$2:$M$47,43),""))</f>
        <v/>
      </c>
      <c r="S339" s="29" t="str">
        <f t="array" ref="S339">IF(R339="","",IFERROR(XLOOKUP(R339,'Live Medal Table'!$B$2:$B$94,'Live Medal Table'!$C$2:$C$94,"???"),"???"))</f>
        <v/>
      </c>
      <c r="T339" s="29">
        <f t="array" ref="T339">IF(R339="",0,IFERROR(XLOOKUP(R339,'Live Medal Table'!$B$2:$B$94,'Live Medal Table'!$F$2:$F$94,0),0))</f>
        <v>0</v>
      </c>
      <c r="U339" s="29">
        <f t="array" ref="U339">IF(R339="",0,IFERROR(XLOOKUP(R339,'Live Medal Table'!$B$2:$B$94,'Live Medal Table'!$G$2:$G$94,0),0))</f>
        <v>0</v>
      </c>
      <c r="V339" s="29">
        <f t="array" ref="V339">IF(R339="",0,IFERROR(XLOOKUP(R339,'Live Medal Table'!$B$2:$B$94,'Live Medal Table'!$H$2:$H$94,0),0))</f>
        <v>0</v>
      </c>
      <c r="W339" s="29">
        <f t="array" ref="W339">IF(R339="",0,IFERROR(XLOOKUP(R339,'Live Medal Table'!$B$2:$B$94,'Live Medal Table'!$I$2:$I$94,0),0))</f>
        <v>0</v>
      </c>
      <c r="X339" s="29">
        <f t="shared" si="1"/>
        <v>0</v>
      </c>
      <c r="Y339" s="29">
        <f t="shared" si="2"/>
        <v>0</v>
      </c>
      <c r="Z339" s="29">
        <f t="shared" si="3"/>
        <v>0</v>
      </c>
      <c r="AA339" s="29">
        <f t="shared" si="4"/>
        <v>0</v>
      </c>
      <c r="AB339" s="29" t="b">
        <f t="array" ref="AB339">IF(R339="",FALSE,IFERROR(AND(ISNUMBER(MATCH(R339,'Live Medal Table'!$B$2:$B$94,0)),XLOOKUP(R339,'Live Medal Table'!$B$2:$B$94,Countries!$I$2:$I$72,FALSE)),FALSE))</f>
        <v>0</v>
      </c>
    </row>
    <row r="340" ht="15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29"/>
      <c r="M340" s="29"/>
      <c r="N340" s="29" t="str">
        <f t="array" ref="N340">IFERROR(IF(INDEX(Entries!$C$2:$C$47,43)="","",INDEX(Entries!$Q$2:$Q$47,43)),"")</f>
        <v/>
      </c>
      <c r="O340" s="29" t="str">
        <f t="array" ref="O340">IF(N340="","",IFERROR(INDEX(Entries!$E$2:$E$47,43),""))</f>
        <v/>
      </c>
      <c r="P340" s="29" t="str">
        <f>IF(N340="","","Tier2_Pick2")</f>
        <v/>
      </c>
      <c r="Q340" s="29" t="str">
        <f t="shared" si="89"/>
        <v/>
      </c>
      <c r="R340" s="29" t="str">
        <f t="array" ref="R340">IF(N340="","",IFERROR(INDEX(Entries!$N$2:$N$47,43),""))</f>
        <v/>
      </c>
      <c r="S340" s="29" t="str">
        <f t="array" ref="S340">IF(R340="","",IFERROR(XLOOKUP(R340,'Live Medal Table'!$B$2:$B$94,'Live Medal Table'!$C$2:$C$94,"???"),"???"))</f>
        <v/>
      </c>
      <c r="T340" s="29">
        <f t="array" ref="T340">IF(R340="",0,IFERROR(XLOOKUP(R340,'Live Medal Table'!$B$2:$B$94,'Live Medal Table'!$F$2:$F$94,0),0))</f>
        <v>0</v>
      </c>
      <c r="U340" s="29">
        <f t="array" ref="U340">IF(R340="",0,IFERROR(XLOOKUP(R340,'Live Medal Table'!$B$2:$B$94,'Live Medal Table'!$G$2:$G$94,0),0))</f>
        <v>0</v>
      </c>
      <c r="V340" s="29">
        <f t="array" ref="V340">IF(R340="",0,IFERROR(XLOOKUP(R340,'Live Medal Table'!$B$2:$B$94,'Live Medal Table'!$H$2:$H$94,0),0))</f>
        <v>0</v>
      </c>
      <c r="W340" s="29">
        <f t="array" ref="W340">IF(R340="",0,IFERROR(XLOOKUP(R340,'Live Medal Table'!$B$2:$B$94,'Live Medal Table'!$I$2:$I$94,0),0))</f>
        <v>0</v>
      </c>
      <c r="X340" s="29">
        <f t="shared" si="1"/>
        <v>0</v>
      </c>
      <c r="Y340" s="29">
        <f t="shared" si="2"/>
        <v>0</v>
      </c>
      <c r="Z340" s="29">
        <f t="shared" si="3"/>
        <v>0</v>
      </c>
      <c r="AA340" s="29">
        <f t="shared" si="4"/>
        <v>0</v>
      </c>
      <c r="AB340" s="29" t="b">
        <f t="array" ref="AB340">IF(R340="",FALSE,IFERROR(AND(ISNUMBER(MATCH(R340,'Live Medal Table'!$B$2:$B$94,0)),XLOOKUP(R340,'Live Medal Table'!$B$2:$B$94,Countries!$I$2:$I$72,FALSE)),FALSE))</f>
        <v>0</v>
      </c>
    </row>
    <row r="341" ht="15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29"/>
      <c r="M341" s="29"/>
      <c r="N341" s="29" t="str">
        <f t="array" ref="N341">IFERROR(IF(INDEX(Entries!$C$2:$C$47,43)="","",INDEX(Entries!$Q$2:$Q$47,43)),"")</f>
        <v/>
      </c>
      <c r="O341" s="29" t="str">
        <f t="array" ref="O341">IF(N341="","",IFERROR(INDEX(Entries!$E$2:$E$47,43),""))</f>
        <v/>
      </c>
      <c r="P341" s="29" t="str">
        <f>IF(N341="","","Tier3_Pick1")</f>
        <v/>
      </c>
      <c r="Q341" s="29" t="str">
        <f>IF(N341="","",3)</f>
        <v/>
      </c>
      <c r="R341" s="29" t="str">
        <f t="array" ref="R341">IF(N341="","",IFERROR(INDEX(Entries!$H$2:$H$47,43),""))</f>
        <v/>
      </c>
      <c r="S341" s="29" t="str">
        <f t="array" ref="S341">IF(R341="","",IFERROR(XLOOKUP(R341,'Live Medal Table'!$B$2:$B$94,'Live Medal Table'!$C$2:$C$94,"???"),"???"))</f>
        <v/>
      </c>
      <c r="T341" s="29">
        <f t="array" ref="T341">IF(R341="",0,IFERROR(XLOOKUP(R341,'Live Medal Table'!$B$2:$B$94,'Live Medal Table'!$F$2:$F$94,0),0))</f>
        <v>0</v>
      </c>
      <c r="U341" s="29">
        <f t="array" ref="U341">IF(R341="",0,IFERROR(XLOOKUP(R341,'Live Medal Table'!$B$2:$B$94,'Live Medal Table'!$G$2:$G$94,0),0))</f>
        <v>0</v>
      </c>
      <c r="V341" s="29">
        <f t="array" ref="V341">IF(R341="",0,IFERROR(XLOOKUP(R341,'Live Medal Table'!$B$2:$B$94,'Live Medal Table'!$H$2:$H$94,0),0))</f>
        <v>0</v>
      </c>
      <c r="W341" s="29">
        <f t="array" ref="W341">IF(R341="",0,IFERROR(XLOOKUP(R341,'Live Medal Table'!$B$2:$B$94,'Live Medal Table'!$I$2:$I$94,0),0))</f>
        <v>0</v>
      </c>
      <c r="X341" s="29">
        <f t="shared" si="1"/>
        <v>0</v>
      </c>
      <c r="Y341" s="29">
        <f t="shared" si="2"/>
        <v>0</v>
      </c>
      <c r="Z341" s="29">
        <f t="shared" si="3"/>
        <v>0</v>
      </c>
      <c r="AA341" s="29">
        <f t="shared" si="4"/>
        <v>0</v>
      </c>
      <c r="AB341" s="29" t="b">
        <f t="array" ref="AB341">IF(R341="",FALSE,IFERROR(AND(ISNUMBER(MATCH(R341,'Live Medal Table'!$B$2:$B$94,0)),XLOOKUP(R341,'Live Medal Table'!$B$2:$B$94,Countries!$I$2:$I$72,FALSE)),FALSE))</f>
        <v>0</v>
      </c>
    </row>
    <row r="342" ht="15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29"/>
      <c r="M342" s="29"/>
      <c r="N342" s="29" t="str">
        <f t="array" ref="N342">IFERROR(IF(INDEX(Entries!$C$2:$C$47,43)="","",INDEX(Entries!$Q$2:$Q$47,43)),"")</f>
        <v/>
      </c>
      <c r="O342" s="29" t="str">
        <f t="array" ref="O342">IF(N342="","",IFERROR(INDEX(Entries!$E$2:$E$47,43),""))</f>
        <v/>
      </c>
      <c r="P342" s="29" t="str">
        <f>IF(N342="","","Tier4_Pick1")</f>
        <v/>
      </c>
      <c r="Q342" s="29" t="str">
        <f>IF(N342="","",4)</f>
        <v/>
      </c>
      <c r="R342" s="29" t="str">
        <f t="array" ref="R342">IF(N342="","",IFERROR(INDEX(Entries!$I$2:$I$47,43),""))</f>
        <v/>
      </c>
      <c r="S342" s="29" t="str">
        <f t="array" ref="S342">IF(R342="","",IFERROR(XLOOKUP(R342,'Live Medal Table'!$B$2:$B$94,'Live Medal Table'!$C$2:$C$94,"???"),"???"))</f>
        <v/>
      </c>
      <c r="T342" s="29">
        <f t="array" ref="T342">IF(R342="",0,IFERROR(XLOOKUP(R342,'Live Medal Table'!$B$2:$B$94,'Live Medal Table'!$F$2:$F$94,0),0))</f>
        <v>0</v>
      </c>
      <c r="U342" s="29">
        <f t="array" ref="U342">IF(R342="",0,IFERROR(XLOOKUP(R342,'Live Medal Table'!$B$2:$B$94,'Live Medal Table'!$G$2:$G$94,0),0))</f>
        <v>0</v>
      </c>
      <c r="V342" s="29">
        <f t="array" ref="V342">IF(R342="",0,IFERROR(XLOOKUP(R342,'Live Medal Table'!$B$2:$B$94,'Live Medal Table'!$H$2:$H$94,0),0))</f>
        <v>0</v>
      </c>
      <c r="W342" s="29">
        <f t="array" ref="W342">IF(R342="",0,IFERROR(XLOOKUP(R342,'Live Medal Table'!$B$2:$B$94,'Live Medal Table'!$I$2:$I$94,0),0))</f>
        <v>0</v>
      </c>
      <c r="X342" s="29">
        <f t="shared" si="1"/>
        <v>0</v>
      </c>
      <c r="Y342" s="29">
        <f t="shared" si="2"/>
        <v>0</v>
      </c>
      <c r="Z342" s="29">
        <f t="shared" si="3"/>
        <v>0</v>
      </c>
      <c r="AA342" s="29">
        <f t="shared" si="4"/>
        <v>0</v>
      </c>
      <c r="AB342" s="29" t="b">
        <f t="array" ref="AB342">IF(R342="",FALSE,IFERROR(AND(ISNUMBER(MATCH(R342,'Live Medal Table'!$B$2:$B$94,0)),XLOOKUP(R342,'Live Medal Table'!$B$2:$B$94,Countries!$I$2:$I$72,FALSE)),FALSE))</f>
        <v>0</v>
      </c>
    </row>
    <row r="343" ht="15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29"/>
      <c r="M343" s="29"/>
      <c r="N343" s="29" t="str">
        <f t="array" ref="N343">IFERROR(IF(INDEX(Entries!$C$2:$C$47,43)="","",INDEX(Entries!$Q$2:$Q$47,43)),"")</f>
        <v/>
      </c>
      <c r="O343" s="29" t="str">
        <f t="array" ref="O343">IF(N343="","",IFERROR(INDEX(Entries!$E$2:$E$47,43),""))</f>
        <v/>
      </c>
      <c r="P343" s="29" t="str">
        <f>IF(N343="","","Tier5_Pick1")</f>
        <v/>
      </c>
      <c r="Q343" s="29" t="str">
        <f>IF(N343="","",5)</f>
        <v/>
      </c>
      <c r="R343" s="29" t="str">
        <f t="array" ref="R343">IF(N343="","",IFERROR(INDEX(Entries!$J$2:$J$47,43),""))</f>
        <v/>
      </c>
      <c r="S343" s="29" t="str">
        <f t="array" ref="S343">IF(R343="","",IFERROR(XLOOKUP(R343,'Live Medal Table'!$B$2:$B$94,'Live Medal Table'!$C$2:$C$94,"???"),"???"))</f>
        <v/>
      </c>
      <c r="T343" s="29">
        <f t="array" ref="T343">IF(R343="",0,IFERROR(XLOOKUP(R343,'Live Medal Table'!$B$2:$B$94,'Live Medal Table'!$F$2:$F$94,0),0))</f>
        <v>0</v>
      </c>
      <c r="U343" s="29">
        <f t="array" ref="U343">IF(R343="",0,IFERROR(XLOOKUP(R343,'Live Medal Table'!$B$2:$B$94,'Live Medal Table'!$G$2:$G$94,0),0))</f>
        <v>0</v>
      </c>
      <c r="V343" s="29">
        <f t="array" ref="V343">IF(R343="",0,IFERROR(XLOOKUP(R343,'Live Medal Table'!$B$2:$B$94,'Live Medal Table'!$H$2:$H$94,0),0))</f>
        <v>0</v>
      </c>
      <c r="W343" s="29">
        <f t="array" ref="W343">IF(R343="",0,IFERROR(XLOOKUP(R343,'Live Medal Table'!$B$2:$B$94,'Live Medal Table'!$I$2:$I$94,0),0))</f>
        <v>0</v>
      </c>
      <c r="X343" s="29">
        <f t="shared" si="1"/>
        <v>0</v>
      </c>
      <c r="Y343" s="29">
        <f t="shared" si="2"/>
        <v>0</v>
      </c>
      <c r="Z343" s="29">
        <f t="shared" si="3"/>
        <v>0</v>
      </c>
      <c r="AA343" s="29">
        <f t="shared" si="4"/>
        <v>0</v>
      </c>
      <c r="AB343" s="29" t="b">
        <f t="array" ref="AB343">IF(R343="",FALSE,IFERROR(AND(ISNUMBER(MATCH(R343,'Live Medal Table'!$B$2:$B$94,0)),XLOOKUP(R343,'Live Medal Table'!$B$2:$B$94,Countries!$I$2:$I$72,FALSE)),FALSE))</f>
        <v>0</v>
      </c>
    </row>
    <row r="344" ht="15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29"/>
      <c r="M344" s="29"/>
      <c r="N344" s="29" t="str">
        <f t="array" ref="N344">IFERROR(IF(INDEX(Entries!$C$2:$C$47,43)="","",INDEX(Entries!$Q$2:$Q$47,43)),"")</f>
        <v/>
      </c>
      <c r="O344" s="29" t="str">
        <f t="array" ref="O344">IF(N344="","",IFERROR(INDEX(Entries!$E$2:$E$47,43),""))</f>
        <v/>
      </c>
      <c r="P344" s="29" t="str">
        <f>IF(N344="","","Tier6_Pick1")</f>
        <v/>
      </c>
      <c r="Q344" s="29" t="str">
        <f t="shared" ref="Q344:Q345" si="90">IF(N344="","",6)</f>
        <v/>
      </c>
      <c r="R344" s="29" t="str">
        <f t="array" ref="R344">IF(N344="","",IFERROR(INDEX(Entries!$O$2:$O$47,43),""))</f>
        <v/>
      </c>
      <c r="S344" s="29" t="str">
        <f t="array" ref="S344">IF(R344="","",IFERROR(XLOOKUP(R344,'Live Medal Table'!$B$2:$B$94,'Live Medal Table'!$C$2:$C$94,"???"),"???"))</f>
        <v/>
      </c>
      <c r="T344" s="29">
        <f t="array" ref="T344">IF(R344="",0,IFERROR(XLOOKUP(R344,'Live Medal Table'!$B$2:$B$94,'Live Medal Table'!$F$2:$F$94,0),0))</f>
        <v>0</v>
      </c>
      <c r="U344" s="29">
        <f t="array" ref="U344">IF(R344="",0,IFERROR(XLOOKUP(R344,'Live Medal Table'!$B$2:$B$94,'Live Medal Table'!$G$2:$G$94,0),0))</f>
        <v>0</v>
      </c>
      <c r="V344" s="29">
        <f t="array" ref="V344">IF(R344="",0,IFERROR(XLOOKUP(R344,'Live Medal Table'!$B$2:$B$94,'Live Medal Table'!$H$2:$H$94,0),0))</f>
        <v>0</v>
      </c>
      <c r="W344" s="29">
        <f t="array" ref="W344">IF(R344="",0,IFERROR(XLOOKUP(R344,'Live Medal Table'!$B$2:$B$94,'Live Medal Table'!$I$2:$I$94,0),0))</f>
        <v>0</v>
      </c>
      <c r="X344" s="29">
        <f t="shared" si="1"/>
        <v>0</v>
      </c>
      <c r="Y344" s="29">
        <f t="shared" si="2"/>
        <v>0</v>
      </c>
      <c r="Z344" s="29">
        <f t="shared" si="3"/>
        <v>0</v>
      </c>
      <c r="AA344" s="29">
        <f t="shared" si="4"/>
        <v>0</v>
      </c>
      <c r="AB344" s="29" t="b">
        <f t="array" ref="AB344">IF(R344="",FALSE,IFERROR(AND(ISNUMBER(MATCH(R344,'Live Medal Table'!$B$2:$B$94,0)),XLOOKUP(R344,'Live Medal Table'!$B$2:$B$94,Countries!$I$2:$I$72,FALSE)),FALSE))</f>
        <v>0</v>
      </c>
    </row>
    <row r="345" ht="15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29"/>
      <c r="M345" s="29"/>
      <c r="N345" s="29" t="str">
        <f t="array" ref="N345">IFERROR(IF(INDEX(Entries!$C$2:$C$47,43)="","",INDEX(Entries!$Q$2:$Q$47,43)),"")</f>
        <v/>
      </c>
      <c r="O345" s="29" t="str">
        <f t="array" ref="O345">IF(N345="","",IFERROR(INDEX(Entries!$E$2:$E$47,43),""))</f>
        <v/>
      </c>
      <c r="P345" s="29" t="str">
        <f>IF(N345="","","Tier6_Pick2")</f>
        <v/>
      </c>
      <c r="Q345" s="29" t="str">
        <f t="shared" si="90"/>
        <v/>
      </c>
      <c r="R345" s="29" t="str">
        <f t="array" ref="R345">IF(N345="","",IFERROR(INDEX(Entries!$P$2:$P$47,43),""))</f>
        <v/>
      </c>
      <c r="S345" s="29" t="str">
        <f t="array" ref="S345">IF(R345="","",IFERROR(XLOOKUP(R345,'Live Medal Table'!$B$2:$B$94,'Live Medal Table'!$C$2:$C$94,"???"),"???"))</f>
        <v/>
      </c>
      <c r="T345" s="29">
        <f t="array" ref="T345">IF(R345="",0,IFERROR(XLOOKUP(R345,'Live Medal Table'!$B$2:$B$94,'Live Medal Table'!$F$2:$F$94,0),0))</f>
        <v>0</v>
      </c>
      <c r="U345" s="29">
        <f t="array" ref="U345">IF(R345="",0,IFERROR(XLOOKUP(R345,'Live Medal Table'!$B$2:$B$94,'Live Medal Table'!$G$2:$G$94,0),0))</f>
        <v>0</v>
      </c>
      <c r="V345" s="29">
        <f t="array" ref="V345">IF(R345="",0,IFERROR(XLOOKUP(R345,'Live Medal Table'!$B$2:$B$94,'Live Medal Table'!$H$2:$H$94,0),0))</f>
        <v>0</v>
      </c>
      <c r="W345" s="29">
        <f t="array" ref="W345">IF(R345="",0,IFERROR(XLOOKUP(R345,'Live Medal Table'!$B$2:$B$94,'Live Medal Table'!$I$2:$I$94,0),0))</f>
        <v>0</v>
      </c>
      <c r="X345" s="29">
        <f t="shared" si="1"/>
        <v>0</v>
      </c>
      <c r="Y345" s="29">
        <f t="shared" si="2"/>
        <v>0</v>
      </c>
      <c r="Z345" s="29">
        <f t="shared" si="3"/>
        <v>0</v>
      </c>
      <c r="AA345" s="29">
        <f t="shared" si="4"/>
        <v>0</v>
      </c>
      <c r="AB345" s="29" t="b">
        <f t="array" ref="AB345">IF(R345="",FALSE,IFERROR(AND(ISNUMBER(MATCH(R345,'Live Medal Table'!$B$2:$B$94,0)),XLOOKUP(R345,'Live Medal Table'!$B$2:$B$94,Countries!$I$2:$I$72,FALSE)),FALSE))</f>
        <v>0</v>
      </c>
    </row>
    <row r="346" ht="15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29"/>
      <c r="M346" s="29"/>
      <c r="N346" s="29" t="str">
        <f t="array" ref="N346">IFERROR(IF(INDEX(Entries!$C$2:$C$47,44)="","",INDEX(Entries!$Q$2:$Q$47,44)),"")</f>
        <v/>
      </c>
      <c r="O346" s="29" t="str">
        <f t="array" ref="O346">IF(N346="","",IFERROR(INDEX(Entries!$E$2:$E$47,44),""))</f>
        <v/>
      </c>
      <c r="P346" s="29" t="str">
        <f>IF(N346="","","Tier1_Pick1")</f>
        <v/>
      </c>
      <c r="Q346" s="29" t="str">
        <f>IF(N346="","",1)</f>
        <v/>
      </c>
      <c r="R346" s="29" t="str">
        <f t="array" ref="R346">IF(N346="","",IFERROR(INDEX(Entries!$F$2:$F$47,44),""))</f>
        <v/>
      </c>
      <c r="S346" s="29" t="str">
        <f t="array" ref="S346">IF(R346="","",IFERROR(XLOOKUP(R346,'Live Medal Table'!$B$2:$B$94,'Live Medal Table'!$C$2:$C$94,"???"),"???"))</f>
        <v/>
      </c>
      <c r="T346" s="29">
        <f t="array" ref="T346">IF(R346="",0,IFERROR(XLOOKUP(R346,'Live Medal Table'!$B$2:$B$94,'Live Medal Table'!$F$2:$F$94,0),0))</f>
        <v>0</v>
      </c>
      <c r="U346" s="29">
        <f t="array" ref="U346">IF(R346="",0,IFERROR(XLOOKUP(R346,'Live Medal Table'!$B$2:$B$94,'Live Medal Table'!$G$2:$G$94,0),0))</f>
        <v>0</v>
      </c>
      <c r="V346" s="29">
        <f t="array" ref="V346">IF(R346="",0,IFERROR(XLOOKUP(R346,'Live Medal Table'!$B$2:$B$94,'Live Medal Table'!$H$2:$H$94,0),0))</f>
        <v>0</v>
      </c>
      <c r="W346" s="29">
        <f t="array" ref="W346">IF(R346="",0,IFERROR(XLOOKUP(R346,'Live Medal Table'!$B$2:$B$94,'Live Medal Table'!$I$2:$I$94,0),0))</f>
        <v>0</v>
      </c>
      <c r="X346" s="29">
        <f t="shared" si="1"/>
        <v>0</v>
      </c>
      <c r="Y346" s="29">
        <f t="shared" si="2"/>
        <v>0</v>
      </c>
      <c r="Z346" s="29">
        <f t="shared" si="3"/>
        <v>0</v>
      </c>
      <c r="AA346" s="29">
        <f t="shared" si="4"/>
        <v>0</v>
      </c>
      <c r="AB346" s="29" t="b">
        <f t="array" ref="AB346">IF(R346="",FALSE,IFERROR(AND(ISNUMBER(MATCH(R346,'Live Medal Table'!$B$2:$B$94,0)),XLOOKUP(R346,'Live Medal Table'!$B$2:$B$94,Countries!$I$2:$I$72,FALSE)),FALSE))</f>
        <v>0</v>
      </c>
    </row>
    <row r="347" ht="15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29"/>
      <c r="M347" s="29"/>
      <c r="N347" s="29" t="str">
        <f t="array" ref="N347">IFERROR(IF(INDEX(Entries!$C$2:$C$47,44)="","",INDEX(Entries!$Q$2:$Q$47,44)),"")</f>
        <v/>
      </c>
      <c r="O347" s="29" t="str">
        <f t="array" ref="O347">IF(N347="","",IFERROR(INDEX(Entries!$E$2:$E$47,44),""))</f>
        <v/>
      </c>
      <c r="P347" s="29" t="str">
        <f>IF(N347="","","Tier2_Pick1")</f>
        <v/>
      </c>
      <c r="Q347" s="29" t="str">
        <f t="shared" ref="Q347:Q348" si="91">IF(N347="","",2)</f>
        <v/>
      </c>
      <c r="R347" s="29" t="str">
        <f t="array" ref="R347">IF(N347="","",IFERROR(INDEX(Entries!$M$2:$M$47,44),""))</f>
        <v/>
      </c>
      <c r="S347" s="29" t="str">
        <f t="array" ref="S347">IF(R347="","",IFERROR(XLOOKUP(R347,'Live Medal Table'!$B$2:$B$94,'Live Medal Table'!$C$2:$C$94,"???"),"???"))</f>
        <v/>
      </c>
      <c r="T347" s="29">
        <f t="array" ref="T347">IF(R347="",0,IFERROR(XLOOKUP(R347,'Live Medal Table'!$B$2:$B$94,'Live Medal Table'!$F$2:$F$94,0),0))</f>
        <v>0</v>
      </c>
      <c r="U347" s="29">
        <f t="array" ref="U347">IF(R347="",0,IFERROR(XLOOKUP(R347,'Live Medal Table'!$B$2:$B$94,'Live Medal Table'!$G$2:$G$94,0),0))</f>
        <v>0</v>
      </c>
      <c r="V347" s="29">
        <f t="array" ref="V347">IF(R347="",0,IFERROR(XLOOKUP(R347,'Live Medal Table'!$B$2:$B$94,'Live Medal Table'!$H$2:$H$94,0),0))</f>
        <v>0</v>
      </c>
      <c r="W347" s="29">
        <f t="array" ref="W347">IF(R347="",0,IFERROR(XLOOKUP(R347,'Live Medal Table'!$B$2:$B$94,'Live Medal Table'!$I$2:$I$94,0),0))</f>
        <v>0</v>
      </c>
      <c r="X347" s="29">
        <f t="shared" si="1"/>
        <v>0</v>
      </c>
      <c r="Y347" s="29">
        <f t="shared" si="2"/>
        <v>0</v>
      </c>
      <c r="Z347" s="29">
        <f t="shared" si="3"/>
        <v>0</v>
      </c>
      <c r="AA347" s="29">
        <f t="shared" si="4"/>
        <v>0</v>
      </c>
      <c r="AB347" s="29" t="b">
        <f t="array" ref="AB347">IF(R347="",FALSE,IFERROR(AND(ISNUMBER(MATCH(R347,'Live Medal Table'!$B$2:$B$94,0)),XLOOKUP(R347,'Live Medal Table'!$B$2:$B$94,Countries!$I$2:$I$72,FALSE)),FALSE))</f>
        <v>0</v>
      </c>
    </row>
    <row r="348" ht="15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29"/>
      <c r="M348" s="29"/>
      <c r="N348" s="29" t="str">
        <f t="array" ref="N348">IFERROR(IF(INDEX(Entries!$C$2:$C$47,44)="","",INDEX(Entries!$Q$2:$Q$47,44)),"")</f>
        <v/>
      </c>
      <c r="O348" s="29" t="str">
        <f t="array" ref="O348">IF(N348="","",IFERROR(INDEX(Entries!$E$2:$E$47,44),""))</f>
        <v/>
      </c>
      <c r="P348" s="29" t="str">
        <f>IF(N348="","","Tier2_Pick2")</f>
        <v/>
      </c>
      <c r="Q348" s="29" t="str">
        <f t="shared" si="91"/>
        <v/>
      </c>
      <c r="R348" s="29" t="str">
        <f t="array" ref="R348">IF(N348="","",IFERROR(INDEX(Entries!$N$2:$N$47,44),""))</f>
        <v/>
      </c>
      <c r="S348" s="29" t="str">
        <f t="array" ref="S348">IF(R348="","",IFERROR(XLOOKUP(R348,'Live Medal Table'!$B$2:$B$94,'Live Medal Table'!$C$2:$C$94,"???"),"???"))</f>
        <v/>
      </c>
      <c r="T348" s="29">
        <f t="array" ref="T348">IF(R348="",0,IFERROR(XLOOKUP(R348,'Live Medal Table'!$B$2:$B$94,'Live Medal Table'!$F$2:$F$94,0),0))</f>
        <v>0</v>
      </c>
      <c r="U348" s="29">
        <f t="array" ref="U348">IF(R348="",0,IFERROR(XLOOKUP(R348,'Live Medal Table'!$B$2:$B$94,'Live Medal Table'!$G$2:$G$94,0),0))</f>
        <v>0</v>
      </c>
      <c r="V348" s="29">
        <f t="array" ref="V348">IF(R348="",0,IFERROR(XLOOKUP(R348,'Live Medal Table'!$B$2:$B$94,'Live Medal Table'!$H$2:$H$94,0),0))</f>
        <v>0</v>
      </c>
      <c r="W348" s="29">
        <f t="array" ref="W348">IF(R348="",0,IFERROR(XLOOKUP(R348,'Live Medal Table'!$B$2:$B$94,'Live Medal Table'!$I$2:$I$94,0),0))</f>
        <v>0</v>
      </c>
      <c r="X348" s="29">
        <f t="shared" si="1"/>
        <v>0</v>
      </c>
      <c r="Y348" s="29">
        <f t="shared" si="2"/>
        <v>0</v>
      </c>
      <c r="Z348" s="29">
        <f t="shared" si="3"/>
        <v>0</v>
      </c>
      <c r="AA348" s="29">
        <f t="shared" si="4"/>
        <v>0</v>
      </c>
      <c r="AB348" s="29" t="b">
        <f t="array" ref="AB348">IF(R348="",FALSE,IFERROR(AND(ISNUMBER(MATCH(R348,'Live Medal Table'!$B$2:$B$94,0)),XLOOKUP(R348,'Live Medal Table'!$B$2:$B$94,Countries!$I$2:$I$72,FALSE)),FALSE))</f>
        <v>0</v>
      </c>
    </row>
    <row r="349" ht="15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29"/>
      <c r="M349" s="29"/>
      <c r="N349" s="29" t="str">
        <f t="array" ref="N349">IFERROR(IF(INDEX(Entries!$C$2:$C$47,44)="","",INDEX(Entries!$Q$2:$Q$47,44)),"")</f>
        <v/>
      </c>
      <c r="O349" s="29" t="str">
        <f t="array" ref="O349">IF(N349="","",IFERROR(INDEX(Entries!$E$2:$E$47,44),""))</f>
        <v/>
      </c>
      <c r="P349" s="29" t="str">
        <f>IF(N349="","","Tier3_Pick1")</f>
        <v/>
      </c>
      <c r="Q349" s="29" t="str">
        <f>IF(N349="","",3)</f>
        <v/>
      </c>
      <c r="R349" s="29" t="str">
        <f t="array" ref="R349">IF(N349="","",IFERROR(INDEX(Entries!$H$2:$H$47,44),""))</f>
        <v/>
      </c>
      <c r="S349" s="29" t="str">
        <f t="array" ref="S349">IF(R349="","",IFERROR(XLOOKUP(R349,'Live Medal Table'!$B$2:$B$94,'Live Medal Table'!$C$2:$C$94,"???"),"???"))</f>
        <v/>
      </c>
      <c r="T349" s="29">
        <f t="array" ref="T349">IF(R349="",0,IFERROR(XLOOKUP(R349,'Live Medal Table'!$B$2:$B$94,'Live Medal Table'!$F$2:$F$94,0),0))</f>
        <v>0</v>
      </c>
      <c r="U349" s="29">
        <f t="array" ref="U349">IF(R349="",0,IFERROR(XLOOKUP(R349,'Live Medal Table'!$B$2:$B$94,'Live Medal Table'!$G$2:$G$94,0),0))</f>
        <v>0</v>
      </c>
      <c r="V349" s="29">
        <f t="array" ref="V349">IF(R349="",0,IFERROR(XLOOKUP(R349,'Live Medal Table'!$B$2:$B$94,'Live Medal Table'!$H$2:$H$94,0),0))</f>
        <v>0</v>
      </c>
      <c r="W349" s="29">
        <f t="array" ref="W349">IF(R349="",0,IFERROR(XLOOKUP(R349,'Live Medal Table'!$B$2:$B$94,'Live Medal Table'!$I$2:$I$94,0),0))</f>
        <v>0</v>
      </c>
      <c r="X349" s="29">
        <f t="shared" si="1"/>
        <v>0</v>
      </c>
      <c r="Y349" s="29">
        <f t="shared" si="2"/>
        <v>0</v>
      </c>
      <c r="Z349" s="29">
        <f t="shared" si="3"/>
        <v>0</v>
      </c>
      <c r="AA349" s="29">
        <f t="shared" si="4"/>
        <v>0</v>
      </c>
      <c r="AB349" s="29" t="b">
        <f t="array" ref="AB349">IF(R349="",FALSE,IFERROR(AND(ISNUMBER(MATCH(R349,'Live Medal Table'!$B$2:$B$94,0)),XLOOKUP(R349,'Live Medal Table'!$B$2:$B$94,Countries!$I$2:$I$72,FALSE)),FALSE))</f>
        <v>0</v>
      </c>
    </row>
    <row r="350" ht="15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29"/>
      <c r="M350" s="29"/>
      <c r="N350" s="29" t="str">
        <f t="array" ref="N350">IFERROR(IF(INDEX(Entries!$C$2:$C$47,44)="","",INDEX(Entries!$Q$2:$Q$47,44)),"")</f>
        <v/>
      </c>
      <c r="O350" s="29" t="str">
        <f t="array" ref="O350">IF(N350="","",IFERROR(INDEX(Entries!$E$2:$E$47,44),""))</f>
        <v/>
      </c>
      <c r="P350" s="29" t="str">
        <f>IF(N350="","","Tier4_Pick1")</f>
        <v/>
      </c>
      <c r="Q350" s="29" t="str">
        <f>IF(N350="","",4)</f>
        <v/>
      </c>
      <c r="R350" s="29" t="str">
        <f t="array" ref="R350">IF(N350="","",IFERROR(INDEX(Entries!$I$2:$I$47,44),""))</f>
        <v/>
      </c>
      <c r="S350" s="29" t="str">
        <f t="array" ref="S350">IF(R350="","",IFERROR(XLOOKUP(R350,'Live Medal Table'!$B$2:$B$94,'Live Medal Table'!$C$2:$C$94,"???"),"???"))</f>
        <v/>
      </c>
      <c r="T350" s="29">
        <f t="array" ref="T350">IF(R350="",0,IFERROR(XLOOKUP(R350,'Live Medal Table'!$B$2:$B$94,'Live Medal Table'!$F$2:$F$94,0),0))</f>
        <v>0</v>
      </c>
      <c r="U350" s="29">
        <f t="array" ref="U350">IF(R350="",0,IFERROR(XLOOKUP(R350,'Live Medal Table'!$B$2:$B$94,'Live Medal Table'!$G$2:$G$94,0),0))</f>
        <v>0</v>
      </c>
      <c r="V350" s="29">
        <f t="array" ref="V350">IF(R350="",0,IFERROR(XLOOKUP(R350,'Live Medal Table'!$B$2:$B$94,'Live Medal Table'!$H$2:$H$94,0),0))</f>
        <v>0</v>
      </c>
      <c r="W350" s="29">
        <f t="array" ref="W350">IF(R350="",0,IFERROR(XLOOKUP(R350,'Live Medal Table'!$B$2:$B$94,'Live Medal Table'!$I$2:$I$94,0),0))</f>
        <v>0</v>
      </c>
      <c r="X350" s="29">
        <f t="shared" si="1"/>
        <v>0</v>
      </c>
      <c r="Y350" s="29">
        <f t="shared" si="2"/>
        <v>0</v>
      </c>
      <c r="Z350" s="29">
        <f t="shared" si="3"/>
        <v>0</v>
      </c>
      <c r="AA350" s="29">
        <f t="shared" si="4"/>
        <v>0</v>
      </c>
      <c r="AB350" s="29" t="b">
        <f t="array" ref="AB350">IF(R350="",FALSE,IFERROR(AND(ISNUMBER(MATCH(R350,'Live Medal Table'!$B$2:$B$94,0)),XLOOKUP(R350,'Live Medal Table'!$B$2:$B$94,Countries!$I$2:$I$72,FALSE)),FALSE))</f>
        <v>0</v>
      </c>
    </row>
    <row r="351" ht="15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29"/>
      <c r="M351" s="29"/>
      <c r="N351" s="29" t="str">
        <f t="array" ref="N351">IFERROR(IF(INDEX(Entries!$C$2:$C$47,44)="","",INDEX(Entries!$Q$2:$Q$47,44)),"")</f>
        <v/>
      </c>
      <c r="O351" s="29" t="str">
        <f t="array" ref="O351">IF(N351="","",IFERROR(INDEX(Entries!$E$2:$E$47,44),""))</f>
        <v/>
      </c>
      <c r="P351" s="29" t="str">
        <f>IF(N351="","","Tier5_Pick1")</f>
        <v/>
      </c>
      <c r="Q351" s="29" t="str">
        <f>IF(N351="","",5)</f>
        <v/>
      </c>
      <c r="R351" s="29" t="str">
        <f t="array" ref="R351">IF(N351="","",IFERROR(INDEX(Entries!$J$2:$J$47,44),""))</f>
        <v/>
      </c>
      <c r="S351" s="29" t="str">
        <f t="array" ref="S351">IF(R351="","",IFERROR(XLOOKUP(R351,'Live Medal Table'!$B$2:$B$94,'Live Medal Table'!$C$2:$C$94,"???"),"???"))</f>
        <v/>
      </c>
      <c r="T351" s="29">
        <f t="array" ref="T351">IF(R351="",0,IFERROR(XLOOKUP(R351,'Live Medal Table'!$B$2:$B$94,'Live Medal Table'!$F$2:$F$94,0),0))</f>
        <v>0</v>
      </c>
      <c r="U351" s="29">
        <f t="array" ref="U351">IF(R351="",0,IFERROR(XLOOKUP(R351,'Live Medal Table'!$B$2:$B$94,'Live Medal Table'!$G$2:$G$94,0),0))</f>
        <v>0</v>
      </c>
      <c r="V351" s="29">
        <f t="array" ref="V351">IF(R351="",0,IFERROR(XLOOKUP(R351,'Live Medal Table'!$B$2:$B$94,'Live Medal Table'!$H$2:$H$94,0),0))</f>
        <v>0</v>
      </c>
      <c r="W351" s="29">
        <f t="array" ref="W351">IF(R351="",0,IFERROR(XLOOKUP(R351,'Live Medal Table'!$B$2:$B$94,'Live Medal Table'!$I$2:$I$94,0),0))</f>
        <v>0</v>
      </c>
      <c r="X351" s="29">
        <f t="shared" si="1"/>
        <v>0</v>
      </c>
      <c r="Y351" s="29">
        <f t="shared" si="2"/>
        <v>0</v>
      </c>
      <c r="Z351" s="29">
        <f t="shared" si="3"/>
        <v>0</v>
      </c>
      <c r="AA351" s="29">
        <f t="shared" si="4"/>
        <v>0</v>
      </c>
      <c r="AB351" s="29" t="b">
        <f t="array" ref="AB351">IF(R351="",FALSE,IFERROR(AND(ISNUMBER(MATCH(R351,'Live Medal Table'!$B$2:$B$94,0)),XLOOKUP(R351,'Live Medal Table'!$B$2:$B$94,Countries!$I$2:$I$72,FALSE)),FALSE))</f>
        <v>0</v>
      </c>
    </row>
    <row r="352" ht="15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29"/>
      <c r="M352" s="29"/>
      <c r="N352" s="29" t="str">
        <f t="array" ref="N352">IFERROR(IF(INDEX(Entries!$C$2:$C$47,44)="","",INDEX(Entries!$Q$2:$Q$47,44)),"")</f>
        <v/>
      </c>
      <c r="O352" s="29" t="str">
        <f t="array" ref="O352">IF(N352="","",IFERROR(INDEX(Entries!$E$2:$E$47,44),""))</f>
        <v/>
      </c>
      <c r="P352" s="29" t="str">
        <f>IF(N352="","","Tier6_Pick1")</f>
        <v/>
      </c>
      <c r="Q352" s="29" t="str">
        <f t="shared" ref="Q352:Q353" si="92">IF(N352="","",6)</f>
        <v/>
      </c>
      <c r="R352" s="29" t="str">
        <f t="array" ref="R352">IF(N352="","",IFERROR(INDEX(Entries!$O$2:$O$47,44),""))</f>
        <v/>
      </c>
      <c r="S352" s="29" t="str">
        <f t="array" ref="S352">IF(R352="","",IFERROR(XLOOKUP(R352,'Live Medal Table'!$B$2:$B$94,'Live Medal Table'!$C$2:$C$94,"???"),"???"))</f>
        <v/>
      </c>
      <c r="T352" s="29">
        <f t="array" ref="T352">IF(R352="",0,IFERROR(XLOOKUP(R352,'Live Medal Table'!$B$2:$B$94,'Live Medal Table'!$F$2:$F$94,0),0))</f>
        <v>0</v>
      </c>
      <c r="U352" s="29">
        <f t="array" ref="U352">IF(R352="",0,IFERROR(XLOOKUP(R352,'Live Medal Table'!$B$2:$B$94,'Live Medal Table'!$G$2:$G$94,0),0))</f>
        <v>0</v>
      </c>
      <c r="V352" s="29">
        <f t="array" ref="V352">IF(R352="",0,IFERROR(XLOOKUP(R352,'Live Medal Table'!$B$2:$B$94,'Live Medal Table'!$H$2:$H$94,0),0))</f>
        <v>0</v>
      </c>
      <c r="W352" s="29">
        <f t="array" ref="W352">IF(R352="",0,IFERROR(XLOOKUP(R352,'Live Medal Table'!$B$2:$B$94,'Live Medal Table'!$I$2:$I$94,0),0))</f>
        <v>0</v>
      </c>
      <c r="X352" s="29">
        <f t="shared" si="1"/>
        <v>0</v>
      </c>
      <c r="Y352" s="29">
        <f t="shared" si="2"/>
        <v>0</v>
      </c>
      <c r="Z352" s="29">
        <f t="shared" si="3"/>
        <v>0</v>
      </c>
      <c r="AA352" s="29">
        <f t="shared" si="4"/>
        <v>0</v>
      </c>
      <c r="AB352" s="29" t="b">
        <f t="array" ref="AB352">IF(R352="",FALSE,IFERROR(AND(ISNUMBER(MATCH(R352,'Live Medal Table'!$B$2:$B$94,0)),XLOOKUP(R352,'Live Medal Table'!$B$2:$B$94,Countries!$I$2:$I$72,FALSE)),FALSE))</f>
        <v>0</v>
      </c>
    </row>
    <row r="353" ht="15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29"/>
      <c r="M353" s="29"/>
      <c r="N353" s="29" t="str">
        <f t="array" ref="N353">IFERROR(IF(INDEX(Entries!$C$2:$C$47,44)="","",INDEX(Entries!$Q$2:$Q$47,44)),"")</f>
        <v/>
      </c>
      <c r="O353" s="29" t="str">
        <f t="array" ref="O353">IF(N353="","",IFERROR(INDEX(Entries!$E$2:$E$47,44),""))</f>
        <v/>
      </c>
      <c r="P353" s="29" t="str">
        <f>IF(N353="","","Tier6_Pick2")</f>
        <v/>
      </c>
      <c r="Q353" s="29" t="str">
        <f t="shared" si="92"/>
        <v/>
      </c>
      <c r="R353" s="29" t="str">
        <f t="array" ref="R353">IF(N353="","",IFERROR(INDEX(Entries!$P$2:$P$47,44),""))</f>
        <v/>
      </c>
      <c r="S353" s="29" t="str">
        <f t="array" ref="S353">IF(R353="","",IFERROR(XLOOKUP(R353,'Live Medal Table'!$B$2:$B$94,'Live Medal Table'!$C$2:$C$94,"???"),"???"))</f>
        <v/>
      </c>
      <c r="T353" s="29">
        <f t="array" ref="T353">IF(R353="",0,IFERROR(XLOOKUP(R353,'Live Medal Table'!$B$2:$B$94,'Live Medal Table'!$F$2:$F$94,0),0))</f>
        <v>0</v>
      </c>
      <c r="U353" s="29">
        <f t="array" ref="U353">IF(R353="",0,IFERROR(XLOOKUP(R353,'Live Medal Table'!$B$2:$B$94,'Live Medal Table'!$G$2:$G$94,0),0))</f>
        <v>0</v>
      </c>
      <c r="V353" s="29">
        <f t="array" ref="V353">IF(R353="",0,IFERROR(XLOOKUP(R353,'Live Medal Table'!$B$2:$B$94,'Live Medal Table'!$H$2:$H$94,0),0))</f>
        <v>0</v>
      </c>
      <c r="W353" s="29">
        <f t="array" ref="W353">IF(R353="",0,IFERROR(XLOOKUP(R353,'Live Medal Table'!$B$2:$B$94,'Live Medal Table'!$I$2:$I$94,0),0))</f>
        <v>0</v>
      </c>
      <c r="X353" s="29">
        <f t="shared" si="1"/>
        <v>0</v>
      </c>
      <c r="Y353" s="29">
        <f t="shared" si="2"/>
        <v>0</v>
      </c>
      <c r="Z353" s="29">
        <f t="shared" si="3"/>
        <v>0</v>
      </c>
      <c r="AA353" s="29">
        <f t="shared" si="4"/>
        <v>0</v>
      </c>
      <c r="AB353" s="29" t="b">
        <f t="array" ref="AB353">IF(R353="",FALSE,IFERROR(AND(ISNUMBER(MATCH(R353,'Live Medal Table'!$B$2:$B$94,0)),XLOOKUP(R353,'Live Medal Table'!$B$2:$B$94,Countries!$I$2:$I$72,FALSE)),FALSE))</f>
        <v>0</v>
      </c>
    </row>
    <row r="354" ht="15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29"/>
      <c r="M354" s="29"/>
      <c r="N354" s="29" t="str">
        <f t="array" ref="N354">IFERROR(IF(INDEX(Entries!$C$2:$C$47,45)="","",INDEX(Entries!$Q$2:$Q$47,45)),"")</f>
        <v/>
      </c>
      <c r="O354" s="29" t="str">
        <f t="array" ref="O354">IF(N354="","",IFERROR(INDEX(Entries!$E$2:$E$47,45),""))</f>
        <v/>
      </c>
      <c r="P354" s="29" t="str">
        <f>IF(N354="","","Tier1_Pick1")</f>
        <v/>
      </c>
      <c r="Q354" s="29" t="str">
        <f>IF(N354="","",1)</f>
        <v/>
      </c>
      <c r="R354" s="29" t="str">
        <f t="array" ref="R354">IF(N354="","",IFERROR(INDEX(Entries!$F$2:$F$47,45),""))</f>
        <v/>
      </c>
      <c r="S354" s="29" t="str">
        <f t="array" ref="S354">IF(R354="","",IFERROR(XLOOKUP(R354,'Live Medal Table'!$B$2:$B$94,'Live Medal Table'!$C$2:$C$94,"???"),"???"))</f>
        <v/>
      </c>
      <c r="T354" s="29">
        <f t="array" ref="T354">IF(R354="",0,IFERROR(XLOOKUP(R354,'Live Medal Table'!$B$2:$B$94,'Live Medal Table'!$F$2:$F$94,0),0))</f>
        <v>0</v>
      </c>
      <c r="U354" s="29">
        <f t="array" ref="U354">IF(R354="",0,IFERROR(XLOOKUP(R354,'Live Medal Table'!$B$2:$B$94,'Live Medal Table'!$G$2:$G$94,0),0))</f>
        <v>0</v>
      </c>
      <c r="V354" s="29">
        <f t="array" ref="V354">IF(R354="",0,IFERROR(XLOOKUP(R354,'Live Medal Table'!$B$2:$B$94,'Live Medal Table'!$H$2:$H$94,0),0))</f>
        <v>0</v>
      </c>
      <c r="W354" s="29">
        <f t="array" ref="W354">IF(R354="",0,IFERROR(XLOOKUP(R354,'Live Medal Table'!$B$2:$B$94,'Live Medal Table'!$I$2:$I$94,0),0))</f>
        <v>0</v>
      </c>
      <c r="X354" s="29">
        <f t="shared" si="1"/>
        <v>0</v>
      </c>
      <c r="Y354" s="29">
        <f t="shared" si="2"/>
        <v>0</v>
      </c>
      <c r="Z354" s="29">
        <f t="shared" si="3"/>
        <v>0</v>
      </c>
      <c r="AA354" s="29">
        <f t="shared" si="4"/>
        <v>0</v>
      </c>
      <c r="AB354" s="29" t="b">
        <f t="array" ref="AB354">IF(R354="",FALSE,IFERROR(AND(ISNUMBER(MATCH(R354,'Live Medal Table'!$B$2:$B$94,0)),XLOOKUP(R354,'Live Medal Table'!$B$2:$B$94,Countries!$I$2:$I$72,FALSE)),FALSE))</f>
        <v>0</v>
      </c>
    </row>
    <row r="355" ht="15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29"/>
      <c r="M355" s="29"/>
      <c r="N355" s="29" t="str">
        <f t="array" ref="N355">IFERROR(IF(INDEX(Entries!$C$2:$C$47,45)="","",INDEX(Entries!$Q$2:$Q$47,45)),"")</f>
        <v/>
      </c>
      <c r="O355" s="29" t="str">
        <f t="array" ref="O355">IF(N355="","",IFERROR(INDEX(Entries!$E$2:$E$47,45),""))</f>
        <v/>
      </c>
      <c r="P355" s="29" t="str">
        <f>IF(N355="","","Tier2_Pick1")</f>
        <v/>
      </c>
      <c r="Q355" s="29" t="str">
        <f t="shared" ref="Q355:Q356" si="93">IF(N355="","",2)</f>
        <v/>
      </c>
      <c r="R355" s="29" t="str">
        <f t="array" ref="R355">IF(N355="","",IFERROR(INDEX(Entries!$M$2:$M$47,45),""))</f>
        <v/>
      </c>
      <c r="S355" s="29" t="str">
        <f t="array" ref="S355">IF(R355="","",IFERROR(XLOOKUP(R355,'Live Medal Table'!$B$2:$B$94,'Live Medal Table'!$C$2:$C$94,"???"),"???"))</f>
        <v/>
      </c>
      <c r="T355" s="29">
        <f t="array" ref="T355">IF(R355="",0,IFERROR(XLOOKUP(R355,'Live Medal Table'!$B$2:$B$94,'Live Medal Table'!$F$2:$F$94,0),0))</f>
        <v>0</v>
      </c>
      <c r="U355" s="29">
        <f t="array" ref="U355">IF(R355="",0,IFERROR(XLOOKUP(R355,'Live Medal Table'!$B$2:$B$94,'Live Medal Table'!$G$2:$G$94,0),0))</f>
        <v>0</v>
      </c>
      <c r="V355" s="29">
        <f t="array" ref="V355">IF(R355="",0,IFERROR(XLOOKUP(R355,'Live Medal Table'!$B$2:$B$94,'Live Medal Table'!$H$2:$H$94,0),0))</f>
        <v>0</v>
      </c>
      <c r="W355" s="29">
        <f t="array" ref="W355">IF(R355="",0,IFERROR(XLOOKUP(R355,'Live Medal Table'!$B$2:$B$94,'Live Medal Table'!$I$2:$I$94,0),0))</f>
        <v>0</v>
      </c>
      <c r="X355" s="29">
        <f t="shared" si="1"/>
        <v>0</v>
      </c>
      <c r="Y355" s="29">
        <f t="shared" si="2"/>
        <v>0</v>
      </c>
      <c r="Z355" s="29">
        <f t="shared" si="3"/>
        <v>0</v>
      </c>
      <c r="AA355" s="29">
        <f t="shared" si="4"/>
        <v>0</v>
      </c>
      <c r="AB355" s="29" t="b">
        <f t="array" ref="AB355">IF(R355="",FALSE,IFERROR(AND(ISNUMBER(MATCH(R355,'Live Medal Table'!$B$2:$B$94,0)),XLOOKUP(R355,'Live Medal Table'!$B$2:$B$94,Countries!$I$2:$I$72,FALSE)),FALSE))</f>
        <v>0</v>
      </c>
    </row>
    <row r="356" ht="15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29"/>
      <c r="M356" s="29"/>
      <c r="N356" s="29" t="str">
        <f t="array" ref="N356">IFERROR(IF(INDEX(Entries!$C$2:$C$47,45)="","",INDEX(Entries!$Q$2:$Q$47,45)),"")</f>
        <v/>
      </c>
      <c r="O356" s="29" t="str">
        <f t="array" ref="O356">IF(N356="","",IFERROR(INDEX(Entries!$E$2:$E$47,45),""))</f>
        <v/>
      </c>
      <c r="P356" s="29" t="str">
        <f>IF(N356="","","Tier2_Pick2")</f>
        <v/>
      </c>
      <c r="Q356" s="29" t="str">
        <f t="shared" si="93"/>
        <v/>
      </c>
      <c r="R356" s="29" t="str">
        <f t="array" ref="R356">IF(N356="","",IFERROR(INDEX(Entries!$N$2:$N$47,45),""))</f>
        <v/>
      </c>
      <c r="S356" s="29" t="str">
        <f t="array" ref="S356">IF(R356="","",IFERROR(XLOOKUP(R356,'Live Medal Table'!$B$2:$B$94,'Live Medal Table'!$C$2:$C$94,"???"),"???"))</f>
        <v/>
      </c>
      <c r="T356" s="29">
        <f t="array" ref="T356">IF(R356="",0,IFERROR(XLOOKUP(R356,'Live Medal Table'!$B$2:$B$94,'Live Medal Table'!$F$2:$F$94,0),0))</f>
        <v>0</v>
      </c>
      <c r="U356" s="29">
        <f t="array" ref="U356">IF(R356="",0,IFERROR(XLOOKUP(R356,'Live Medal Table'!$B$2:$B$94,'Live Medal Table'!$G$2:$G$94,0),0))</f>
        <v>0</v>
      </c>
      <c r="V356" s="29">
        <f t="array" ref="V356">IF(R356="",0,IFERROR(XLOOKUP(R356,'Live Medal Table'!$B$2:$B$94,'Live Medal Table'!$H$2:$H$94,0),0))</f>
        <v>0</v>
      </c>
      <c r="W356" s="29">
        <f t="array" ref="W356">IF(R356="",0,IFERROR(XLOOKUP(R356,'Live Medal Table'!$B$2:$B$94,'Live Medal Table'!$I$2:$I$94,0),0))</f>
        <v>0</v>
      </c>
      <c r="X356" s="29">
        <f t="shared" si="1"/>
        <v>0</v>
      </c>
      <c r="Y356" s="29">
        <f t="shared" si="2"/>
        <v>0</v>
      </c>
      <c r="Z356" s="29">
        <f t="shared" si="3"/>
        <v>0</v>
      </c>
      <c r="AA356" s="29">
        <f t="shared" si="4"/>
        <v>0</v>
      </c>
      <c r="AB356" s="29" t="b">
        <f t="array" ref="AB356">IF(R356="",FALSE,IFERROR(AND(ISNUMBER(MATCH(R356,'Live Medal Table'!$B$2:$B$94,0)),XLOOKUP(R356,'Live Medal Table'!$B$2:$B$94,Countries!$I$2:$I$72,FALSE)),FALSE))</f>
        <v>0</v>
      </c>
    </row>
    <row r="357" ht="15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29"/>
      <c r="M357" s="29"/>
      <c r="N357" s="29" t="str">
        <f t="array" ref="N357">IFERROR(IF(INDEX(Entries!$C$2:$C$47,45)="","",INDEX(Entries!$Q$2:$Q$47,45)),"")</f>
        <v/>
      </c>
      <c r="O357" s="29" t="str">
        <f t="array" ref="O357">IF(N357="","",IFERROR(INDEX(Entries!$E$2:$E$47,45),""))</f>
        <v/>
      </c>
      <c r="P357" s="29" t="str">
        <f>IF(N357="","","Tier3_Pick1")</f>
        <v/>
      </c>
      <c r="Q357" s="29" t="str">
        <f>IF(N357="","",3)</f>
        <v/>
      </c>
      <c r="R357" s="29" t="str">
        <f t="array" ref="R357">IF(N357="","",IFERROR(INDEX(Entries!$H$2:$H$47,45),""))</f>
        <v/>
      </c>
      <c r="S357" s="29" t="str">
        <f t="array" ref="S357">IF(R357="","",IFERROR(XLOOKUP(R357,'Live Medal Table'!$B$2:$B$94,'Live Medal Table'!$C$2:$C$94,"???"),"???"))</f>
        <v/>
      </c>
      <c r="T357" s="29">
        <f t="array" ref="T357">IF(R357="",0,IFERROR(XLOOKUP(R357,'Live Medal Table'!$B$2:$B$94,'Live Medal Table'!$F$2:$F$94,0),0))</f>
        <v>0</v>
      </c>
      <c r="U357" s="29">
        <f t="array" ref="U357">IF(R357="",0,IFERROR(XLOOKUP(R357,'Live Medal Table'!$B$2:$B$94,'Live Medal Table'!$G$2:$G$94,0),0))</f>
        <v>0</v>
      </c>
      <c r="V357" s="29">
        <f t="array" ref="V357">IF(R357="",0,IFERROR(XLOOKUP(R357,'Live Medal Table'!$B$2:$B$94,'Live Medal Table'!$H$2:$H$94,0),0))</f>
        <v>0</v>
      </c>
      <c r="W357" s="29">
        <f t="array" ref="W357">IF(R357="",0,IFERROR(XLOOKUP(R357,'Live Medal Table'!$B$2:$B$94,'Live Medal Table'!$I$2:$I$94,0),0))</f>
        <v>0</v>
      </c>
      <c r="X357" s="29">
        <f t="shared" si="1"/>
        <v>0</v>
      </c>
      <c r="Y357" s="29">
        <f t="shared" si="2"/>
        <v>0</v>
      </c>
      <c r="Z357" s="29">
        <f t="shared" si="3"/>
        <v>0</v>
      </c>
      <c r="AA357" s="29">
        <f t="shared" si="4"/>
        <v>0</v>
      </c>
      <c r="AB357" s="29" t="b">
        <f t="array" ref="AB357">IF(R357="",FALSE,IFERROR(AND(ISNUMBER(MATCH(R357,'Live Medal Table'!$B$2:$B$94,0)),XLOOKUP(R357,'Live Medal Table'!$B$2:$B$94,Countries!$I$2:$I$72,FALSE)),FALSE))</f>
        <v>0</v>
      </c>
    </row>
    <row r="358" ht="15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29"/>
      <c r="M358" s="29"/>
      <c r="N358" s="29" t="str">
        <f t="array" ref="N358">IFERROR(IF(INDEX(Entries!$C$2:$C$47,45)="","",INDEX(Entries!$Q$2:$Q$47,45)),"")</f>
        <v/>
      </c>
      <c r="O358" s="29" t="str">
        <f t="array" ref="O358">IF(N358="","",IFERROR(INDEX(Entries!$E$2:$E$47,45),""))</f>
        <v/>
      </c>
      <c r="P358" s="29" t="str">
        <f>IF(N358="","","Tier4_Pick1")</f>
        <v/>
      </c>
      <c r="Q358" s="29" t="str">
        <f>IF(N358="","",4)</f>
        <v/>
      </c>
      <c r="R358" s="29" t="str">
        <f t="array" ref="R358">IF(N358="","",IFERROR(INDEX(Entries!$I$2:$I$47,45),""))</f>
        <v/>
      </c>
      <c r="S358" s="29" t="str">
        <f t="array" ref="S358">IF(R358="","",IFERROR(XLOOKUP(R358,'Live Medal Table'!$B$2:$B$94,'Live Medal Table'!$C$2:$C$94,"???"),"???"))</f>
        <v/>
      </c>
      <c r="T358" s="29">
        <f t="array" ref="T358">IF(R358="",0,IFERROR(XLOOKUP(R358,'Live Medal Table'!$B$2:$B$94,'Live Medal Table'!$F$2:$F$94,0),0))</f>
        <v>0</v>
      </c>
      <c r="U358" s="29">
        <f t="array" ref="U358">IF(R358="",0,IFERROR(XLOOKUP(R358,'Live Medal Table'!$B$2:$B$94,'Live Medal Table'!$G$2:$G$94,0),0))</f>
        <v>0</v>
      </c>
      <c r="V358" s="29">
        <f t="array" ref="V358">IF(R358="",0,IFERROR(XLOOKUP(R358,'Live Medal Table'!$B$2:$B$94,'Live Medal Table'!$H$2:$H$94,0),0))</f>
        <v>0</v>
      </c>
      <c r="W358" s="29">
        <f t="array" ref="W358">IF(R358="",0,IFERROR(XLOOKUP(R358,'Live Medal Table'!$B$2:$B$94,'Live Medal Table'!$I$2:$I$94,0),0))</f>
        <v>0</v>
      </c>
      <c r="X358" s="29">
        <f t="shared" si="1"/>
        <v>0</v>
      </c>
      <c r="Y358" s="29">
        <f t="shared" si="2"/>
        <v>0</v>
      </c>
      <c r="Z358" s="29">
        <f t="shared" si="3"/>
        <v>0</v>
      </c>
      <c r="AA358" s="29">
        <f t="shared" si="4"/>
        <v>0</v>
      </c>
      <c r="AB358" s="29" t="b">
        <f t="array" ref="AB358">IF(R358="",FALSE,IFERROR(AND(ISNUMBER(MATCH(R358,'Live Medal Table'!$B$2:$B$94,0)),XLOOKUP(R358,'Live Medal Table'!$B$2:$B$94,Countries!$I$2:$I$72,FALSE)),FALSE))</f>
        <v>0</v>
      </c>
    </row>
    <row r="359" ht="15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29"/>
      <c r="M359" s="29"/>
      <c r="N359" s="29" t="str">
        <f t="array" ref="N359">IFERROR(IF(INDEX(Entries!$C$2:$C$47,45)="","",INDEX(Entries!$Q$2:$Q$47,45)),"")</f>
        <v/>
      </c>
      <c r="O359" s="29" t="str">
        <f t="array" ref="O359">IF(N359="","",IFERROR(INDEX(Entries!$E$2:$E$47,45),""))</f>
        <v/>
      </c>
      <c r="P359" s="29" t="str">
        <f>IF(N359="","","Tier5_Pick1")</f>
        <v/>
      </c>
      <c r="Q359" s="29" t="str">
        <f>IF(N359="","",5)</f>
        <v/>
      </c>
      <c r="R359" s="29" t="str">
        <f t="array" ref="R359">IF(N359="","",IFERROR(INDEX(Entries!$J$2:$J$47,45),""))</f>
        <v/>
      </c>
      <c r="S359" s="29" t="str">
        <f t="array" ref="S359">IF(R359="","",IFERROR(XLOOKUP(R359,'Live Medal Table'!$B$2:$B$94,'Live Medal Table'!$C$2:$C$94,"???"),"???"))</f>
        <v/>
      </c>
      <c r="T359" s="29">
        <f t="array" ref="T359">IF(R359="",0,IFERROR(XLOOKUP(R359,'Live Medal Table'!$B$2:$B$94,'Live Medal Table'!$F$2:$F$94,0),0))</f>
        <v>0</v>
      </c>
      <c r="U359" s="29">
        <f t="array" ref="U359">IF(R359="",0,IFERROR(XLOOKUP(R359,'Live Medal Table'!$B$2:$B$94,'Live Medal Table'!$G$2:$G$94,0),0))</f>
        <v>0</v>
      </c>
      <c r="V359" s="29">
        <f t="array" ref="V359">IF(R359="",0,IFERROR(XLOOKUP(R359,'Live Medal Table'!$B$2:$B$94,'Live Medal Table'!$H$2:$H$94,0),0))</f>
        <v>0</v>
      </c>
      <c r="W359" s="29">
        <f t="array" ref="W359">IF(R359="",0,IFERROR(XLOOKUP(R359,'Live Medal Table'!$B$2:$B$94,'Live Medal Table'!$I$2:$I$94,0),0))</f>
        <v>0</v>
      </c>
      <c r="X359" s="29">
        <f t="shared" si="1"/>
        <v>0</v>
      </c>
      <c r="Y359" s="29">
        <f t="shared" si="2"/>
        <v>0</v>
      </c>
      <c r="Z359" s="29">
        <f t="shared" si="3"/>
        <v>0</v>
      </c>
      <c r="AA359" s="29">
        <f t="shared" si="4"/>
        <v>0</v>
      </c>
      <c r="AB359" s="29" t="b">
        <f t="array" ref="AB359">IF(R359="",FALSE,IFERROR(AND(ISNUMBER(MATCH(R359,'Live Medal Table'!$B$2:$B$94,0)),XLOOKUP(R359,'Live Medal Table'!$B$2:$B$94,Countries!$I$2:$I$72,FALSE)),FALSE))</f>
        <v>0</v>
      </c>
    </row>
    <row r="360" ht="15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29"/>
      <c r="M360" s="29"/>
      <c r="N360" s="29" t="str">
        <f t="array" ref="N360">IFERROR(IF(INDEX(Entries!$C$2:$C$47,45)="","",INDEX(Entries!$Q$2:$Q$47,45)),"")</f>
        <v/>
      </c>
      <c r="O360" s="29" t="str">
        <f t="array" ref="O360">IF(N360="","",IFERROR(INDEX(Entries!$E$2:$E$47,45),""))</f>
        <v/>
      </c>
      <c r="P360" s="29" t="str">
        <f>IF(N360="","","Tier6_Pick1")</f>
        <v/>
      </c>
      <c r="Q360" s="29" t="str">
        <f t="shared" ref="Q360:Q361" si="94">IF(N360="","",6)</f>
        <v/>
      </c>
      <c r="R360" s="29" t="str">
        <f t="array" ref="R360">IF(N360="","",IFERROR(INDEX(Entries!$O$2:$O$47,45),""))</f>
        <v/>
      </c>
      <c r="S360" s="29" t="str">
        <f t="array" ref="S360">IF(R360="","",IFERROR(XLOOKUP(R360,'Live Medal Table'!$B$2:$B$94,'Live Medal Table'!$C$2:$C$94,"???"),"???"))</f>
        <v/>
      </c>
      <c r="T360" s="29">
        <f t="array" ref="T360">IF(R360="",0,IFERROR(XLOOKUP(R360,'Live Medal Table'!$B$2:$B$94,'Live Medal Table'!$F$2:$F$94,0),0))</f>
        <v>0</v>
      </c>
      <c r="U360" s="29">
        <f t="array" ref="U360">IF(R360="",0,IFERROR(XLOOKUP(R360,'Live Medal Table'!$B$2:$B$94,'Live Medal Table'!$G$2:$G$94,0),0))</f>
        <v>0</v>
      </c>
      <c r="V360" s="29">
        <f t="array" ref="V360">IF(R360="",0,IFERROR(XLOOKUP(R360,'Live Medal Table'!$B$2:$B$94,'Live Medal Table'!$H$2:$H$94,0),0))</f>
        <v>0</v>
      </c>
      <c r="W360" s="29">
        <f t="array" ref="W360">IF(R360="",0,IFERROR(XLOOKUP(R360,'Live Medal Table'!$B$2:$B$94,'Live Medal Table'!$I$2:$I$94,0),0))</f>
        <v>0</v>
      </c>
      <c r="X360" s="29">
        <f t="shared" si="1"/>
        <v>0</v>
      </c>
      <c r="Y360" s="29">
        <f t="shared" si="2"/>
        <v>0</v>
      </c>
      <c r="Z360" s="29">
        <f t="shared" si="3"/>
        <v>0</v>
      </c>
      <c r="AA360" s="29">
        <f t="shared" si="4"/>
        <v>0</v>
      </c>
      <c r="AB360" s="29" t="b">
        <f t="array" ref="AB360">IF(R360="",FALSE,IFERROR(AND(ISNUMBER(MATCH(R360,'Live Medal Table'!$B$2:$B$94,0)),XLOOKUP(R360,'Live Medal Table'!$B$2:$B$94,Countries!$I$2:$I$72,FALSE)),FALSE))</f>
        <v>0</v>
      </c>
    </row>
    <row r="361" ht="15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29"/>
      <c r="M361" s="29"/>
      <c r="N361" s="29" t="str">
        <f t="array" ref="N361">IFERROR(IF(INDEX(Entries!$C$2:$C$47,45)="","",INDEX(Entries!$Q$2:$Q$47,45)),"")</f>
        <v/>
      </c>
      <c r="O361" s="29" t="str">
        <f t="array" ref="O361">IF(N361="","",IFERROR(INDEX(Entries!$E$2:$E$47,45),""))</f>
        <v/>
      </c>
      <c r="P361" s="29" t="str">
        <f>IF(N361="","","Tier6_Pick2")</f>
        <v/>
      </c>
      <c r="Q361" s="29" t="str">
        <f t="shared" si="94"/>
        <v/>
      </c>
      <c r="R361" s="29" t="str">
        <f t="array" ref="R361">IF(N361="","",IFERROR(INDEX(Entries!$P$2:$P$47,45),""))</f>
        <v/>
      </c>
      <c r="S361" s="29" t="str">
        <f t="array" ref="S361">IF(R361="","",IFERROR(XLOOKUP(R361,'Live Medal Table'!$B$2:$B$94,'Live Medal Table'!$C$2:$C$94,"???"),"???"))</f>
        <v/>
      </c>
      <c r="T361" s="29">
        <f t="array" ref="T361">IF(R361="",0,IFERROR(XLOOKUP(R361,'Live Medal Table'!$B$2:$B$94,'Live Medal Table'!$F$2:$F$94,0),0))</f>
        <v>0</v>
      </c>
      <c r="U361" s="29">
        <f t="array" ref="U361">IF(R361="",0,IFERROR(XLOOKUP(R361,'Live Medal Table'!$B$2:$B$94,'Live Medal Table'!$G$2:$G$94,0),0))</f>
        <v>0</v>
      </c>
      <c r="V361" s="29">
        <f t="array" ref="V361">IF(R361="",0,IFERROR(XLOOKUP(R361,'Live Medal Table'!$B$2:$B$94,'Live Medal Table'!$H$2:$H$94,0),0))</f>
        <v>0</v>
      </c>
      <c r="W361" s="29">
        <f t="array" ref="W361">IF(R361="",0,IFERROR(XLOOKUP(R361,'Live Medal Table'!$B$2:$B$94,'Live Medal Table'!$I$2:$I$94,0),0))</f>
        <v>0</v>
      </c>
      <c r="X361" s="29">
        <f t="shared" si="1"/>
        <v>0</v>
      </c>
      <c r="Y361" s="29">
        <f t="shared" si="2"/>
        <v>0</v>
      </c>
      <c r="Z361" s="29">
        <f t="shared" si="3"/>
        <v>0</v>
      </c>
      <c r="AA361" s="29">
        <f t="shared" si="4"/>
        <v>0</v>
      </c>
      <c r="AB361" s="29" t="b">
        <f t="array" ref="AB361">IF(R361="",FALSE,IFERROR(AND(ISNUMBER(MATCH(R361,'Live Medal Table'!$B$2:$B$94,0)),XLOOKUP(R361,'Live Medal Table'!$B$2:$B$94,Countries!$I$2:$I$72,FALSE)),FALSE))</f>
        <v>0</v>
      </c>
    </row>
    <row r="362" ht="15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29"/>
      <c r="M362" s="29"/>
      <c r="N362" s="29" t="str">
        <f t="array" ref="N362">IFERROR(IF(INDEX(Entries!$C$2:$C$47,46)="","",INDEX(Entries!$Q$2:$Q$47,46)),"")</f>
        <v/>
      </c>
      <c r="O362" s="29" t="str">
        <f t="array" ref="O362">IF(N362="","",IFERROR(INDEX(Entries!$E$2:$E$47,46),""))</f>
        <v/>
      </c>
      <c r="P362" s="29" t="str">
        <f>IF(N362="","","Tier1_Pick1")</f>
        <v/>
      </c>
      <c r="Q362" s="29" t="str">
        <f>IF(N362="","",1)</f>
        <v/>
      </c>
      <c r="R362" s="29" t="str">
        <f t="array" ref="R362">IF(N362="","",IFERROR(INDEX(Entries!$F$2:$F$47,46),""))</f>
        <v/>
      </c>
      <c r="S362" s="29" t="str">
        <f t="array" ref="S362">IF(R362="","",IFERROR(XLOOKUP(R362,'Live Medal Table'!$B$2:$B$94,'Live Medal Table'!$C$2:$C$94,"???"),"???"))</f>
        <v/>
      </c>
      <c r="T362" s="29">
        <f t="array" ref="T362">IF(R362="",0,IFERROR(XLOOKUP(R362,'Live Medal Table'!$B$2:$B$94,'Live Medal Table'!$F$2:$F$94,0),0))</f>
        <v>0</v>
      </c>
      <c r="U362" s="29">
        <f t="array" ref="U362">IF(R362="",0,IFERROR(XLOOKUP(R362,'Live Medal Table'!$B$2:$B$94,'Live Medal Table'!$G$2:$G$94,0),0))</f>
        <v>0</v>
      </c>
      <c r="V362" s="29">
        <f t="array" ref="V362">IF(R362="",0,IFERROR(XLOOKUP(R362,'Live Medal Table'!$B$2:$B$94,'Live Medal Table'!$H$2:$H$94,0),0))</f>
        <v>0</v>
      </c>
      <c r="W362" s="29">
        <f t="array" ref="W362">IF(R362="",0,IFERROR(XLOOKUP(R362,'Live Medal Table'!$B$2:$B$94,'Live Medal Table'!$I$2:$I$94,0),0))</f>
        <v>0</v>
      </c>
      <c r="X362" s="29">
        <f t="shared" si="1"/>
        <v>0</v>
      </c>
      <c r="Y362" s="29">
        <f t="shared" si="2"/>
        <v>0</v>
      </c>
      <c r="Z362" s="29">
        <f t="shared" si="3"/>
        <v>0</v>
      </c>
      <c r="AA362" s="29">
        <f t="shared" si="4"/>
        <v>0</v>
      </c>
      <c r="AB362" s="29" t="b">
        <f t="array" ref="AB362">IF(R362="",FALSE,IFERROR(AND(ISNUMBER(MATCH(R362,'Live Medal Table'!$B$2:$B$94,0)),XLOOKUP(R362,'Live Medal Table'!$B$2:$B$94,Countries!$I$2:$I$72,FALSE)),FALSE))</f>
        <v>0</v>
      </c>
    </row>
    <row r="363" ht="15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29"/>
      <c r="M363" s="29"/>
      <c r="N363" s="29" t="str">
        <f t="array" ref="N363">IFERROR(IF(INDEX(Entries!$C$2:$C$47,46)="","",INDEX(Entries!$Q$2:$Q$47,46)),"")</f>
        <v/>
      </c>
      <c r="O363" s="29" t="str">
        <f t="array" ref="O363">IF(N363="","",IFERROR(INDEX(Entries!$E$2:$E$47,46),""))</f>
        <v/>
      </c>
      <c r="P363" s="29" t="str">
        <f>IF(N363="","","Tier2_Pick1")</f>
        <v/>
      </c>
      <c r="Q363" s="29" t="str">
        <f t="shared" ref="Q363:Q364" si="95">IF(N363="","",2)</f>
        <v/>
      </c>
      <c r="R363" s="29" t="str">
        <f t="array" ref="R363">IF(N363="","",IFERROR(INDEX(Entries!$M$2:$M$47,46),""))</f>
        <v/>
      </c>
      <c r="S363" s="29" t="str">
        <f t="array" ref="S363">IF(R363="","",IFERROR(XLOOKUP(R363,'Live Medal Table'!$B$2:$B$94,'Live Medal Table'!$C$2:$C$94,"???"),"???"))</f>
        <v/>
      </c>
      <c r="T363" s="29">
        <f t="array" ref="T363">IF(R363="",0,IFERROR(XLOOKUP(R363,'Live Medal Table'!$B$2:$B$94,'Live Medal Table'!$F$2:$F$94,0),0))</f>
        <v>0</v>
      </c>
      <c r="U363" s="29">
        <f t="array" ref="U363">IF(R363="",0,IFERROR(XLOOKUP(R363,'Live Medal Table'!$B$2:$B$94,'Live Medal Table'!$G$2:$G$94,0),0))</f>
        <v>0</v>
      </c>
      <c r="V363" s="29">
        <f t="array" ref="V363">IF(R363="",0,IFERROR(XLOOKUP(R363,'Live Medal Table'!$B$2:$B$94,'Live Medal Table'!$H$2:$H$94,0),0))</f>
        <v>0</v>
      </c>
      <c r="W363" s="29">
        <f t="array" ref="W363">IF(R363="",0,IFERROR(XLOOKUP(R363,'Live Medal Table'!$B$2:$B$94,'Live Medal Table'!$I$2:$I$94,0),0))</f>
        <v>0</v>
      </c>
      <c r="X363" s="29">
        <f t="shared" si="1"/>
        <v>0</v>
      </c>
      <c r="Y363" s="29">
        <f t="shared" si="2"/>
        <v>0</v>
      </c>
      <c r="Z363" s="29">
        <f t="shared" si="3"/>
        <v>0</v>
      </c>
      <c r="AA363" s="29">
        <f t="shared" si="4"/>
        <v>0</v>
      </c>
      <c r="AB363" s="29" t="b">
        <f t="array" ref="AB363">IF(R363="",FALSE,IFERROR(AND(ISNUMBER(MATCH(R363,'Live Medal Table'!$B$2:$B$94,0)),XLOOKUP(R363,'Live Medal Table'!$B$2:$B$94,Countries!$I$2:$I$72,FALSE)),FALSE))</f>
        <v>0</v>
      </c>
    </row>
    <row r="364" ht="15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29"/>
      <c r="M364" s="29"/>
      <c r="N364" s="29" t="str">
        <f t="array" ref="N364">IFERROR(IF(INDEX(Entries!$C$2:$C$47,46)="","",INDEX(Entries!$Q$2:$Q$47,46)),"")</f>
        <v/>
      </c>
      <c r="O364" s="29" t="str">
        <f t="array" ref="O364">IF(N364="","",IFERROR(INDEX(Entries!$E$2:$E$47,46),""))</f>
        <v/>
      </c>
      <c r="P364" s="29" t="str">
        <f>IF(N364="","","Tier2_Pick2")</f>
        <v/>
      </c>
      <c r="Q364" s="29" t="str">
        <f t="shared" si="95"/>
        <v/>
      </c>
      <c r="R364" s="29" t="str">
        <f t="array" ref="R364">IF(N364="","",IFERROR(INDEX(Entries!$N$2:$N$47,46),""))</f>
        <v/>
      </c>
      <c r="S364" s="29" t="str">
        <f t="array" ref="S364">IF(R364="","",IFERROR(XLOOKUP(R364,'Live Medal Table'!$B$2:$B$94,'Live Medal Table'!$C$2:$C$94,"???"),"???"))</f>
        <v/>
      </c>
      <c r="T364" s="29">
        <f t="array" ref="T364">IF(R364="",0,IFERROR(XLOOKUP(R364,'Live Medal Table'!$B$2:$B$94,'Live Medal Table'!$F$2:$F$94,0),0))</f>
        <v>0</v>
      </c>
      <c r="U364" s="29">
        <f t="array" ref="U364">IF(R364="",0,IFERROR(XLOOKUP(R364,'Live Medal Table'!$B$2:$B$94,'Live Medal Table'!$G$2:$G$94,0),0))</f>
        <v>0</v>
      </c>
      <c r="V364" s="29">
        <f t="array" ref="V364">IF(R364="",0,IFERROR(XLOOKUP(R364,'Live Medal Table'!$B$2:$B$94,'Live Medal Table'!$H$2:$H$94,0),0))</f>
        <v>0</v>
      </c>
      <c r="W364" s="29">
        <f t="array" ref="W364">IF(R364="",0,IFERROR(XLOOKUP(R364,'Live Medal Table'!$B$2:$B$94,'Live Medal Table'!$I$2:$I$94,0),0))</f>
        <v>0</v>
      </c>
      <c r="X364" s="29">
        <f t="shared" si="1"/>
        <v>0</v>
      </c>
      <c r="Y364" s="29">
        <f t="shared" si="2"/>
        <v>0</v>
      </c>
      <c r="Z364" s="29">
        <f t="shared" si="3"/>
        <v>0</v>
      </c>
      <c r="AA364" s="29">
        <f t="shared" si="4"/>
        <v>0</v>
      </c>
      <c r="AB364" s="29" t="b">
        <f t="array" ref="AB364">IF(R364="",FALSE,IFERROR(AND(ISNUMBER(MATCH(R364,'Live Medal Table'!$B$2:$B$94,0)),XLOOKUP(R364,'Live Medal Table'!$B$2:$B$94,Countries!$I$2:$I$72,FALSE)),FALSE))</f>
        <v>0</v>
      </c>
    </row>
    <row r="365" ht="15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29"/>
      <c r="M365" s="29"/>
      <c r="N365" s="29" t="str">
        <f t="array" ref="N365">IFERROR(IF(INDEX(Entries!$C$2:$C$47,46)="","",INDEX(Entries!$Q$2:$Q$47,46)),"")</f>
        <v/>
      </c>
      <c r="O365" s="29" t="str">
        <f t="array" ref="O365">IF(N365="","",IFERROR(INDEX(Entries!$E$2:$E$47,46),""))</f>
        <v/>
      </c>
      <c r="P365" s="29" t="str">
        <f>IF(N365="","","Tier3_Pick1")</f>
        <v/>
      </c>
      <c r="Q365" s="29" t="str">
        <f>IF(N365="","",3)</f>
        <v/>
      </c>
      <c r="R365" s="29" t="str">
        <f t="array" ref="R365">IF(N365="","",IFERROR(INDEX(Entries!$H$2:$H$47,46),""))</f>
        <v/>
      </c>
      <c r="S365" s="29" t="str">
        <f t="array" ref="S365">IF(R365="","",IFERROR(XLOOKUP(R365,'Live Medal Table'!$B$2:$B$94,'Live Medal Table'!$C$2:$C$94,"???"),"???"))</f>
        <v/>
      </c>
      <c r="T365" s="29">
        <f t="array" ref="T365">IF(R365="",0,IFERROR(XLOOKUP(R365,'Live Medal Table'!$B$2:$B$94,'Live Medal Table'!$F$2:$F$94,0),0))</f>
        <v>0</v>
      </c>
      <c r="U365" s="29">
        <f t="array" ref="U365">IF(R365="",0,IFERROR(XLOOKUP(R365,'Live Medal Table'!$B$2:$B$94,'Live Medal Table'!$G$2:$G$94,0),0))</f>
        <v>0</v>
      </c>
      <c r="V365" s="29">
        <f t="array" ref="V365">IF(R365="",0,IFERROR(XLOOKUP(R365,'Live Medal Table'!$B$2:$B$94,'Live Medal Table'!$H$2:$H$94,0),0))</f>
        <v>0</v>
      </c>
      <c r="W365" s="29">
        <f t="array" ref="W365">IF(R365="",0,IFERROR(XLOOKUP(R365,'Live Medal Table'!$B$2:$B$94,'Live Medal Table'!$I$2:$I$94,0),0))</f>
        <v>0</v>
      </c>
      <c r="X365" s="29">
        <f t="shared" si="1"/>
        <v>0</v>
      </c>
      <c r="Y365" s="29">
        <f t="shared" si="2"/>
        <v>0</v>
      </c>
      <c r="Z365" s="29">
        <f t="shared" si="3"/>
        <v>0</v>
      </c>
      <c r="AA365" s="29">
        <f t="shared" si="4"/>
        <v>0</v>
      </c>
      <c r="AB365" s="29" t="b">
        <f t="array" ref="AB365">IF(R365="",FALSE,IFERROR(AND(ISNUMBER(MATCH(R365,'Live Medal Table'!$B$2:$B$94,0)),XLOOKUP(R365,'Live Medal Table'!$B$2:$B$94,Countries!$I$2:$I$72,FALSE)),FALSE))</f>
        <v>0</v>
      </c>
    </row>
    <row r="366" ht="15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29"/>
      <c r="M366" s="29"/>
      <c r="N366" s="29" t="str">
        <f t="array" ref="N366">IFERROR(IF(INDEX(Entries!$C$2:$C$47,46)="","",INDEX(Entries!$Q$2:$Q$47,46)),"")</f>
        <v/>
      </c>
      <c r="O366" s="29" t="str">
        <f t="array" ref="O366">IF(N366="","",IFERROR(INDEX(Entries!$E$2:$E$47,46),""))</f>
        <v/>
      </c>
      <c r="P366" s="29" t="str">
        <f>IF(N366="","","Tier4_Pick1")</f>
        <v/>
      </c>
      <c r="Q366" s="29" t="str">
        <f>IF(N366="","",4)</f>
        <v/>
      </c>
      <c r="R366" s="29" t="str">
        <f t="array" ref="R366">IF(N366="","",IFERROR(INDEX(Entries!$I$2:$I$47,46),""))</f>
        <v/>
      </c>
      <c r="S366" s="29" t="str">
        <f t="array" ref="S366">IF(R366="","",IFERROR(XLOOKUP(R366,'Live Medal Table'!$B$2:$B$94,'Live Medal Table'!$C$2:$C$94,"???"),"???"))</f>
        <v/>
      </c>
      <c r="T366" s="29">
        <f t="array" ref="T366">IF(R366="",0,IFERROR(XLOOKUP(R366,'Live Medal Table'!$B$2:$B$94,'Live Medal Table'!$F$2:$F$94,0),0))</f>
        <v>0</v>
      </c>
      <c r="U366" s="29">
        <f t="array" ref="U366">IF(R366="",0,IFERROR(XLOOKUP(R366,'Live Medal Table'!$B$2:$B$94,'Live Medal Table'!$G$2:$G$94,0),0))</f>
        <v>0</v>
      </c>
      <c r="V366" s="29">
        <f t="array" ref="V366">IF(R366="",0,IFERROR(XLOOKUP(R366,'Live Medal Table'!$B$2:$B$94,'Live Medal Table'!$H$2:$H$94,0),0))</f>
        <v>0</v>
      </c>
      <c r="W366" s="29">
        <f t="array" ref="W366">IF(R366="",0,IFERROR(XLOOKUP(R366,'Live Medal Table'!$B$2:$B$94,'Live Medal Table'!$I$2:$I$94,0),0))</f>
        <v>0</v>
      </c>
      <c r="X366" s="29">
        <f t="shared" si="1"/>
        <v>0</v>
      </c>
      <c r="Y366" s="29">
        <f t="shared" si="2"/>
        <v>0</v>
      </c>
      <c r="Z366" s="29">
        <f t="shared" si="3"/>
        <v>0</v>
      </c>
      <c r="AA366" s="29">
        <f t="shared" si="4"/>
        <v>0</v>
      </c>
      <c r="AB366" s="29" t="b">
        <f t="array" ref="AB366">IF(R366="",FALSE,IFERROR(AND(ISNUMBER(MATCH(R366,'Live Medal Table'!$B$2:$B$94,0)),XLOOKUP(R366,'Live Medal Table'!$B$2:$B$94,Countries!$I$2:$I$72,FALSE)),FALSE))</f>
        <v>0</v>
      </c>
    </row>
    <row r="367" ht="15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29"/>
      <c r="M367" s="29"/>
      <c r="N367" s="29" t="str">
        <f t="array" ref="N367">IFERROR(IF(INDEX(Entries!$C$2:$C$47,46)="","",INDEX(Entries!$Q$2:$Q$47,46)),"")</f>
        <v/>
      </c>
      <c r="O367" s="29" t="str">
        <f t="array" ref="O367">IF(N367="","",IFERROR(INDEX(Entries!$E$2:$E$47,46),""))</f>
        <v/>
      </c>
      <c r="P367" s="29" t="str">
        <f>IF(N367="","","Tier5_Pick1")</f>
        <v/>
      </c>
      <c r="Q367" s="29" t="str">
        <f>IF(N367="","",5)</f>
        <v/>
      </c>
      <c r="R367" s="29" t="str">
        <f t="array" ref="R367">IF(N367="","",IFERROR(INDEX(Entries!$J$2:$J$47,46),""))</f>
        <v/>
      </c>
      <c r="S367" s="29" t="str">
        <f t="array" ref="S367">IF(R367="","",IFERROR(XLOOKUP(R367,'Live Medal Table'!$B$2:$B$94,'Live Medal Table'!$C$2:$C$94,"???"),"???"))</f>
        <v/>
      </c>
      <c r="T367" s="29">
        <f t="array" ref="T367">IF(R367="",0,IFERROR(XLOOKUP(R367,'Live Medal Table'!$B$2:$B$94,'Live Medal Table'!$F$2:$F$94,0),0))</f>
        <v>0</v>
      </c>
      <c r="U367" s="29">
        <f t="array" ref="U367">IF(R367="",0,IFERROR(XLOOKUP(R367,'Live Medal Table'!$B$2:$B$94,'Live Medal Table'!$G$2:$G$94,0),0))</f>
        <v>0</v>
      </c>
      <c r="V367" s="29">
        <f t="array" ref="V367">IF(R367="",0,IFERROR(XLOOKUP(R367,'Live Medal Table'!$B$2:$B$94,'Live Medal Table'!$H$2:$H$94,0),0))</f>
        <v>0</v>
      </c>
      <c r="W367" s="29">
        <f t="array" ref="W367">IF(R367="",0,IFERROR(XLOOKUP(R367,'Live Medal Table'!$B$2:$B$94,'Live Medal Table'!$I$2:$I$94,0),0))</f>
        <v>0</v>
      </c>
      <c r="X367" s="29">
        <f t="shared" si="1"/>
        <v>0</v>
      </c>
      <c r="Y367" s="29">
        <f t="shared" si="2"/>
        <v>0</v>
      </c>
      <c r="Z367" s="29">
        <f t="shared" si="3"/>
        <v>0</v>
      </c>
      <c r="AA367" s="29">
        <f t="shared" si="4"/>
        <v>0</v>
      </c>
      <c r="AB367" s="29" t="b">
        <f t="array" ref="AB367">IF(R367="",FALSE,IFERROR(AND(ISNUMBER(MATCH(R367,'Live Medal Table'!$B$2:$B$94,0)),XLOOKUP(R367,'Live Medal Table'!$B$2:$B$94,Countries!$I$2:$I$72,FALSE)),FALSE))</f>
        <v>0</v>
      </c>
    </row>
    <row r="368" ht="15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29"/>
      <c r="M368" s="29"/>
      <c r="N368" s="29" t="str">
        <f t="array" ref="N368">IFERROR(IF(INDEX(Entries!$C$2:$C$47,46)="","",INDEX(Entries!$Q$2:$Q$47,46)),"")</f>
        <v/>
      </c>
      <c r="O368" s="29" t="str">
        <f t="array" ref="O368">IF(N368="","",IFERROR(INDEX(Entries!$E$2:$E$47,46),""))</f>
        <v/>
      </c>
      <c r="P368" s="29" t="str">
        <f>IF(N368="","","Tier6_Pick1")</f>
        <v/>
      </c>
      <c r="Q368" s="29" t="str">
        <f t="shared" ref="Q368:Q369" si="96">IF(N368="","",6)</f>
        <v/>
      </c>
      <c r="R368" s="29" t="str">
        <f t="array" ref="R368">IF(N368="","",IFERROR(INDEX(Entries!$O$2:$O$47,46),""))</f>
        <v/>
      </c>
      <c r="S368" s="29" t="str">
        <f t="array" ref="S368">IF(R368="","",IFERROR(XLOOKUP(R368,'Live Medal Table'!$B$2:$B$94,'Live Medal Table'!$C$2:$C$94,"???"),"???"))</f>
        <v/>
      </c>
      <c r="T368" s="29">
        <f t="array" ref="T368">IF(R368="",0,IFERROR(XLOOKUP(R368,'Live Medal Table'!$B$2:$B$94,'Live Medal Table'!$F$2:$F$94,0),0))</f>
        <v>0</v>
      </c>
      <c r="U368" s="29">
        <f t="array" ref="U368">IF(R368="",0,IFERROR(XLOOKUP(R368,'Live Medal Table'!$B$2:$B$94,'Live Medal Table'!$G$2:$G$94,0),0))</f>
        <v>0</v>
      </c>
      <c r="V368" s="29">
        <f t="array" ref="V368">IF(R368="",0,IFERROR(XLOOKUP(R368,'Live Medal Table'!$B$2:$B$94,'Live Medal Table'!$H$2:$H$94,0),0))</f>
        <v>0</v>
      </c>
      <c r="W368" s="29">
        <f t="array" ref="W368">IF(R368="",0,IFERROR(XLOOKUP(R368,'Live Medal Table'!$B$2:$B$94,'Live Medal Table'!$I$2:$I$94,0),0))</f>
        <v>0</v>
      </c>
      <c r="X368" s="29">
        <f t="shared" si="1"/>
        <v>0</v>
      </c>
      <c r="Y368" s="29">
        <f t="shared" si="2"/>
        <v>0</v>
      </c>
      <c r="Z368" s="29">
        <f t="shared" si="3"/>
        <v>0</v>
      </c>
      <c r="AA368" s="29">
        <f t="shared" si="4"/>
        <v>0</v>
      </c>
      <c r="AB368" s="29" t="b">
        <f t="array" ref="AB368">IF(R368="",FALSE,IFERROR(AND(ISNUMBER(MATCH(R368,'Live Medal Table'!$B$2:$B$94,0)),XLOOKUP(R368,'Live Medal Table'!$B$2:$B$94,Countries!$I$2:$I$72,FALSE)),FALSE))</f>
        <v>0</v>
      </c>
    </row>
    <row r="369" ht="15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29"/>
      <c r="M369" s="29"/>
      <c r="N369" s="29" t="str">
        <f t="array" ref="N369">IFERROR(IF(INDEX(Entries!$C$2:$C$47,46)="","",INDEX(Entries!$Q$2:$Q$47,46)),"")</f>
        <v/>
      </c>
      <c r="O369" s="29" t="str">
        <f t="array" ref="O369">IF(N369="","",IFERROR(INDEX(Entries!$E$2:$E$47,46),""))</f>
        <v/>
      </c>
      <c r="P369" s="29" t="str">
        <f>IF(N369="","","Tier6_Pick2")</f>
        <v/>
      </c>
      <c r="Q369" s="29" t="str">
        <f t="shared" si="96"/>
        <v/>
      </c>
      <c r="R369" s="29" t="str">
        <f t="array" ref="R369">IF(N369="","",IFERROR(INDEX(Entries!$P$2:$P$47,46),""))</f>
        <v/>
      </c>
      <c r="S369" s="29" t="str">
        <f t="array" ref="S369">IF(R369="","",IFERROR(XLOOKUP(R369,'Live Medal Table'!$B$2:$B$94,'Live Medal Table'!$C$2:$C$94,"???"),"???"))</f>
        <v/>
      </c>
      <c r="T369" s="29">
        <f t="array" ref="T369">IF(R369="",0,IFERROR(XLOOKUP(R369,'Live Medal Table'!$B$2:$B$94,'Live Medal Table'!$F$2:$F$94,0),0))</f>
        <v>0</v>
      </c>
      <c r="U369" s="29">
        <f t="array" ref="U369">IF(R369="",0,IFERROR(XLOOKUP(R369,'Live Medal Table'!$B$2:$B$94,'Live Medal Table'!$G$2:$G$94,0),0))</f>
        <v>0</v>
      </c>
      <c r="V369" s="29">
        <f t="array" ref="V369">IF(R369="",0,IFERROR(XLOOKUP(R369,'Live Medal Table'!$B$2:$B$94,'Live Medal Table'!$H$2:$H$94,0),0))</f>
        <v>0</v>
      </c>
      <c r="W369" s="29">
        <f t="array" ref="W369">IF(R369="",0,IFERROR(XLOOKUP(R369,'Live Medal Table'!$B$2:$B$94,'Live Medal Table'!$I$2:$I$94,0),0))</f>
        <v>0</v>
      </c>
      <c r="X369" s="29">
        <f t="shared" si="1"/>
        <v>0</v>
      </c>
      <c r="Y369" s="29">
        <f t="shared" si="2"/>
        <v>0</v>
      </c>
      <c r="Z369" s="29">
        <f t="shared" si="3"/>
        <v>0</v>
      </c>
      <c r="AA369" s="29">
        <f t="shared" si="4"/>
        <v>0</v>
      </c>
      <c r="AB369" s="29" t="b">
        <f t="array" ref="AB369">IF(R369="",FALSE,IFERROR(AND(ISNUMBER(MATCH(R369,'Live Medal Table'!$B$2:$B$94,0)),XLOOKUP(R369,'Live Medal Table'!$B$2:$B$94,Countries!$I$2:$I$72,FALSE)),FALSE))</f>
        <v>0</v>
      </c>
    </row>
    <row r="370" ht="15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29"/>
      <c r="M370" s="29"/>
      <c r="N370" s="29" t="str">
        <f t="array" ref="N370">IFERROR(IF(INDEX(Entries!$C$2:$C$47,47)="","",INDEX(Entries!$Q$2:$Q$47,47)),"")</f>
        <v/>
      </c>
      <c r="O370" s="29" t="str">
        <f t="array" ref="O370">IF(N370="","",IFERROR(INDEX(Entries!$E$2:$E$47,47),""))</f>
        <v/>
      </c>
      <c r="P370" s="29" t="str">
        <f>IF(N370="","","Tier1_Pick1")</f>
        <v/>
      </c>
      <c r="Q370" s="29" t="str">
        <f>IF(N370="","",1)</f>
        <v/>
      </c>
      <c r="R370" s="29" t="str">
        <f t="array" ref="R370">IF(N370="","",IFERROR(INDEX(Entries!$F$2:$F$47,47),""))</f>
        <v/>
      </c>
      <c r="S370" s="29" t="str">
        <f t="array" ref="S370">IF(R370="","",IFERROR(XLOOKUP(R370,'Live Medal Table'!$B$2:$B$94,'Live Medal Table'!$C$2:$C$94,"???"),"???"))</f>
        <v/>
      </c>
      <c r="T370" s="29">
        <f t="array" ref="T370">IF(R370="",0,IFERROR(XLOOKUP(R370,'Live Medal Table'!$B$2:$B$94,'Live Medal Table'!$F$2:$F$94,0),0))</f>
        <v>0</v>
      </c>
      <c r="U370" s="29">
        <f t="array" ref="U370">IF(R370="",0,IFERROR(XLOOKUP(R370,'Live Medal Table'!$B$2:$B$94,'Live Medal Table'!$G$2:$G$94,0),0))</f>
        <v>0</v>
      </c>
      <c r="V370" s="29">
        <f t="array" ref="V370">IF(R370="",0,IFERROR(XLOOKUP(R370,'Live Medal Table'!$B$2:$B$94,'Live Medal Table'!$H$2:$H$94,0),0))</f>
        <v>0</v>
      </c>
      <c r="W370" s="29">
        <f t="array" ref="W370">IF(R370="",0,IFERROR(XLOOKUP(R370,'Live Medal Table'!$B$2:$B$94,'Live Medal Table'!$I$2:$I$94,0),0))</f>
        <v>0</v>
      </c>
      <c r="X370" s="29">
        <f t="shared" si="1"/>
        <v>0</v>
      </c>
      <c r="Y370" s="29">
        <f t="shared" si="2"/>
        <v>0</v>
      </c>
      <c r="Z370" s="29">
        <f t="shared" si="3"/>
        <v>0</v>
      </c>
      <c r="AA370" s="29">
        <f t="shared" si="4"/>
        <v>0</v>
      </c>
      <c r="AB370" s="29" t="b">
        <f t="array" ref="AB370">IF(R370="",FALSE,IFERROR(AND(ISNUMBER(MATCH(R370,'Live Medal Table'!$B$2:$B$94,0)),XLOOKUP(R370,'Live Medal Table'!$B$2:$B$94,Countries!$I$2:$I$72,FALSE)),FALSE))</f>
        <v>0</v>
      </c>
    </row>
    <row r="371" ht="15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29"/>
      <c r="M371" s="29"/>
      <c r="N371" s="29" t="str">
        <f t="array" ref="N371">IFERROR(IF(INDEX(Entries!$C$2:$C$47,47)="","",INDEX(Entries!$Q$2:$Q$47,47)),"")</f>
        <v/>
      </c>
      <c r="O371" s="29" t="str">
        <f t="array" ref="O371">IF(N371="","",IFERROR(INDEX(Entries!$E$2:$E$47,47),""))</f>
        <v/>
      </c>
      <c r="P371" s="29" t="str">
        <f>IF(N371="","","Tier2_Pick1")</f>
        <v/>
      </c>
      <c r="Q371" s="29" t="str">
        <f t="shared" ref="Q371:Q372" si="97">IF(N371="","",2)</f>
        <v/>
      </c>
      <c r="R371" s="29" t="str">
        <f t="array" ref="R371">IF(N371="","",IFERROR(INDEX(Entries!$M$2:$M$47,47),""))</f>
        <v/>
      </c>
      <c r="S371" s="29" t="str">
        <f t="array" ref="S371">IF(R371="","",IFERROR(XLOOKUP(R371,'Live Medal Table'!$B$2:$B$94,'Live Medal Table'!$C$2:$C$94,"???"),"???"))</f>
        <v/>
      </c>
      <c r="T371" s="29">
        <f t="array" ref="T371">IF(R371="",0,IFERROR(XLOOKUP(R371,'Live Medal Table'!$B$2:$B$94,'Live Medal Table'!$F$2:$F$94,0),0))</f>
        <v>0</v>
      </c>
      <c r="U371" s="29">
        <f t="array" ref="U371">IF(R371="",0,IFERROR(XLOOKUP(R371,'Live Medal Table'!$B$2:$B$94,'Live Medal Table'!$G$2:$G$94,0),0))</f>
        <v>0</v>
      </c>
      <c r="V371" s="29">
        <f t="array" ref="V371">IF(R371="",0,IFERROR(XLOOKUP(R371,'Live Medal Table'!$B$2:$B$94,'Live Medal Table'!$H$2:$H$94,0),0))</f>
        <v>0</v>
      </c>
      <c r="W371" s="29">
        <f t="array" ref="W371">IF(R371="",0,IFERROR(XLOOKUP(R371,'Live Medal Table'!$B$2:$B$94,'Live Medal Table'!$I$2:$I$94,0),0))</f>
        <v>0</v>
      </c>
      <c r="X371" s="29">
        <f t="shared" si="1"/>
        <v>0</v>
      </c>
      <c r="Y371" s="29">
        <f t="shared" si="2"/>
        <v>0</v>
      </c>
      <c r="Z371" s="29">
        <f t="shared" si="3"/>
        <v>0</v>
      </c>
      <c r="AA371" s="29">
        <f t="shared" si="4"/>
        <v>0</v>
      </c>
      <c r="AB371" s="29" t="b">
        <f t="array" ref="AB371">IF(R371="",FALSE,IFERROR(AND(ISNUMBER(MATCH(R371,'Live Medal Table'!$B$2:$B$94,0)),XLOOKUP(R371,'Live Medal Table'!$B$2:$B$94,Countries!$I$2:$I$72,FALSE)),FALSE))</f>
        <v>0</v>
      </c>
    </row>
    <row r="372" ht="15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29"/>
      <c r="M372" s="29"/>
      <c r="N372" s="29" t="str">
        <f t="array" ref="N372">IFERROR(IF(INDEX(Entries!$C$2:$C$47,47)="","",INDEX(Entries!$Q$2:$Q$47,47)),"")</f>
        <v/>
      </c>
      <c r="O372" s="29" t="str">
        <f t="array" ref="O372">IF(N372="","",IFERROR(INDEX(Entries!$E$2:$E$47,47),""))</f>
        <v/>
      </c>
      <c r="P372" s="29" t="str">
        <f>IF(N372="","","Tier2_Pick2")</f>
        <v/>
      </c>
      <c r="Q372" s="29" t="str">
        <f t="shared" si="97"/>
        <v/>
      </c>
      <c r="R372" s="29" t="str">
        <f t="array" ref="R372">IF(N372="","",IFERROR(INDEX(Entries!$N$2:$N$47,47),""))</f>
        <v/>
      </c>
      <c r="S372" s="29" t="str">
        <f t="array" ref="S372">IF(R372="","",IFERROR(XLOOKUP(R372,'Live Medal Table'!$B$2:$B$94,'Live Medal Table'!$C$2:$C$94,"???"),"???"))</f>
        <v/>
      </c>
      <c r="T372" s="29">
        <f t="array" ref="T372">IF(R372="",0,IFERROR(XLOOKUP(R372,'Live Medal Table'!$B$2:$B$94,'Live Medal Table'!$F$2:$F$94,0),0))</f>
        <v>0</v>
      </c>
      <c r="U372" s="29">
        <f t="array" ref="U372">IF(R372="",0,IFERROR(XLOOKUP(R372,'Live Medal Table'!$B$2:$B$94,'Live Medal Table'!$G$2:$G$94,0),0))</f>
        <v>0</v>
      </c>
      <c r="V372" s="29">
        <f t="array" ref="V372">IF(R372="",0,IFERROR(XLOOKUP(R372,'Live Medal Table'!$B$2:$B$94,'Live Medal Table'!$H$2:$H$94,0),0))</f>
        <v>0</v>
      </c>
      <c r="W372" s="29">
        <f t="array" ref="W372">IF(R372="",0,IFERROR(XLOOKUP(R372,'Live Medal Table'!$B$2:$B$94,'Live Medal Table'!$I$2:$I$94,0),0))</f>
        <v>0</v>
      </c>
      <c r="X372" s="29">
        <f t="shared" si="1"/>
        <v>0</v>
      </c>
      <c r="Y372" s="29">
        <f t="shared" si="2"/>
        <v>0</v>
      </c>
      <c r="Z372" s="29">
        <f t="shared" si="3"/>
        <v>0</v>
      </c>
      <c r="AA372" s="29">
        <f t="shared" si="4"/>
        <v>0</v>
      </c>
      <c r="AB372" s="29" t="b">
        <f t="array" ref="AB372">IF(R372="",FALSE,IFERROR(AND(ISNUMBER(MATCH(R372,'Live Medal Table'!$B$2:$B$94,0)),XLOOKUP(R372,'Live Medal Table'!$B$2:$B$94,Countries!$I$2:$I$72,FALSE)),FALSE))</f>
        <v>0</v>
      </c>
    </row>
    <row r="373" ht="15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29"/>
      <c r="M373" s="29"/>
      <c r="N373" s="29" t="str">
        <f t="array" ref="N373">IFERROR(IF(INDEX(Entries!$C$2:$C$47,47)="","",INDEX(Entries!$Q$2:$Q$47,47)),"")</f>
        <v/>
      </c>
      <c r="O373" s="29" t="str">
        <f t="array" ref="O373">IF(N373="","",IFERROR(INDEX(Entries!$E$2:$E$47,47),""))</f>
        <v/>
      </c>
      <c r="P373" s="29" t="str">
        <f>IF(N373="","","Tier3_Pick1")</f>
        <v/>
      </c>
      <c r="Q373" s="29" t="str">
        <f>IF(N373="","",3)</f>
        <v/>
      </c>
      <c r="R373" s="29" t="str">
        <f t="array" ref="R373">IF(N373="","",IFERROR(INDEX(Entries!$H$2:$H$47,47),""))</f>
        <v/>
      </c>
      <c r="S373" s="29" t="str">
        <f t="array" ref="S373">IF(R373="","",IFERROR(XLOOKUP(R373,'Live Medal Table'!$B$2:$B$94,'Live Medal Table'!$C$2:$C$94,"???"),"???"))</f>
        <v/>
      </c>
      <c r="T373" s="29">
        <f t="array" ref="T373">IF(R373="",0,IFERROR(XLOOKUP(R373,'Live Medal Table'!$B$2:$B$94,'Live Medal Table'!$F$2:$F$94,0),0))</f>
        <v>0</v>
      </c>
      <c r="U373" s="29">
        <f t="array" ref="U373">IF(R373="",0,IFERROR(XLOOKUP(R373,'Live Medal Table'!$B$2:$B$94,'Live Medal Table'!$G$2:$G$94,0),0))</f>
        <v>0</v>
      </c>
      <c r="V373" s="29">
        <f t="array" ref="V373">IF(R373="",0,IFERROR(XLOOKUP(R373,'Live Medal Table'!$B$2:$B$94,'Live Medal Table'!$H$2:$H$94,0),0))</f>
        <v>0</v>
      </c>
      <c r="W373" s="29">
        <f t="array" ref="W373">IF(R373="",0,IFERROR(XLOOKUP(R373,'Live Medal Table'!$B$2:$B$94,'Live Medal Table'!$I$2:$I$94,0),0))</f>
        <v>0</v>
      </c>
      <c r="X373" s="29">
        <f t="shared" si="1"/>
        <v>0</v>
      </c>
      <c r="Y373" s="29">
        <f t="shared" si="2"/>
        <v>0</v>
      </c>
      <c r="Z373" s="29">
        <f t="shared" si="3"/>
        <v>0</v>
      </c>
      <c r="AA373" s="29">
        <f t="shared" si="4"/>
        <v>0</v>
      </c>
      <c r="AB373" s="29" t="b">
        <f t="array" ref="AB373">IF(R373="",FALSE,IFERROR(AND(ISNUMBER(MATCH(R373,'Live Medal Table'!$B$2:$B$94,0)),XLOOKUP(R373,'Live Medal Table'!$B$2:$B$94,Countries!$I$2:$I$72,FALSE)),FALSE))</f>
        <v>0</v>
      </c>
    </row>
    <row r="374" ht="15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29"/>
      <c r="M374" s="29"/>
      <c r="N374" s="29" t="str">
        <f t="array" ref="N374">IFERROR(IF(INDEX(Entries!$C$2:$C$47,47)="","",INDEX(Entries!$Q$2:$Q$47,47)),"")</f>
        <v/>
      </c>
      <c r="O374" s="29" t="str">
        <f t="array" ref="O374">IF(N374="","",IFERROR(INDEX(Entries!$E$2:$E$47,47),""))</f>
        <v/>
      </c>
      <c r="P374" s="29" t="str">
        <f>IF(N374="","","Tier4_Pick1")</f>
        <v/>
      </c>
      <c r="Q374" s="29" t="str">
        <f>IF(N374="","",4)</f>
        <v/>
      </c>
      <c r="R374" s="29" t="str">
        <f t="array" ref="R374">IF(N374="","",IFERROR(INDEX(Entries!$I$2:$I$47,47),""))</f>
        <v/>
      </c>
      <c r="S374" s="29" t="str">
        <f t="array" ref="S374">IF(R374="","",IFERROR(XLOOKUP(R374,'Live Medal Table'!$B$2:$B$94,'Live Medal Table'!$C$2:$C$94,"???"),"???"))</f>
        <v/>
      </c>
      <c r="T374" s="29">
        <f t="array" ref="T374">IF(R374="",0,IFERROR(XLOOKUP(R374,'Live Medal Table'!$B$2:$B$94,'Live Medal Table'!$F$2:$F$94,0),0))</f>
        <v>0</v>
      </c>
      <c r="U374" s="29">
        <f t="array" ref="U374">IF(R374="",0,IFERROR(XLOOKUP(R374,'Live Medal Table'!$B$2:$B$94,'Live Medal Table'!$G$2:$G$94,0),0))</f>
        <v>0</v>
      </c>
      <c r="V374" s="29">
        <f t="array" ref="V374">IF(R374="",0,IFERROR(XLOOKUP(R374,'Live Medal Table'!$B$2:$B$94,'Live Medal Table'!$H$2:$H$94,0),0))</f>
        <v>0</v>
      </c>
      <c r="W374" s="29">
        <f t="array" ref="W374">IF(R374="",0,IFERROR(XLOOKUP(R374,'Live Medal Table'!$B$2:$B$94,'Live Medal Table'!$I$2:$I$94,0),0))</f>
        <v>0</v>
      </c>
      <c r="X374" s="29">
        <f t="shared" si="1"/>
        <v>0</v>
      </c>
      <c r="Y374" s="29">
        <f t="shared" si="2"/>
        <v>0</v>
      </c>
      <c r="Z374" s="29">
        <f t="shared" si="3"/>
        <v>0</v>
      </c>
      <c r="AA374" s="29">
        <f t="shared" si="4"/>
        <v>0</v>
      </c>
      <c r="AB374" s="29" t="b">
        <f t="array" ref="AB374">IF(R374="",FALSE,IFERROR(AND(ISNUMBER(MATCH(R374,'Live Medal Table'!$B$2:$B$94,0)),XLOOKUP(R374,'Live Medal Table'!$B$2:$B$94,Countries!$I$2:$I$72,FALSE)),FALSE))</f>
        <v>0</v>
      </c>
    </row>
    <row r="375" ht="15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29"/>
      <c r="M375" s="29"/>
      <c r="N375" s="29" t="str">
        <f t="array" ref="N375">IFERROR(IF(INDEX(Entries!$C$2:$C$47,47)="","",INDEX(Entries!$Q$2:$Q$47,47)),"")</f>
        <v/>
      </c>
      <c r="O375" s="29" t="str">
        <f t="array" ref="O375">IF(N375="","",IFERROR(INDEX(Entries!$E$2:$E$47,47),""))</f>
        <v/>
      </c>
      <c r="P375" s="29" t="str">
        <f>IF(N375="","","Tier5_Pick1")</f>
        <v/>
      </c>
      <c r="Q375" s="29" t="str">
        <f>IF(N375="","",5)</f>
        <v/>
      </c>
      <c r="R375" s="29" t="str">
        <f t="array" ref="R375">IF(N375="","",IFERROR(INDEX(Entries!$J$2:$J$47,47),""))</f>
        <v/>
      </c>
      <c r="S375" s="29" t="str">
        <f t="array" ref="S375">IF(R375="","",IFERROR(XLOOKUP(R375,'Live Medal Table'!$B$2:$B$94,'Live Medal Table'!$C$2:$C$94,"???"),"???"))</f>
        <v/>
      </c>
      <c r="T375" s="29">
        <f t="array" ref="T375">IF(R375="",0,IFERROR(XLOOKUP(R375,'Live Medal Table'!$B$2:$B$94,'Live Medal Table'!$F$2:$F$94,0),0))</f>
        <v>0</v>
      </c>
      <c r="U375" s="29">
        <f t="array" ref="U375">IF(R375="",0,IFERROR(XLOOKUP(R375,'Live Medal Table'!$B$2:$B$94,'Live Medal Table'!$G$2:$G$94,0),0))</f>
        <v>0</v>
      </c>
      <c r="V375" s="29">
        <f t="array" ref="V375">IF(R375="",0,IFERROR(XLOOKUP(R375,'Live Medal Table'!$B$2:$B$94,'Live Medal Table'!$H$2:$H$94,0),0))</f>
        <v>0</v>
      </c>
      <c r="W375" s="29">
        <f t="array" ref="W375">IF(R375="",0,IFERROR(XLOOKUP(R375,'Live Medal Table'!$B$2:$B$94,'Live Medal Table'!$I$2:$I$94,0),0))</f>
        <v>0</v>
      </c>
      <c r="X375" s="29">
        <f t="shared" si="1"/>
        <v>0</v>
      </c>
      <c r="Y375" s="29">
        <f t="shared" si="2"/>
        <v>0</v>
      </c>
      <c r="Z375" s="29">
        <f t="shared" si="3"/>
        <v>0</v>
      </c>
      <c r="AA375" s="29">
        <f t="shared" si="4"/>
        <v>0</v>
      </c>
      <c r="AB375" s="29" t="b">
        <f t="array" ref="AB375">IF(R375="",FALSE,IFERROR(AND(ISNUMBER(MATCH(R375,'Live Medal Table'!$B$2:$B$94,0)),XLOOKUP(R375,'Live Medal Table'!$B$2:$B$94,Countries!$I$2:$I$72,FALSE)),FALSE))</f>
        <v>0</v>
      </c>
    </row>
    <row r="376" ht="15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29"/>
      <c r="M376" s="29"/>
      <c r="N376" s="29" t="str">
        <f t="array" ref="N376">IFERROR(IF(INDEX(Entries!$C$2:$C$47,47)="","",INDEX(Entries!$Q$2:$Q$47,47)),"")</f>
        <v/>
      </c>
      <c r="O376" s="29" t="str">
        <f t="array" ref="O376">IF(N376="","",IFERROR(INDEX(Entries!$E$2:$E$47,47),""))</f>
        <v/>
      </c>
      <c r="P376" s="29" t="str">
        <f>IF(N376="","","Tier6_Pick1")</f>
        <v/>
      </c>
      <c r="Q376" s="29" t="str">
        <f t="shared" ref="Q376:Q377" si="98">IF(N376="","",6)</f>
        <v/>
      </c>
      <c r="R376" s="29" t="str">
        <f t="array" ref="R376">IF(N376="","",IFERROR(INDEX(Entries!$O$2:$O$47,47),""))</f>
        <v/>
      </c>
      <c r="S376" s="29" t="str">
        <f t="array" ref="S376">IF(R376="","",IFERROR(XLOOKUP(R376,'Live Medal Table'!$B$2:$B$94,'Live Medal Table'!$C$2:$C$94,"???"),"???"))</f>
        <v/>
      </c>
      <c r="T376" s="29">
        <f t="array" ref="T376">IF(R376="",0,IFERROR(XLOOKUP(R376,'Live Medal Table'!$B$2:$B$94,'Live Medal Table'!$F$2:$F$94,0),0))</f>
        <v>0</v>
      </c>
      <c r="U376" s="29">
        <f t="array" ref="U376">IF(R376="",0,IFERROR(XLOOKUP(R376,'Live Medal Table'!$B$2:$B$94,'Live Medal Table'!$G$2:$G$94,0),0))</f>
        <v>0</v>
      </c>
      <c r="V376" s="29">
        <f t="array" ref="V376">IF(R376="",0,IFERROR(XLOOKUP(R376,'Live Medal Table'!$B$2:$B$94,'Live Medal Table'!$H$2:$H$94,0),0))</f>
        <v>0</v>
      </c>
      <c r="W376" s="29">
        <f t="array" ref="W376">IF(R376="",0,IFERROR(XLOOKUP(R376,'Live Medal Table'!$B$2:$B$94,'Live Medal Table'!$I$2:$I$94,0),0))</f>
        <v>0</v>
      </c>
      <c r="X376" s="29">
        <f t="shared" si="1"/>
        <v>0</v>
      </c>
      <c r="Y376" s="29">
        <f t="shared" si="2"/>
        <v>0</v>
      </c>
      <c r="Z376" s="29">
        <f t="shared" si="3"/>
        <v>0</v>
      </c>
      <c r="AA376" s="29">
        <f t="shared" si="4"/>
        <v>0</v>
      </c>
      <c r="AB376" s="29" t="b">
        <f t="array" ref="AB376">IF(R376="",FALSE,IFERROR(AND(ISNUMBER(MATCH(R376,'Live Medal Table'!$B$2:$B$94,0)),XLOOKUP(R376,'Live Medal Table'!$B$2:$B$94,Countries!$I$2:$I$72,FALSE)),FALSE))</f>
        <v>0</v>
      </c>
    </row>
    <row r="377" ht="15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29"/>
      <c r="M377" s="29"/>
      <c r="N377" s="29" t="str">
        <f t="array" ref="N377">IFERROR(IF(INDEX(Entries!$C$2:$C$47,47)="","",INDEX(Entries!$Q$2:$Q$47,47)),"")</f>
        <v/>
      </c>
      <c r="O377" s="29" t="str">
        <f t="array" ref="O377">IF(N377="","",IFERROR(INDEX(Entries!$E$2:$E$47,47),""))</f>
        <v/>
      </c>
      <c r="P377" s="29" t="str">
        <f>IF(N377="","","Tier6_Pick2")</f>
        <v/>
      </c>
      <c r="Q377" s="29" t="str">
        <f t="shared" si="98"/>
        <v/>
      </c>
      <c r="R377" s="29" t="str">
        <f t="array" ref="R377">IF(N377="","",IFERROR(INDEX(Entries!$P$2:$P$47,47),""))</f>
        <v/>
      </c>
      <c r="S377" s="29" t="str">
        <f t="array" ref="S377">IF(R377="","",IFERROR(XLOOKUP(R377,'Live Medal Table'!$B$2:$B$94,'Live Medal Table'!$C$2:$C$94,"???"),"???"))</f>
        <v/>
      </c>
      <c r="T377" s="29">
        <f t="array" ref="T377">IF(R377="",0,IFERROR(XLOOKUP(R377,'Live Medal Table'!$B$2:$B$94,'Live Medal Table'!$F$2:$F$94,0),0))</f>
        <v>0</v>
      </c>
      <c r="U377" s="29">
        <f t="array" ref="U377">IF(R377="",0,IFERROR(XLOOKUP(R377,'Live Medal Table'!$B$2:$B$94,'Live Medal Table'!$G$2:$G$94,0),0))</f>
        <v>0</v>
      </c>
      <c r="V377" s="29">
        <f t="array" ref="V377">IF(R377="",0,IFERROR(XLOOKUP(R377,'Live Medal Table'!$B$2:$B$94,'Live Medal Table'!$H$2:$H$94,0),0))</f>
        <v>0</v>
      </c>
      <c r="W377" s="29">
        <f t="array" ref="W377">IF(R377="",0,IFERROR(XLOOKUP(R377,'Live Medal Table'!$B$2:$B$94,'Live Medal Table'!$I$2:$I$94,0),0))</f>
        <v>0</v>
      </c>
      <c r="X377" s="29">
        <f t="shared" si="1"/>
        <v>0</v>
      </c>
      <c r="Y377" s="29">
        <f t="shared" si="2"/>
        <v>0</v>
      </c>
      <c r="Z377" s="29">
        <f t="shared" si="3"/>
        <v>0</v>
      </c>
      <c r="AA377" s="29">
        <f t="shared" si="4"/>
        <v>0</v>
      </c>
      <c r="AB377" s="29" t="b">
        <f t="array" ref="AB377">IF(R377="",FALSE,IFERROR(AND(ISNUMBER(MATCH(R377,'Live Medal Table'!$B$2:$B$94,0)),XLOOKUP(R377,'Live Medal Table'!$B$2:$B$94,Countries!$I$2:$I$72,FALSE)),FALSE))</f>
        <v>0</v>
      </c>
    </row>
    <row r="378" ht="15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29"/>
      <c r="M378" s="29"/>
      <c r="N378" s="29" t="str">
        <f t="array" ref="N378">IFERROR(IF(INDEX(Entries!$C$2:$C$47,48)="","",INDEX(Entries!$Q$2:$Q$47,48)),"")</f>
        <v/>
      </c>
      <c r="O378" s="29" t="str">
        <f t="array" ref="O378">IF(N378="","",IFERROR(INDEX(Entries!$E$2:$E$47,48),""))</f>
        <v/>
      </c>
      <c r="P378" s="29" t="str">
        <f>IF(N378="","","Tier1_Pick1")</f>
        <v/>
      </c>
      <c r="Q378" s="29" t="str">
        <f>IF(N378="","",1)</f>
        <v/>
      </c>
      <c r="R378" s="29" t="str">
        <f t="array" ref="R378">IF(N378="","",IFERROR(INDEX(Entries!$F$2:$F$47,48),""))</f>
        <v/>
      </c>
      <c r="S378" s="29" t="str">
        <f t="array" ref="S378">IF(R378="","",IFERROR(XLOOKUP(R378,'Live Medal Table'!$B$2:$B$94,'Live Medal Table'!$C$2:$C$94,"???"),"???"))</f>
        <v/>
      </c>
      <c r="T378" s="29">
        <f t="array" ref="T378">IF(R378="",0,IFERROR(XLOOKUP(R378,'Live Medal Table'!$B$2:$B$94,'Live Medal Table'!$F$2:$F$94,0),0))</f>
        <v>0</v>
      </c>
      <c r="U378" s="29">
        <f t="array" ref="U378">IF(R378="",0,IFERROR(XLOOKUP(R378,'Live Medal Table'!$B$2:$B$94,'Live Medal Table'!$G$2:$G$94,0),0))</f>
        <v>0</v>
      </c>
      <c r="V378" s="29">
        <f t="array" ref="V378">IF(R378="",0,IFERROR(XLOOKUP(R378,'Live Medal Table'!$B$2:$B$94,'Live Medal Table'!$H$2:$H$94,0),0))</f>
        <v>0</v>
      </c>
      <c r="W378" s="29">
        <f t="array" ref="W378">IF(R378="",0,IFERROR(XLOOKUP(R378,'Live Medal Table'!$B$2:$B$94,'Live Medal Table'!$I$2:$I$94,0),0))</f>
        <v>0</v>
      </c>
      <c r="X378" s="29">
        <f t="shared" si="1"/>
        <v>0</v>
      </c>
      <c r="Y378" s="29">
        <f t="shared" si="2"/>
        <v>0</v>
      </c>
      <c r="Z378" s="29">
        <f t="shared" si="3"/>
        <v>0</v>
      </c>
      <c r="AA378" s="29">
        <f t="shared" si="4"/>
        <v>0</v>
      </c>
      <c r="AB378" s="29" t="b">
        <f t="array" ref="AB378">IF(R378="",FALSE,IFERROR(AND(ISNUMBER(MATCH(R378,'Live Medal Table'!$B$2:$B$94,0)),XLOOKUP(R378,'Live Medal Table'!$B$2:$B$94,Countries!$I$2:$I$72,FALSE)),FALSE))</f>
        <v>0</v>
      </c>
    </row>
    <row r="379" ht="15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29"/>
      <c r="M379" s="29"/>
      <c r="N379" s="29" t="str">
        <f t="array" ref="N379">IFERROR(IF(INDEX(Entries!$C$2:$C$47,48)="","",INDEX(Entries!$Q$2:$Q$47,48)),"")</f>
        <v/>
      </c>
      <c r="O379" s="29" t="str">
        <f t="array" ref="O379">IF(N379="","",IFERROR(INDEX(Entries!$E$2:$E$47,48),""))</f>
        <v/>
      </c>
      <c r="P379" s="29" t="str">
        <f>IF(N379="","","Tier2_Pick1")</f>
        <v/>
      </c>
      <c r="Q379" s="29" t="str">
        <f t="shared" ref="Q379:Q380" si="99">IF(N379="","",2)</f>
        <v/>
      </c>
      <c r="R379" s="29" t="str">
        <f t="array" ref="R379">IF(N379="","",IFERROR(INDEX(Entries!$M$2:$M$47,48),""))</f>
        <v/>
      </c>
      <c r="S379" s="29" t="str">
        <f t="array" ref="S379">IF(R379="","",IFERROR(XLOOKUP(R379,'Live Medal Table'!$B$2:$B$94,'Live Medal Table'!$C$2:$C$94,"???"),"???"))</f>
        <v/>
      </c>
      <c r="T379" s="29">
        <f t="array" ref="T379">IF(R379="",0,IFERROR(XLOOKUP(R379,'Live Medal Table'!$B$2:$B$94,'Live Medal Table'!$F$2:$F$94,0),0))</f>
        <v>0</v>
      </c>
      <c r="U379" s="29">
        <f t="array" ref="U379">IF(R379="",0,IFERROR(XLOOKUP(R379,'Live Medal Table'!$B$2:$B$94,'Live Medal Table'!$G$2:$G$94,0),0))</f>
        <v>0</v>
      </c>
      <c r="V379" s="29">
        <f t="array" ref="V379">IF(R379="",0,IFERROR(XLOOKUP(R379,'Live Medal Table'!$B$2:$B$94,'Live Medal Table'!$H$2:$H$94,0),0))</f>
        <v>0</v>
      </c>
      <c r="W379" s="29">
        <f t="array" ref="W379">IF(R379="",0,IFERROR(XLOOKUP(R379,'Live Medal Table'!$B$2:$B$94,'Live Medal Table'!$I$2:$I$94,0),0))</f>
        <v>0</v>
      </c>
      <c r="X379" s="29">
        <f t="shared" si="1"/>
        <v>0</v>
      </c>
      <c r="Y379" s="29">
        <f t="shared" si="2"/>
        <v>0</v>
      </c>
      <c r="Z379" s="29">
        <f t="shared" si="3"/>
        <v>0</v>
      </c>
      <c r="AA379" s="29">
        <f t="shared" si="4"/>
        <v>0</v>
      </c>
      <c r="AB379" s="29" t="b">
        <f t="array" ref="AB379">IF(R379="",FALSE,IFERROR(AND(ISNUMBER(MATCH(R379,'Live Medal Table'!$B$2:$B$94,0)),XLOOKUP(R379,'Live Medal Table'!$B$2:$B$94,Countries!$I$2:$I$72,FALSE)),FALSE))</f>
        <v>0</v>
      </c>
    </row>
    <row r="380" ht="15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29"/>
      <c r="M380" s="29"/>
      <c r="N380" s="29" t="str">
        <f t="array" ref="N380">IFERROR(IF(INDEX(Entries!$C$2:$C$47,48)="","",INDEX(Entries!$Q$2:$Q$47,48)),"")</f>
        <v/>
      </c>
      <c r="O380" s="29" t="str">
        <f t="array" ref="O380">IF(N380="","",IFERROR(INDEX(Entries!$E$2:$E$47,48),""))</f>
        <v/>
      </c>
      <c r="P380" s="29" t="str">
        <f>IF(N380="","","Tier2_Pick2")</f>
        <v/>
      </c>
      <c r="Q380" s="29" t="str">
        <f t="shared" si="99"/>
        <v/>
      </c>
      <c r="R380" s="29" t="str">
        <f t="array" ref="R380">IF(N380="","",IFERROR(INDEX(Entries!$N$2:$N$47,48),""))</f>
        <v/>
      </c>
      <c r="S380" s="29" t="str">
        <f t="array" ref="S380">IF(R380="","",IFERROR(XLOOKUP(R380,'Live Medal Table'!$B$2:$B$94,'Live Medal Table'!$C$2:$C$94,"???"),"???"))</f>
        <v/>
      </c>
      <c r="T380" s="29">
        <f t="array" ref="T380">IF(R380="",0,IFERROR(XLOOKUP(R380,'Live Medal Table'!$B$2:$B$94,'Live Medal Table'!$F$2:$F$94,0),0))</f>
        <v>0</v>
      </c>
      <c r="U380" s="29">
        <f t="array" ref="U380">IF(R380="",0,IFERROR(XLOOKUP(R380,'Live Medal Table'!$B$2:$B$94,'Live Medal Table'!$G$2:$G$94,0),0))</f>
        <v>0</v>
      </c>
      <c r="V380" s="29">
        <f t="array" ref="V380">IF(R380="",0,IFERROR(XLOOKUP(R380,'Live Medal Table'!$B$2:$B$94,'Live Medal Table'!$H$2:$H$94,0),0))</f>
        <v>0</v>
      </c>
      <c r="W380" s="29">
        <f t="array" ref="W380">IF(R380="",0,IFERROR(XLOOKUP(R380,'Live Medal Table'!$B$2:$B$94,'Live Medal Table'!$I$2:$I$94,0),0))</f>
        <v>0</v>
      </c>
      <c r="X380" s="29">
        <f t="shared" si="1"/>
        <v>0</v>
      </c>
      <c r="Y380" s="29">
        <f t="shared" si="2"/>
        <v>0</v>
      </c>
      <c r="Z380" s="29">
        <f t="shared" si="3"/>
        <v>0</v>
      </c>
      <c r="AA380" s="29">
        <f t="shared" si="4"/>
        <v>0</v>
      </c>
      <c r="AB380" s="29" t="b">
        <f t="array" ref="AB380">IF(R380="",FALSE,IFERROR(AND(ISNUMBER(MATCH(R380,'Live Medal Table'!$B$2:$B$94,0)),XLOOKUP(R380,'Live Medal Table'!$B$2:$B$94,Countries!$I$2:$I$72,FALSE)),FALSE))</f>
        <v>0</v>
      </c>
    </row>
    <row r="381" ht="15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29"/>
      <c r="M381" s="29"/>
      <c r="N381" s="29" t="str">
        <f t="array" ref="N381">IFERROR(IF(INDEX(Entries!$C$2:$C$47,48)="","",INDEX(Entries!$Q$2:$Q$47,48)),"")</f>
        <v/>
      </c>
      <c r="O381" s="29" t="str">
        <f t="array" ref="O381">IF(N381="","",IFERROR(INDEX(Entries!$E$2:$E$47,48),""))</f>
        <v/>
      </c>
      <c r="P381" s="29" t="str">
        <f>IF(N381="","","Tier3_Pick1")</f>
        <v/>
      </c>
      <c r="Q381" s="29" t="str">
        <f>IF(N381="","",3)</f>
        <v/>
      </c>
      <c r="R381" s="29" t="str">
        <f t="array" ref="R381">IF(N381="","",IFERROR(INDEX(Entries!$H$2:$H$47,48),""))</f>
        <v/>
      </c>
      <c r="S381" s="29" t="str">
        <f t="array" ref="S381">IF(R381="","",IFERROR(XLOOKUP(R381,'Live Medal Table'!$B$2:$B$94,'Live Medal Table'!$C$2:$C$94,"???"),"???"))</f>
        <v/>
      </c>
      <c r="T381" s="29">
        <f t="array" ref="T381">IF(R381="",0,IFERROR(XLOOKUP(R381,'Live Medal Table'!$B$2:$B$94,'Live Medal Table'!$F$2:$F$94,0),0))</f>
        <v>0</v>
      </c>
      <c r="U381" s="29">
        <f t="array" ref="U381">IF(R381="",0,IFERROR(XLOOKUP(R381,'Live Medal Table'!$B$2:$B$94,'Live Medal Table'!$G$2:$G$94,0),0))</f>
        <v>0</v>
      </c>
      <c r="V381" s="29">
        <f t="array" ref="V381">IF(R381="",0,IFERROR(XLOOKUP(R381,'Live Medal Table'!$B$2:$B$94,'Live Medal Table'!$H$2:$H$94,0),0))</f>
        <v>0</v>
      </c>
      <c r="W381" s="29">
        <f t="array" ref="W381">IF(R381="",0,IFERROR(XLOOKUP(R381,'Live Medal Table'!$B$2:$B$94,'Live Medal Table'!$I$2:$I$94,0),0))</f>
        <v>0</v>
      </c>
      <c r="X381" s="29">
        <f t="shared" si="1"/>
        <v>0</v>
      </c>
      <c r="Y381" s="29">
        <f t="shared" si="2"/>
        <v>0</v>
      </c>
      <c r="Z381" s="29">
        <f t="shared" si="3"/>
        <v>0</v>
      </c>
      <c r="AA381" s="29">
        <f t="shared" si="4"/>
        <v>0</v>
      </c>
      <c r="AB381" s="29" t="b">
        <f t="array" ref="AB381">IF(R381="",FALSE,IFERROR(AND(ISNUMBER(MATCH(R381,'Live Medal Table'!$B$2:$B$94,0)),XLOOKUP(R381,'Live Medal Table'!$B$2:$B$94,Countries!$I$2:$I$72,FALSE)),FALSE))</f>
        <v>0</v>
      </c>
    </row>
    <row r="382" ht="15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29"/>
      <c r="M382" s="29"/>
      <c r="N382" s="29" t="str">
        <f t="array" ref="N382">IFERROR(IF(INDEX(Entries!$C$2:$C$47,48)="","",INDEX(Entries!$Q$2:$Q$47,48)),"")</f>
        <v/>
      </c>
      <c r="O382" s="29" t="str">
        <f t="array" ref="O382">IF(N382="","",IFERROR(INDEX(Entries!$E$2:$E$47,48),""))</f>
        <v/>
      </c>
      <c r="P382" s="29" t="str">
        <f>IF(N382="","","Tier4_Pick1")</f>
        <v/>
      </c>
      <c r="Q382" s="29" t="str">
        <f>IF(N382="","",4)</f>
        <v/>
      </c>
      <c r="R382" s="29" t="str">
        <f t="array" ref="R382">IF(N382="","",IFERROR(INDEX(Entries!$I$2:$I$47,48),""))</f>
        <v/>
      </c>
      <c r="S382" s="29" t="str">
        <f t="array" ref="S382">IF(R382="","",IFERROR(XLOOKUP(R382,'Live Medal Table'!$B$2:$B$94,'Live Medal Table'!$C$2:$C$94,"???"),"???"))</f>
        <v/>
      </c>
      <c r="T382" s="29">
        <f t="array" ref="T382">IF(R382="",0,IFERROR(XLOOKUP(R382,'Live Medal Table'!$B$2:$B$94,'Live Medal Table'!$F$2:$F$94,0),0))</f>
        <v>0</v>
      </c>
      <c r="U382" s="29">
        <f t="array" ref="U382">IF(R382="",0,IFERROR(XLOOKUP(R382,'Live Medal Table'!$B$2:$B$94,'Live Medal Table'!$G$2:$G$94,0),0))</f>
        <v>0</v>
      </c>
      <c r="V382" s="29">
        <f t="array" ref="V382">IF(R382="",0,IFERROR(XLOOKUP(R382,'Live Medal Table'!$B$2:$B$94,'Live Medal Table'!$H$2:$H$94,0),0))</f>
        <v>0</v>
      </c>
      <c r="W382" s="29">
        <f t="array" ref="W382">IF(R382="",0,IFERROR(XLOOKUP(R382,'Live Medal Table'!$B$2:$B$94,'Live Medal Table'!$I$2:$I$94,0),0))</f>
        <v>0</v>
      </c>
      <c r="X382" s="29">
        <f t="shared" si="1"/>
        <v>0</v>
      </c>
      <c r="Y382" s="29">
        <f t="shared" si="2"/>
        <v>0</v>
      </c>
      <c r="Z382" s="29">
        <f t="shared" si="3"/>
        <v>0</v>
      </c>
      <c r="AA382" s="29">
        <f t="shared" si="4"/>
        <v>0</v>
      </c>
      <c r="AB382" s="29" t="b">
        <f t="array" ref="AB382">IF(R382="",FALSE,IFERROR(AND(ISNUMBER(MATCH(R382,'Live Medal Table'!$B$2:$B$94,0)),XLOOKUP(R382,'Live Medal Table'!$B$2:$B$94,Countries!$I$2:$I$72,FALSE)),FALSE))</f>
        <v>0</v>
      </c>
    </row>
    <row r="383" ht="15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29"/>
      <c r="M383" s="29"/>
      <c r="N383" s="29" t="str">
        <f t="array" ref="N383">IFERROR(IF(INDEX(Entries!$C$2:$C$47,48)="","",INDEX(Entries!$Q$2:$Q$47,48)),"")</f>
        <v/>
      </c>
      <c r="O383" s="29" t="str">
        <f t="array" ref="O383">IF(N383="","",IFERROR(INDEX(Entries!$E$2:$E$47,48),""))</f>
        <v/>
      </c>
      <c r="P383" s="29" t="str">
        <f>IF(N383="","","Tier5_Pick1")</f>
        <v/>
      </c>
      <c r="Q383" s="29" t="str">
        <f>IF(N383="","",5)</f>
        <v/>
      </c>
      <c r="R383" s="29" t="str">
        <f t="array" ref="R383">IF(N383="","",IFERROR(INDEX(Entries!$J$2:$J$47,48),""))</f>
        <v/>
      </c>
      <c r="S383" s="29" t="str">
        <f t="array" ref="S383">IF(R383="","",IFERROR(XLOOKUP(R383,'Live Medal Table'!$B$2:$B$94,'Live Medal Table'!$C$2:$C$94,"???"),"???"))</f>
        <v/>
      </c>
      <c r="T383" s="29">
        <f t="array" ref="T383">IF(R383="",0,IFERROR(XLOOKUP(R383,'Live Medal Table'!$B$2:$B$94,'Live Medal Table'!$F$2:$F$94,0),0))</f>
        <v>0</v>
      </c>
      <c r="U383" s="29">
        <f t="array" ref="U383">IF(R383="",0,IFERROR(XLOOKUP(R383,'Live Medal Table'!$B$2:$B$94,'Live Medal Table'!$G$2:$G$94,0),0))</f>
        <v>0</v>
      </c>
      <c r="V383" s="29">
        <f t="array" ref="V383">IF(R383="",0,IFERROR(XLOOKUP(R383,'Live Medal Table'!$B$2:$B$94,'Live Medal Table'!$H$2:$H$94,0),0))</f>
        <v>0</v>
      </c>
      <c r="W383" s="29">
        <f t="array" ref="W383">IF(R383="",0,IFERROR(XLOOKUP(R383,'Live Medal Table'!$B$2:$B$94,'Live Medal Table'!$I$2:$I$94,0),0))</f>
        <v>0</v>
      </c>
      <c r="X383" s="29">
        <f t="shared" si="1"/>
        <v>0</v>
      </c>
      <c r="Y383" s="29">
        <f t="shared" si="2"/>
        <v>0</v>
      </c>
      <c r="Z383" s="29">
        <f t="shared" si="3"/>
        <v>0</v>
      </c>
      <c r="AA383" s="29">
        <f t="shared" si="4"/>
        <v>0</v>
      </c>
      <c r="AB383" s="29" t="b">
        <f t="array" ref="AB383">IF(R383="",FALSE,IFERROR(AND(ISNUMBER(MATCH(R383,'Live Medal Table'!$B$2:$B$94,0)),XLOOKUP(R383,'Live Medal Table'!$B$2:$B$94,Countries!$I$2:$I$72,FALSE)),FALSE))</f>
        <v>0</v>
      </c>
    </row>
    <row r="384" ht="15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29"/>
      <c r="M384" s="29"/>
      <c r="N384" s="29" t="str">
        <f t="array" ref="N384">IFERROR(IF(INDEX(Entries!$C$2:$C$47,48)="","",INDEX(Entries!$Q$2:$Q$47,48)),"")</f>
        <v/>
      </c>
      <c r="O384" s="29" t="str">
        <f t="array" ref="O384">IF(N384="","",IFERROR(INDEX(Entries!$E$2:$E$47,48),""))</f>
        <v/>
      </c>
      <c r="P384" s="29" t="str">
        <f>IF(N384="","","Tier6_Pick1")</f>
        <v/>
      </c>
      <c r="Q384" s="29" t="str">
        <f t="shared" ref="Q384:Q385" si="100">IF(N384="","",6)</f>
        <v/>
      </c>
      <c r="R384" s="29" t="str">
        <f t="array" ref="R384">IF(N384="","",IFERROR(INDEX(Entries!$O$2:$O$47,48),""))</f>
        <v/>
      </c>
      <c r="S384" s="29" t="str">
        <f t="array" ref="S384">IF(R384="","",IFERROR(XLOOKUP(R384,'Live Medal Table'!$B$2:$B$94,'Live Medal Table'!$C$2:$C$94,"???"),"???"))</f>
        <v/>
      </c>
      <c r="T384" s="29">
        <f t="array" ref="T384">IF(R384="",0,IFERROR(XLOOKUP(R384,'Live Medal Table'!$B$2:$B$94,'Live Medal Table'!$F$2:$F$94,0),0))</f>
        <v>0</v>
      </c>
      <c r="U384" s="29">
        <f t="array" ref="U384">IF(R384="",0,IFERROR(XLOOKUP(R384,'Live Medal Table'!$B$2:$B$94,'Live Medal Table'!$G$2:$G$94,0),0))</f>
        <v>0</v>
      </c>
      <c r="V384" s="29">
        <f t="array" ref="V384">IF(R384="",0,IFERROR(XLOOKUP(R384,'Live Medal Table'!$B$2:$B$94,'Live Medal Table'!$H$2:$H$94,0),0))</f>
        <v>0</v>
      </c>
      <c r="W384" s="29">
        <f t="array" ref="W384">IF(R384="",0,IFERROR(XLOOKUP(R384,'Live Medal Table'!$B$2:$B$94,'Live Medal Table'!$I$2:$I$94,0),0))</f>
        <v>0</v>
      </c>
      <c r="X384" s="29">
        <f t="shared" si="1"/>
        <v>0</v>
      </c>
      <c r="Y384" s="29">
        <f t="shared" si="2"/>
        <v>0</v>
      </c>
      <c r="Z384" s="29">
        <f t="shared" si="3"/>
        <v>0</v>
      </c>
      <c r="AA384" s="29">
        <f t="shared" si="4"/>
        <v>0</v>
      </c>
      <c r="AB384" s="29" t="b">
        <f t="array" ref="AB384">IF(R384="",FALSE,IFERROR(AND(ISNUMBER(MATCH(R384,'Live Medal Table'!$B$2:$B$94,0)),XLOOKUP(R384,'Live Medal Table'!$B$2:$B$94,Countries!$I$2:$I$72,FALSE)),FALSE))</f>
        <v>0</v>
      </c>
    </row>
    <row r="385" ht="15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29"/>
      <c r="M385" s="29"/>
      <c r="N385" s="29" t="str">
        <f t="array" ref="N385">IFERROR(IF(INDEX(Entries!$C$2:$C$47,48)="","",INDEX(Entries!$Q$2:$Q$47,48)),"")</f>
        <v/>
      </c>
      <c r="O385" s="29" t="str">
        <f t="array" ref="O385">IF(N385="","",IFERROR(INDEX(Entries!$E$2:$E$47,48),""))</f>
        <v/>
      </c>
      <c r="P385" s="29" t="str">
        <f>IF(N385="","","Tier6_Pick2")</f>
        <v/>
      </c>
      <c r="Q385" s="29" t="str">
        <f t="shared" si="100"/>
        <v/>
      </c>
      <c r="R385" s="29" t="str">
        <f t="array" ref="R385">IF(N385="","",IFERROR(INDEX(Entries!$P$2:$P$47,48),""))</f>
        <v/>
      </c>
      <c r="S385" s="29" t="str">
        <f t="array" ref="S385">IF(R385="","",IFERROR(XLOOKUP(R385,'Live Medal Table'!$B$2:$B$94,'Live Medal Table'!$C$2:$C$94,"???"),"???"))</f>
        <v/>
      </c>
      <c r="T385" s="29">
        <f t="array" ref="T385">IF(R385="",0,IFERROR(XLOOKUP(R385,'Live Medal Table'!$B$2:$B$94,'Live Medal Table'!$F$2:$F$94,0),0))</f>
        <v>0</v>
      </c>
      <c r="U385" s="29">
        <f t="array" ref="U385">IF(R385="",0,IFERROR(XLOOKUP(R385,'Live Medal Table'!$B$2:$B$94,'Live Medal Table'!$G$2:$G$94,0),0))</f>
        <v>0</v>
      </c>
      <c r="V385" s="29">
        <f t="array" ref="V385">IF(R385="",0,IFERROR(XLOOKUP(R385,'Live Medal Table'!$B$2:$B$94,'Live Medal Table'!$H$2:$H$94,0),0))</f>
        <v>0</v>
      </c>
      <c r="W385" s="29">
        <f t="array" ref="W385">IF(R385="",0,IFERROR(XLOOKUP(R385,'Live Medal Table'!$B$2:$B$94,'Live Medal Table'!$I$2:$I$94,0),0))</f>
        <v>0</v>
      </c>
      <c r="X385" s="29">
        <f t="shared" si="1"/>
        <v>0</v>
      </c>
      <c r="Y385" s="29">
        <f t="shared" si="2"/>
        <v>0</v>
      </c>
      <c r="Z385" s="29">
        <f t="shared" si="3"/>
        <v>0</v>
      </c>
      <c r="AA385" s="29">
        <f t="shared" si="4"/>
        <v>0</v>
      </c>
      <c r="AB385" s="29" t="b">
        <f t="array" ref="AB385">IF(R385="",FALSE,IFERROR(AND(ISNUMBER(MATCH(R385,'Live Medal Table'!$B$2:$B$94,0)),XLOOKUP(R385,'Live Medal Table'!$B$2:$B$94,Countries!$I$2:$I$72,FALSE)),FALSE))</f>
        <v>0</v>
      </c>
    </row>
    <row r="386" ht="15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29"/>
      <c r="M386" s="29"/>
      <c r="N386" s="29" t="str">
        <f t="array" ref="N386">IFERROR(IF(INDEX(Entries!$C$2:$C$47,49)="","",INDEX(Entries!$Q$2:$Q$47,49)),"")</f>
        <v/>
      </c>
      <c r="O386" s="29" t="str">
        <f t="array" ref="O386">IF(N386="","",IFERROR(INDEX(Entries!$E$2:$E$47,49),""))</f>
        <v/>
      </c>
      <c r="P386" s="29" t="str">
        <f>IF(N386="","","Tier1_Pick1")</f>
        <v/>
      </c>
      <c r="Q386" s="29" t="str">
        <f>IF(N386="","",1)</f>
        <v/>
      </c>
      <c r="R386" s="29" t="str">
        <f t="array" ref="R386">IF(N386="","",IFERROR(INDEX(Entries!$F$2:$F$47,49),""))</f>
        <v/>
      </c>
      <c r="S386" s="29" t="str">
        <f t="array" ref="S386">IF(R386="","",IFERROR(XLOOKUP(R386,'Live Medal Table'!$B$2:$B$94,'Live Medal Table'!$C$2:$C$94,"???"),"???"))</f>
        <v/>
      </c>
      <c r="T386" s="29">
        <f t="array" ref="T386">IF(R386="",0,IFERROR(XLOOKUP(R386,'Live Medal Table'!$B$2:$B$94,'Live Medal Table'!$F$2:$F$94,0),0))</f>
        <v>0</v>
      </c>
      <c r="U386" s="29">
        <f t="array" ref="U386">IF(R386="",0,IFERROR(XLOOKUP(R386,'Live Medal Table'!$B$2:$B$94,'Live Medal Table'!$G$2:$G$94,0),0))</f>
        <v>0</v>
      </c>
      <c r="V386" s="29">
        <f t="array" ref="V386">IF(R386="",0,IFERROR(XLOOKUP(R386,'Live Medal Table'!$B$2:$B$94,'Live Medal Table'!$H$2:$H$94,0),0))</f>
        <v>0</v>
      </c>
      <c r="W386" s="29">
        <f t="array" ref="W386">IF(R386="",0,IFERROR(XLOOKUP(R386,'Live Medal Table'!$B$2:$B$94,'Live Medal Table'!$I$2:$I$94,0),0))</f>
        <v>0</v>
      </c>
      <c r="X386" s="29">
        <f t="shared" si="1"/>
        <v>0</v>
      </c>
      <c r="Y386" s="29">
        <f t="shared" si="2"/>
        <v>0</v>
      </c>
      <c r="Z386" s="29">
        <f t="shared" si="3"/>
        <v>0</v>
      </c>
      <c r="AA386" s="29">
        <f t="shared" si="4"/>
        <v>0</v>
      </c>
      <c r="AB386" s="29" t="b">
        <f t="array" ref="AB386">IF(R386="",FALSE,IFERROR(AND(ISNUMBER(MATCH(R386,'Live Medal Table'!$B$2:$B$94,0)),XLOOKUP(R386,'Live Medal Table'!$B$2:$B$94,Countries!$I$2:$I$72,FALSE)),FALSE))</f>
        <v>0</v>
      </c>
    </row>
    <row r="387" ht="15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29"/>
      <c r="M387" s="29"/>
      <c r="N387" s="29" t="str">
        <f t="array" ref="N387">IFERROR(IF(INDEX(Entries!$C$2:$C$47,49)="","",INDEX(Entries!$Q$2:$Q$47,49)),"")</f>
        <v/>
      </c>
      <c r="O387" s="29" t="str">
        <f t="array" ref="O387">IF(N387="","",IFERROR(INDEX(Entries!$E$2:$E$47,49),""))</f>
        <v/>
      </c>
      <c r="P387" s="29" t="str">
        <f>IF(N387="","","Tier2_Pick1")</f>
        <v/>
      </c>
      <c r="Q387" s="29" t="str">
        <f t="shared" ref="Q387:Q388" si="101">IF(N387="","",2)</f>
        <v/>
      </c>
      <c r="R387" s="29" t="str">
        <f t="array" ref="R387">IF(N387="","",IFERROR(INDEX(Entries!$M$2:$M$47,49),""))</f>
        <v/>
      </c>
      <c r="S387" s="29" t="str">
        <f t="array" ref="S387">IF(R387="","",IFERROR(XLOOKUP(R387,'Live Medal Table'!$B$2:$B$94,'Live Medal Table'!$C$2:$C$94,"???"),"???"))</f>
        <v/>
      </c>
      <c r="T387" s="29">
        <f t="array" ref="T387">IF(R387="",0,IFERROR(XLOOKUP(R387,'Live Medal Table'!$B$2:$B$94,'Live Medal Table'!$F$2:$F$94,0),0))</f>
        <v>0</v>
      </c>
      <c r="U387" s="29">
        <f t="array" ref="U387">IF(R387="",0,IFERROR(XLOOKUP(R387,'Live Medal Table'!$B$2:$B$94,'Live Medal Table'!$G$2:$G$94,0),0))</f>
        <v>0</v>
      </c>
      <c r="V387" s="29">
        <f t="array" ref="V387">IF(R387="",0,IFERROR(XLOOKUP(R387,'Live Medal Table'!$B$2:$B$94,'Live Medal Table'!$H$2:$H$94,0),0))</f>
        <v>0</v>
      </c>
      <c r="W387" s="29">
        <f t="array" ref="W387">IF(R387="",0,IFERROR(XLOOKUP(R387,'Live Medal Table'!$B$2:$B$94,'Live Medal Table'!$I$2:$I$94,0),0))</f>
        <v>0</v>
      </c>
      <c r="X387" s="29">
        <f t="shared" si="1"/>
        <v>0</v>
      </c>
      <c r="Y387" s="29">
        <f t="shared" si="2"/>
        <v>0</v>
      </c>
      <c r="Z387" s="29">
        <f t="shared" si="3"/>
        <v>0</v>
      </c>
      <c r="AA387" s="29">
        <f t="shared" si="4"/>
        <v>0</v>
      </c>
      <c r="AB387" s="29" t="b">
        <f t="array" ref="AB387">IF(R387="",FALSE,IFERROR(AND(ISNUMBER(MATCH(R387,'Live Medal Table'!$B$2:$B$94,0)),XLOOKUP(R387,'Live Medal Table'!$B$2:$B$94,Countries!$I$2:$I$72,FALSE)),FALSE))</f>
        <v>0</v>
      </c>
    </row>
    <row r="388" ht="15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29"/>
      <c r="M388" s="29"/>
      <c r="N388" s="29" t="str">
        <f t="array" ref="N388">IFERROR(IF(INDEX(Entries!$C$2:$C$47,49)="","",INDEX(Entries!$Q$2:$Q$47,49)),"")</f>
        <v/>
      </c>
      <c r="O388" s="29" t="str">
        <f t="array" ref="O388">IF(N388="","",IFERROR(INDEX(Entries!$E$2:$E$47,49),""))</f>
        <v/>
      </c>
      <c r="P388" s="29" t="str">
        <f>IF(N388="","","Tier2_Pick2")</f>
        <v/>
      </c>
      <c r="Q388" s="29" t="str">
        <f t="shared" si="101"/>
        <v/>
      </c>
      <c r="R388" s="29" t="str">
        <f t="array" ref="R388">IF(N388="","",IFERROR(INDEX(Entries!$N$2:$N$47,49),""))</f>
        <v/>
      </c>
      <c r="S388" s="29" t="str">
        <f t="array" ref="S388">IF(R388="","",IFERROR(XLOOKUP(R388,'Live Medal Table'!$B$2:$B$94,'Live Medal Table'!$C$2:$C$94,"???"),"???"))</f>
        <v/>
      </c>
      <c r="T388" s="29">
        <f t="array" ref="T388">IF(R388="",0,IFERROR(XLOOKUP(R388,'Live Medal Table'!$B$2:$B$94,'Live Medal Table'!$F$2:$F$94,0),0))</f>
        <v>0</v>
      </c>
      <c r="U388" s="29">
        <f t="array" ref="U388">IF(R388="",0,IFERROR(XLOOKUP(R388,'Live Medal Table'!$B$2:$B$94,'Live Medal Table'!$G$2:$G$94,0),0))</f>
        <v>0</v>
      </c>
      <c r="V388" s="29">
        <f t="array" ref="V388">IF(R388="",0,IFERROR(XLOOKUP(R388,'Live Medal Table'!$B$2:$B$94,'Live Medal Table'!$H$2:$H$94,0),0))</f>
        <v>0</v>
      </c>
      <c r="W388" s="29">
        <f t="array" ref="W388">IF(R388="",0,IFERROR(XLOOKUP(R388,'Live Medal Table'!$B$2:$B$94,'Live Medal Table'!$I$2:$I$94,0),0))</f>
        <v>0</v>
      </c>
      <c r="X388" s="29">
        <f t="shared" si="1"/>
        <v>0</v>
      </c>
      <c r="Y388" s="29">
        <f t="shared" si="2"/>
        <v>0</v>
      </c>
      <c r="Z388" s="29">
        <f t="shared" si="3"/>
        <v>0</v>
      </c>
      <c r="AA388" s="29">
        <f t="shared" si="4"/>
        <v>0</v>
      </c>
      <c r="AB388" s="29" t="b">
        <f t="array" ref="AB388">IF(R388="",FALSE,IFERROR(AND(ISNUMBER(MATCH(R388,'Live Medal Table'!$B$2:$B$94,0)),XLOOKUP(R388,'Live Medal Table'!$B$2:$B$94,Countries!$I$2:$I$72,FALSE)),FALSE))</f>
        <v>0</v>
      </c>
    </row>
    <row r="389" ht="15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29"/>
      <c r="M389" s="29"/>
      <c r="N389" s="29" t="str">
        <f t="array" ref="N389">IFERROR(IF(INDEX(Entries!$C$2:$C$47,49)="","",INDEX(Entries!$Q$2:$Q$47,49)),"")</f>
        <v/>
      </c>
      <c r="O389" s="29" t="str">
        <f t="array" ref="O389">IF(N389="","",IFERROR(INDEX(Entries!$E$2:$E$47,49),""))</f>
        <v/>
      </c>
      <c r="P389" s="29" t="str">
        <f>IF(N389="","","Tier3_Pick1")</f>
        <v/>
      </c>
      <c r="Q389" s="29" t="str">
        <f>IF(N389="","",3)</f>
        <v/>
      </c>
      <c r="R389" s="29" t="str">
        <f t="array" ref="R389">IF(N389="","",IFERROR(INDEX(Entries!$H$2:$H$47,49),""))</f>
        <v/>
      </c>
      <c r="S389" s="29" t="str">
        <f t="array" ref="S389">IF(R389="","",IFERROR(XLOOKUP(R389,'Live Medal Table'!$B$2:$B$94,'Live Medal Table'!$C$2:$C$94,"???"),"???"))</f>
        <v/>
      </c>
      <c r="T389" s="29">
        <f t="array" ref="T389">IF(R389="",0,IFERROR(XLOOKUP(R389,'Live Medal Table'!$B$2:$B$94,'Live Medal Table'!$F$2:$F$94,0),0))</f>
        <v>0</v>
      </c>
      <c r="U389" s="29">
        <f t="array" ref="U389">IF(R389="",0,IFERROR(XLOOKUP(R389,'Live Medal Table'!$B$2:$B$94,'Live Medal Table'!$G$2:$G$94,0),0))</f>
        <v>0</v>
      </c>
      <c r="V389" s="29">
        <f t="array" ref="V389">IF(R389="",0,IFERROR(XLOOKUP(R389,'Live Medal Table'!$B$2:$B$94,'Live Medal Table'!$H$2:$H$94,0),0))</f>
        <v>0</v>
      </c>
      <c r="W389" s="29">
        <f t="array" ref="W389">IF(R389="",0,IFERROR(XLOOKUP(R389,'Live Medal Table'!$B$2:$B$94,'Live Medal Table'!$I$2:$I$94,0),0))</f>
        <v>0</v>
      </c>
      <c r="X389" s="29">
        <f t="shared" si="1"/>
        <v>0</v>
      </c>
      <c r="Y389" s="29">
        <f t="shared" si="2"/>
        <v>0</v>
      </c>
      <c r="Z389" s="29">
        <f t="shared" si="3"/>
        <v>0</v>
      </c>
      <c r="AA389" s="29">
        <f t="shared" si="4"/>
        <v>0</v>
      </c>
      <c r="AB389" s="29" t="b">
        <f t="array" ref="AB389">IF(R389="",FALSE,IFERROR(AND(ISNUMBER(MATCH(R389,'Live Medal Table'!$B$2:$B$94,0)),XLOOKUP(R389,'Live Medal Table'!$B$2:$B$94,Countries!$I$2:$I$72,FALSE)),FALSE))</f>
        <v>0</v>
      </c>
    </row>
    <row r="390" ht="15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29"/>
      <c r="M390" s="29"/>
      <c r="N390" s="29" t="str">
        <f t="array" ref="N390">IFERROR(IF(INDEX(Entries!$C$2:$C$47,49)="","",INDEX(Entries!$Q$2:$Q$47,49)),"")</f>
        <v/>
      </c>
      <c r="O390" s="29" t="str">
        <f t="array" ref="O390">IF(N390="","",IFERROR(INDEX(Entries!$E$2:$E$47,49),""))</f>
        <v/>
      </c>
      <c r="P390" s="29" t="str">
        <f>IF(N390="","","Tier4_Pick1")</f>
        <v/>
      </c>
      <c r="Q390" s="29" t="str">
        <f>IF(N390="","",4)</f>
        <v/>
      </c>
      <c r="R390" s="29" t="str">
        <f t="array" ref="R390">IF(N390="","",IFERROR(INDEX(Entries!$I$2:$I$47,49),""))</f>
        <v/>
      </c>
      <c r="S390" s="29" t="str">
        <f t="array" ref="S390">IF(R390="","",IFERROR(XLOOKUP(R390,'Live Medal Table'!$B$2:$B$94,'Live Medal Table'!$C$2:$C$94,"???"),"???"))</f>
        <v/>
      </c>
      <c r="T390" s="29">
        <f t="array" ref="T390">IF(R390="",0,IFERROR(XLOOKUP(R390,'Live Medal Table'!$B$2:$B$94,'Live Medal Table'!$F$2:$F$94,0),0))</f>
        <v>0</v>
      </c>
      <c r="U390" s="29">
        <f t="array" ref="U390">IF(R390="",0,IFERROR(XLOOKUP(R390,'Live Medal Table'!$B$2:$B$94,'Live Medal Table'!$G$2:$G$94,0),0))</f>
        <v>0</v>
      </c>
      <c r="V390" s="29">
        <f t="array" ref="V390">IF(R390="",0,IFERROR(XLOOKUP(R390,'Live Medal Table'!$B$2:$B$94,'Live Medal Table'!$H$2:$H$94,0),0))</f>
        <v>0</v>
      </c>
      <c r="W390" s="29">
        <f t="array" ref="W390">IF(R390="",0,IFERROR(XLOOKUP(R390,'Live Medal Table'!$B$2:$B$94,'Live Medal Table'!$I$2:$I$94,0),0))</f>
        <v>0</v>
      </c>
      <c r="X390" s="29">
        <f t="shared" si="1"/>
        <v>0</v>
      </c>
      <c r="Y390" s="29">
        <f t="shared" si="2"/>
        <v>0</v>
      </c>
      <c r="Z390" s="29">
        <f t="shared" si="3"/>
        <v>0</v>
      </c>
      <c r="AA390" s="29">
        <f t="shared" si="4"/>
        <v>0</v>
      </c>
      <c r="AB390" s="29" t="b">
        <f t="array" ref="AB390">IF(R390="",FALSE,IFERROR(AND(ISNUMBER(MATCH(R390,'Live Medal Table'!$B$2:$B$94,0)),XLOOKUP(R390,'Live Medal Table'!$B$2:$B$94,Countries!$I$2:$I$72,FALSE)),FALSE))</f>
        <v>0</v>
      </c>
    </row>
    <row r="391" ht="15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29"/>
      <c r="M391" s="29"/>
      <c r="N391" s="29" t="str">
        <f t="array" ref="N391">IFERROR(IF(INDEX(Entries!$C$2:$C$47,49)="","",INDEX(Entries!$Q$2:$Q$47,49)),"")</f>
        <v/>
      </c>
      <c r="O391" s="29" t="str">
        <f t="array" ref="O391">IF(N391="","",IFERROR(INDEX(Entries!$E$2:$E$47,49),""))</f>
        <v/>
      </c>
      <c r="P391" s="29" t="str">
        <f>IF(N391="","","Tier5_Pick1")</f>
        <v/>
      </c>
      <c r="Q391" s="29" t="str">
        <f>IF(N391="","",5)</f>
        <v/>
      </c>
      <c r="R391" s="29" t="str">
        <f t="array" ref="R391">IF(N391="","",IFERROR(INDEX(Entries!$J$2:$J$47,49),""))</f>
        <v/>
      </c>
      <c r="S391" s="29" t="str">
        <f t="array" ref="S391">IF(R391="","",IFERROR(XLOOKUP(R391,'Live Medal Table'!$B$2:$B$94,'Live Medal Table'!$C$2:$C$94,"???"),"???"))</f>
        <v/>
      </c>
      <c r="T391" s="29">
        <f t="array" ref="T391">IF(R391="",0,IFERROR(XLOOKUP(R391,'Live Medal Table'!$B$2:$B$94,'Live Medal Table'!$F$2:$F$94,0),0))</f>
        <v>0</v>
      </c>
      <c r="U391" s="29">
        <f t="array" ref="U391">IF(R391="",0,IFERROR(XLOOKUP(R391,'Live Medal Table'!$B$2:$B$94,'Live Medal Table'!$G$2:$G$94,0),0))</f>
        <v>0</v>
      </c>
      <c r="V391" s="29">
        <f t="array" ref="V391">IF(R391="",0,IFERROR(XLOOKUP(R391,'Live Medal Table'!$B$2:$B$94,'Live Medal Table'!$H$2:$H$94,0),0))</f>
        <v>0</v>
      </c>
      <c r="W391" s="29">
        <f t="array" ref="W391">IF(R391="",0,IFERROR(XLOOKUP(R391,'Live Medal Table'!$B$2:$B$94,'Live Medal Table'!$I$2:$I$94,0),0))</f>
        <v>0</v>
      </c>
      <c r="X391" s="29">
        <f t="shared" si="1"/>
        <v>0</v>
      </c>
      <c r="Y391" s="29">
        <f t="shared" si="2"/>
        <v>0</v>
      </c>
      <c r="Z391" s="29">
        <f t="shared" si="3"/>
        <v>0</v>
      </c>
      <c r="AA391" s="29">
        <f t="shared" si="4"/>
        <v>0</v>
      </c>
      <c r="AB391" s="29" t="b">
        <f t="array" ref="AB391">IF(R391="",FALSE,IFERROR(AND(ISNUMBER(MATCH(R391,'Live Medal Table'!$B$2:$B$94,0)),XLOOKUP(R391,'Live Medal Table'!$B$2:$B$94,Countries!$I$2:$I$72,FALSE)),FALSE))</f>
        <v>0</v>
      </c>
    </row>
    <row r="392" ht="15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29"/>
      <c r="M392" s="29"/>
      <c r="N392" s="29" t="str">
        <f t="array" ref="N392">IFERROR(IF(INDEX(Entries!$C$2:$C$47,49)="","",INDEX(Entries!$Q$2:$Q$47,49)),"")</f>
        <v/>
      </c>
      <c r="O392" s="29" t="str">
        <f t="array" ref="O392">IF(N392="","",IFERROR(INDEX(Entries!$E$2:$E$47,49),""))</f>
        <v/>
      </c>
      <c r="P392" s="29" t="str">
        <f>IF(N392="","","Tier6_Pick1")</f>
        <v/>
      </c>
      <c r="Q392" s="29" t="str">
        <f t="shared" ref="Q392:Q393" si="102">IF(N392="","",6)</f>
        <v/>
      </c>
      <c r="R392" s="29" t="str">
        <f t="array" ref="R392">IF(N392="","",IFERROR(INDEX(Entries!$O$2:$O$47,49),""))</f>
        <v/>
      </c>
      <c r="S392" s="29" t="str">
        <f t="array" ref="S392">IF(R392="","",IFERROR(XLOOKUP(R392,'Live Medal Table'!$B$2:$B$94,'Live Medal Table'!$C$2:$C$94,"???"),"???"))</f>
        <v/>
      </c>
      <c r="T392" s="29">
        <f t="array" ref="T392">IF(R392="",0,IFERROR(XLOOKUP(R392,'Live Medal Table'!$B$2:$B$94,'Live Medal Table'!$F$2:$F$94,0),0))</f>
        <v>0</v>
      </c>
      <c r="U392" s="29">
        <f t="array" ref="U392">IF(R392="",0,IFERROR(XLOOKUP(R392,'Live Medal Table'!$B$2:$B$94,'Live Medal Table'!$G$2:$G$94,0),0))</f>
        <v>0</v>
      </c>
      <c r="V392" s="29">
        <f t="array" ref="V392">IF(R392="",0,IFERROR(XLOOKUP(R392,'Live Medal Table'!$B$2:$B$94,'Live Medal Table'!$H$2:$H$94,0),0))</f>
        <v>0</v>
      </c>
      <c r="W392" s="29">
        <f t="array" ref="W392">IF(R392="",0,IFERROR(XLOOKUP(R392,'Live Medal Table'!$B$2:$B$94,'Live Medal Table'!$I$2:$I$94,0),0))</f>
        <v>0</v>
      </c>
      <c r="X392" s="29">
        <f t="shared" si="1"/>
        <v>0</v>
      </c>
      <c r="Y392" s="29">
        <f t="shared" si="2"/>
        <v>0</v>
      </c>
      <c r="Z392" s="29">
        <f t="shared" si="3"/>
        <v>0</v>
      </c>
      <c r="AA392" s="29">
        <f t="shared" si="4"/>
        <v>0</v>
      </c>
      <c r="AB392" s="29" t="b">
        <f t="array" ref="AB392">IF(R392="",FALSE,IFERROR(AND(ISNUMBER(MATCH(R392,'Live Medal Table'!$B$2:$B$94,0)),XLOOKUP(R392,'Live Medal Table'!$B$2:$B$94,Countries!$I$2:$I$72,FALSE)),FALSE))</f>
        <v>0</v>
      </c>
    </row>
    <row r="393" ht="15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29"/>
      <c r="M393" s="29"/>
      <c r="N393" s="29" t="str">
        <f t="array" ref="N393">IFERROR(IF(INDEX(Entries!$C$2:$C$47,49)="","",INDEX(Entries!$Q$2:$Q$47,49)),"")</f>
        <v/>
      </c>
      <c r="O393" s="29" t="str">
        <f t="array" ref="O393">IF(N393="","",IFERROR(INDEX(Entries!$E$2:$E$47,49),""))</f>
        <v/>
      </c>
      <c r="P393" s="29" t="str">
        <f>IF(N393="","","Tier6_Pick2")</f>
        <v/>
      </c>
      <c r="Q393" s="29" t="str">
        <f t="shared" si="102"/>
        <v/>
      </c>
      <c r="R393" s="29" t="str">
        <f t="array" ref="R393">IF(N393="","",IFERROR(INDEX(Entries!$P$2:$P$47,49),""))</f>
        <v/>
      </c>
      <c r="S393" s="29" t="str">
        <f t="array" ref="S393">IF(R393="","",IFERROR(XLOOKUP(R393,'Live Medal Table'!$B$2:$B$94,'Live Medal Table'!$C$2:$C$94,"???"),"???"))</f>
        <v/>
      </c>
      <c r="T393" s="29">
        <f t="array" ref="T393">IF(R393="",0,IFERROR(XLOOKUP(R393,'Live Medal Table'!$B$2:$B$94,'Live Medal Table'!$F$2:$F$94,0),0))</f>
        <v>0</v>
      </c>
      <c r="U393" s="29">
        <f t="array" ref="U393">IF(R393="",0,IFERROR(XLOOKUP(R393,'Live Medal Table'!$B$2:$B$94,'Live Medal Table'!$G$2:$G$94,0),0))</f>
        <v>0</v>
      </c>
      <c r="V393" s="29">
        <f t="array" ref="V393">IF(R393="",0,IFERROR(XLOOKUP(R393,'Live Medal Table'!$B$2:$B$94,'Live Medal Table'!$H$2:$H$94,0),0))</f>
        <v>0</v>
      </c>
      <c r="W393" s="29">
        <f t="array" ref="W393">IF(R393="",0,IFERROR(XLOOKUP(R393,'Live Medal Table'!$B$2:$B$94,'Live Medal Table'!$I$2:$I$94,0),0))</f>
        <v>0</v>
      </c>
      <c r="X393" s="29">
        <f t="shared" si="1"/>
        <v>0</v>
      </c>
      <c r="Y393" s="29">
        <f t="shared" si="2"/>
        <v>0</v>
      </c>
      <c r="Z393" s="29">
        <f t="shared" si="3"/>
        <v>0</v>
      </c>
      <c r="AA393" s="29">
        <f t="shared" si="4"/>
        <v>0</v>
      </c>
      <c r="AB393" s="29" t="b">
        <f t="array" ref="AB393">IF(R393="",FALSE,IFERROR(AND(ISNUMBER(MATCH(R393,'Live Medal Table'!$B$2:$B$94,0)),XLOOKUP(R393,'Live Medal Table'!$B$2:$B$94,Countries!$I$2:$I$72,FALSE)),FALSE))</f>
        <v>0</v>
      </c>
    </row>
    <row r="394" ht="15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29"/>
      <c r="M394" s="29"/>
      <c r="N394" s="29" t="str">
        <f t="array" ref="N394">IFERROR(IF(INDEX(Entries!$C$2:$C$47,50)="","",INDEX(Entries!$Q$2:$Q$47,50)),"")</f>
        <v/>
      </c>
      <c r="O394" s="29" t="str">
        <f t="array" ref="O394">IF(N394="","",IFERROR(INDEX(Entries!$E$2:$E$47,50),""))</f>
        <v/>
      </c>
      <c r="P394" s="29" t="str">
        <f>IF(N394="","","Tier1_Pick1")</f>
        <v/>
      </c>
      <c r="Q394" s="29" t="str">
        <f>IF(N394="","",1)</f>
        <v/>
      </c>
      <c r="R394" s="29" t="str">
        <f t="array" ref="R394">IF(N394="","",IFERROR(INDEX(Entries!$F$2:$F$47,50),""))</f>
        <v/>
      </c>
      <c r="S394" s="29" t="str">
        <f t="array" ref="S394">IF(R394="","",IFERROR(XLOOKUP(R394,'Live Medal Table'!$B$2:$B$94,'Live Medal Table'!$C$2:$C$94,"???"),"???"))</f>
        <v/>
      </c>
      <c r="T394" s="29">
        <f t="array" ref="T394">IF(R394="",0,IFERROR(XLOOKUP(R394,'Live Medal Table'!$B$2:$B$94,'Live Medal Table'!$F$2:$F$94,0),0))</f>
        <v>0</v>
      </c>
      <c r="U394" s="29">
        <f t="array" ref="U394">IF(R394="",0,IFERROR(XLOOKUP(R394,'Live Medal Table'!$B$2:$B$94,'Live Medal Table'!$G$2:$G$94,0),0))</f>
        <v>0</v>
      </c>
      <c r="V394" s="29">
        <f t="array" ref="V394">IF(R394="",0,IFERROR(XLOOKUP(R394,'Live Medal Table'!$B$2:$B$94,'Live Medal Table'!$H$2:$H$94,0),0))</f>
        <v>0</v>
      </c>
      <c r="W394" s="29">
        <f t="array" ref="W394">IF(R394="",0,IFERROR(XLOOKUP(R394,'Live Medal Table'!$B$2:$B$94,'Live Medal Table'!$I$2:$I$94,0),0))</f>
        <v>0</v>
      </c>
      <c r="X394" s="29">
        <f t="shared" si="1"/>
        <v>0</v>
      </c>
      <c r="Y394" s="29">
        <f t="shared" si="2"/>
        <v>0</v>
      </c>
      <c r="Z394" s="29">
        <f t="shared" si="3"/>
        <v>0</v>
      </c>
      <c r="AA394" s="29">
        <f t="shared" si="4"/>
        <v>0</v>
      </c>
      <c r="AB394" s="29" t="b">
        <f t="array" ref="AB394">IF(R394="",FALSE,IFERROR(AND(ISNUMBER(MATCH(R394,'Live Medal Table'!$B$2:$B$94,0)),XLOOKUP(R394,'Live Medal Table'!$B$2:$B$94,Countries!$I$2:$I$72,FALSE)),FALSE))</f>
        <v>0</v>
      </c>
    </row>
    <row r="395" ht="15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29"/>
      <c r="M395" s="29"/>
      <c r="N395" s="29" t="str">
        <f t="array" ref="N395">IFERROR(IF(INDEX(Entries!$C$2:$C$47,50)="","",INDEX(Entries!$Q$2:$Q$47,50)),"")</f>
        <v/>
      </c>
      <c r="O395" s="29" t="str">
        <f t="array" ref="O395">IF(N395="","",IFERROR(INDEX(Entries!$E$2:$E$47,50),""))</f>
        <v/>
      </c>
      <c r="P395" s="29" t="str">
        <f>IF(N395="","","Tier2_Pick1")</f>
        <v/>
      </c>
      <c r="Q395" s="29" t="str">
        <f t="shared" ref="Q395:Q396" si="103">IF(N395="","",2)</f>
        <v/>
      </c>
      <c r="R395" s="29" t="str">
        <f t="array" ref="R395">IF(N395="","",IFERROR(INDEX(Entries!$M$2:$M$47,50),""))</f>
        <v/>
      </c>
      <c r="S395" s="29" t="str">
        <f t="array" ref="S395">IF(R395="","",IFERROR(XLOOKUP(R395,'Live Medal Table'!$B$2:$B$94,'Live Medal Table'!$C$2:$C$94,"???"),"???"))</f>
        <v/>
      </c>
      <c r="T395" s="29">
        <f t="array" ref="T395">IF(R395="",0,IFERROR(XLOOKUP(R395,'Live Medal Table'!$B$2:$B$94,'Live Medal Table'!$F$2:$F$94,0),0))</f>
        <v>0</v>
      </c>
      <c r="U395" s="29">
        <f t="array" ref="U395">IF(R395="",0,IFERROR(XLOOKUP(R395,'Live Medal Table'!$B$2:$B$94,'Live Medal Table'!$G$2:$G$94,0),0))</f>
        <v>0</v>
      </c>
      <c r="V395" s="29">
        <f t="array" ref="V395">IF(R395="",0,IFERROR(XLOOKUP(R395,'Live Medal Table'!$B$2:$B$94,'Live Medal Table'!$H$2:$H$94,0),0))</f>
        <v>0</v>
      </c>
      <c r="W395" s="29">
        <f t="array" ref="W395">IF(R395="",0,IFERROR(XLOOKUP(R395,'Live Medal Table'!$B$2:$B$94,'Live Medal Table'!$I$2:$I$94,0),0))</f>
        <v>0</v>
      </c>
      <c r="X395" s="29">
        <f t="shared" si="1"/>
        <v>0</v>
      </c>
      <c r="Y395" s="29">
        <f t="shared" si="2"/>
        <v>0</v>
      </c>
      <c r="Z395" s="29">
        <f t="shared" si="3"/>
        <v>0</v>
      </c>
      <c r="AA395" s="29">
        <f t="shared" si="4"/>
        <v>0</v>
      </c>
      <c r="AB395" s="29" t="b">
        <f t="array" ref="AB395">IF(R395="",FALSE,IFERROR(AND(ISNUMBER(MATCH(R395,'Live Medal Table'!$B$2:$B$94,0)),XLOOKUP(R395,'Live Medal Table'!$B$2:$B$94,Countries!$I$2:$I$72,FALSE)),FALSE))</f>
        <v>0</v>
      </c>
    </row>
    <row r="396" ht="15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29"/>
      <c r="M396" s="29"/>
      <c r="N396" s="29" t="str">
        <f t="array" ref="N396">IFERROR(IF(INDEX(Entries!$C$2:$C$47,50)="","",INDEX(Entries!$Q$2:$Q$47,50)),"")</f>
        <v/>
      </c>
      <c r="O396" s="29" t="str">
        <f t="array" ref="O396">IF(N396="","",IFERROR(INDEX(Entries!$E$2:$E$47,50),""))</f>
        <v/>
      </c>
      <c r="P396" s="29" t="str">
        <f>IF(N396="","","Tier2_Pick2")</f>
        <v/>
      </c>
      <c r="Q396" s="29" t="str">
        <f t="shared" si="103"/>
        <v/>
      </c>
      <c r="R396" s="29" t="str">
        <f t="array" ref="R396">IF(N396="","",IFERROR(INDEX(Entries!$N$2:$N$47,50),""))</f>
        <v/>
      </c>
      <c r="S396" s="29" t="str">
        <f t="array" ref="S396">IF(R396="","",IFERROR(XLOOKUP(R396,'Live Medal Table'!$B$2:$B$94,'Live Medal Table'!$C$2:$C$94,"???"),"???"))</f>
        <v/>
      </c>
      <c r="T396" s="29">
        <f t="array" ref="T396">IF(R396="",0,IFERROR(XLOOKUP(R396,'Live Medal Table'!$B$2:$B$94,'Live Medal Table'!$F$2:$F$94,0),0))</f>
        <v>0</v>
      </c>
      <c r="U396" s="29">
        <f t="array" ref="U396">IF(R396="",0,IFERROR(XLOOKUP(R396,'Live Medal Table'!$B$2:$B$94,'Live Medal Table'!$G$2:$G$94,0),0))</f>
        <v>0</v>
      </c>
      <c r="V396" s="29">
        <f t="array" ref="V396">IF(R396="",0,IFERROR(XLOOKUP(R396,'Live Medal Table'!$B$2:$B$94,'Live Medal Table'!$H$2:$H$94,0),0))</f>
        <v>0</v>
      </c>
      <c r="W396" s="29">
        <f t="array" ref="W396">IF(R396="",0,IFERROR(XLOOKUP(R396,'Live Medal Table'!$B$2:$B$94,'Live Medal Table'!$I$2:$I$94,0),0))</f>
        <v>0</v>
      </c>
      <c r="X396" s="29">
        <f t="shared" si="1"/>
        <v>0</v>
      </c>
      <c r="Y396" s="29">
        <f t="shared" si="2"/>
        <v>0</v>
      </c>
      <c r="Z396" s="29">
        <f t="shared" si="3"/>
        <v>0</v>
      </c>
      <c r="AA396" s="29">
        <f t="shared" si="4"/>
        <v>0</v>
      </c>
      <c r="AB396" s="29" t="b">
        <f t="array" ref="AB396">IF(R396="",FALSE,IFERROR(AND(ISNUMBER(MATCH(R396,'Live Medal Table'!$B$2:$B$94,0)),XLOOKUP(R396,'Live Medal Table'!$B$2:$B$94,Countries!$I$2:$I$72,FALSE)),FALSE))</f>
        <v>0</v>
      </c>
    </row>
    <row r="397" ht="15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29"/>
      <c r="M397" s="29"/>
      <c r="N397" s="29" t="str">
        <f t="array" ref="N397">IFERROR(IF(INDEX(Entries!$C$2:$C$47,50)="","",INDEX(Entries!$Q$2:$Q$47,50)),"")</f>
        <v/>
      </c>
      <c r="O397" s="29" t="str">
        <f t="array" ref="O397">IF(N397="","",IFERROR(INDEX(Entries!$E$2:$E$47,50),""))</f>
        <v/>
      </c>
      <c r="P397" s="29" t="str">
        <f>IF(N397="","","Tier3_Pick1")</f>
        <v/>
      </c>
      <c r="Q397" s="29" t="str">
        <f>IF(N397="","",3)</f>
        <v/>
      </c>
      <c r="R397" s="29" t="str">
        <f t="array" ref="R397">IF(N397="","",IFERROR(INDEX(Entries!$H$2:$H$47,50),""))</f>
        <v/>
      </c>
      <c r="S397" s="29" t="str">
        <f t="array" ref="S397">IF(R397="","",IFERROR(XLOOKUP(R397,'Live Medal Table'!$B$2:$B$94,'Live Medal Table'!$C$2:$C$94,"???"),"???"))</f>
        <v/>
      </c>
      <c r="T397" s="29">
        <f t="array" ref="T397">IF(R397="",0,IFERROR(XLOOKUP(R397,'Live Medal Table'!$B$2:$B$94,'Live Medal Table'!$F$2:$F$94,0),0))</f>
        <v>0</v>
      </c>
      <c r="U397" s="29">
        <f t="array" ref="U397">IF(R397="",0,IFERROR(XLOOKUP(R397,'Live Medal Table'!$B$2:$B$94,'Live Medal Table'!$G$2:$G$94,0),0))</f>
        <v>0</v>
      </c>
      <c r="V397" s="29">
        <f t="array" ref="V397">IF(R397="",0,IFERROR(XLOOKUP(R397,'Live Medal Table'!$B$2:$B$94,'Live Medal Table'!$H$2:$H$94,0),0))</f>
        <v>0</v>
      </c>
      <c r="W397" s="29">
        <f t="array" ref="W397">IF(R397="",0,IFERROR(XLOOKUP(R397,'Live Medal Table'!$B$2:$B$94,'Live Medal Table'!$I$2:$I$94,0),0))</f>
        <v>0</v>
      </c>
      <c r="X397" s="29">
        <f t="shared" si="1"/>
        <v>0</v>
      </c>
      <c r="Y397" s="29">
        <f t="shared" si="2"/>
        <v>0</v>
      </c>
      <c r="Z397" s="29">
        <f t="shared" si="3"/>
        <v>0</v>
      </c>
      <c r="AA397" s="29">
        <f t="shared" si="4"/>
        <v>0</v>
      </c>
      <c r="AB397" s="29" t="b">
        <f t="array" ref="AB397">IF(R397="",FALSE,IFERROR(AND(ISNUMBER(MATCH(R397,'Live Medal Table'!$B$2:$B$94,0)),XLOOKUP(R397,'Live Medal Table'!$B$2:$B$94,Countries!$I$2:$I$72,FALSE)),FALSE))</f>
        <v>0</v>
      </c>
    </row>
    <row r="398" ht="15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29"/>
      <c r="M398" s="29"/>
      <c r="N398" s="29" t="str">
        <f t="array" ref="N398">IFERROR(IF(INDEX(Entries!$C$2:$C$47,50)="","",INDEX(Entries!$Q$2:$Q$47,50)),"")</f>
        <v/>
      </c>
      <c r="O398" s="29" t="str">
        <f t="array" ref="O398">IF(N398="","",IFERROR(INDEX(Entries!$E$2:$E$47,50),""))</f>
        <v/>
      </c>
      <c r="P398" s="29" t="str">
        <f>IF(N398="","","Tier4_Pick1")</f>
        <v/>
      </c>
      <c r="Q398" s="29" t="str">
        <f>IF(N398="","",4)</f>
        <v/>
      </c>
      <c r="R398" s="29" t="str">
        <f t="array" ref="R398">IF(N398="","",IFERROR(INDEX(Entries!$I$2:$I$47,50),""))</f>
        <v/>
      </c>
      <c r="S398" s="29" t="str">
        <f t="array" ref="S398">IF(R398="","",IFERROR(XLOOKUP(R398,'Live Medal Table'!$B$2:$B$94,'Live Medal Table'!$C$2:$C$94,"???"),"???"))</f>
        <v/>
      </c>
      <c r="T398" s="29">
        <f t="array" ref="T398">IF(R398="",0,IFERROR(XLOOKUP(R398,'Live Medal Table'!$B$2:$B$94,'Live Medal Table'!$F$2:$F$94,0),0))</f>
        <v>0</v>
      </c>
      <c r="U398" s="29">
        <f t="array" ref="U398">IF(R398="",0,IFERROR(XLOOKUP(R398,'Live Medal Table'!$B$2:$B$94,'Live Medal Table'!$G$2:$G$94,0),0))</f>
        <v>0</v>
      </c>
      <c r="V398" s="29">
        <f t="array" ref="V398">IF(R398="",0,IFERROR(XLOOKUP(R398,'Live Medal Table'!$B$2:$B$94,'Live Medal Table'!$H$2:$H$94,0),0))</f>
        <v>0</v>
      </c>
      <c r="W398" s="29">
        <f t="array" ref="W398">IF(R398="",0,IFERROR(XLOOKUP(R398,'Live Medal Table'!$B$2:$B$94,'Live Medal Table'!$I$2:$I$94,0),0))</f>
        <v>0</v>
      </c>
      <c r="X398" s="29">
        <f t="shared" si="1"/>
        <v>0</v>
      </c>
      <c r="Y398" s="29">
        <f t="shared" si="2"/>
        <v>0</v>
      </c>
      <c r="Z398" s="29">
        <f t="shared" si="3"/>
        <v>0</v>
      </c>
      <c r="AA398" s="29">
        <f t="shared" si="4"/>
        <v>0</v>
      </c>
      <c r="AB398" s="29" t="b">
        <f t="array" ref="AB398">IF(R398="",FALSE,IFERROR(AND(ISNUMBER(MATCH(R398,'Live Medal Table'!$B$2:$B$94,0)),XLOOKUP(R398,'Live Medal Table'!$B$2:$B$94,Countries!$I$2:$I$72,FALSE)),FALSE))</f>
        <v>0</v>
      </c>
    </row>
    <row r="399" ht="15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29"/>
      <c r="M399" s="29"/>
      <c r="N399" s="29" t="str">
        <f t="array" ref="N399">IFERROR(IF(INDEX(Entries!$C$2:$C$47,50)="","",INDEX(Entries!$Q$2:$Q$47,50)),"")</f>
        <v/>
      </c>
      <c r="O399" s="29" t="str">
        <f t="array" ref="O399">IF(N399="","",IFERROR(INDEX(Entries!$E$2:$E$47,50),""))</f>
        <v/>
      </c>
      <c r="P399" s="29" t="str">
        <f>IF(N399="","","Tier5_Pick1")</f>
        <v/>
      </c>
      <c r="Q399" s="29" t="str">
        <f>IF(N399="","",5)</f>
        <v/>
      </c>
      <c r="R399" s="29" t="str">
        <f t="array" ref="R399">IF(N399="","",IFERROR(INDEX(Entries!$J$2:$J$47,50),""))</f>
        <v/>
      </c>
      <c r="S399" s="29" t="str">
        <f t="array" ref="S399">IF(R399="","",IFERROR(XLOOKUP(R399,'Live Medal Table'!$B$2:$B$94,'Live Medal Table'!$C$2:$C$94,"???"),"???"))</f>
        <v/>
      </c>
      <c r="T399" s="29">
        <f t="array" ref="T399">IF(R399="",0,IFERROR(XLOOKUP(R399,'Live Medal Table'!$B$2:$B$94,'Live Medal Table'!$F$2:$F$94,0),0))</f>
        <v>0</v>
      </c>
      <c r="U399" s="29">
        <f t="array" ref="U399">IF(R399="",0,IFERROR(XLOOKUP(R399,'Live Medal Table'!$B$2:$B$94,'Live Medal Table'!$G$2:$G$94,0),0))</f>
        <v>0</v>
      </c>
      <c r="V399" s="29">
        <f t="array" ref="V399">IF(R399="",0,IFERROR(XLOOKUP(R399,'Live Medal Table'!$B$2:$B$94,'Live Medal Table'!$H$2:$H$94,0),0))</f>
        <v>0</v>
      </c>
      <c r="W399" s="29">
        <f t="array" ref="W399">IF(R399="",0,IFERROR(XLOOKUP(R399,'Live Medal Table'!$B$2:$B$94,'Live Medal Table'!$I$2:$I$94,0),0))</f>
        <v>0</v>
      </c>
      <c r="X399" s="29">
        <f t="shared" si="1"/>
        <v>0</v>
      </c>
      <c r="Y399" s="29">
        <f t="shared" si="2"/>
        <v>0</v>
      </c>
      <c r="Z399" s="29">
        <f t="shared" si="3"/>
        <v>0</v>
      </c>
      <c r="AA399" s="29">
        <f t="shared" si="4"/>
        <v>0</v>
      </c>
      <c r="AB399" s="29" t="b">
        <f t="array" ref="AB399">IF(R399="",FALSE,IFERROR(AND(ISNUMBER(MATCH(R399,'Live Medal Table'!$B$2:$B$94,0)),XLOOKUP(R399,'Live Medal Table'!$B$2:$B$94,Countries!$I$2:$I$72,FALSE)),FALSE))</f>
        <v>0</v>
      </c>
    </row>
    <row r="400" ht="15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29"/>
      <c r="M400" s="29"/>
      <c r="N400" s="29" t="str">
        <f t="array" ref="N400">IFERROR(IF(INDEX(Entries!$C$2:$C$47,50)="","",INDEX(Entries!$Q$2:$Q$47,50)),"")</f>
        <v/>
      </c>
      <c r="O400" s="29" t="str">
        <f t="array" ref="O400">IF(N400="","",IFERROR(INDEX(Entries!$E$2:$E$47,50),""))</f>
        <v/>
      </c>
      <c r="P400" s="29" t="str">
        <f>IF(N400="","","Tier6_Pick1")</f>
        <v/>
      </c>
      <c r="Q400" s="29" t="str">
        <f t="shared" ref="Q400:Q401" si="104">IF(N400="","",6)</f>
        <v/>
      </c>
      <c r="R400" s="29" t="str">
        <f t="array" ref="R400">IF(N400="","",IFERROR(INDEX(Entries!$O$2:$O$47,50),""))</f>
        <v/>
      </c>
      <c r="S400" s="29" t="str">
        <f t="array" ref="S400">IF(R400="","",IFERROR(XLOOKUP(R400,'Live Medal Table'!$B$2:$B$94,'Live Medal Table'!$C$2:$C$94,"???"),"???"))</f>
        <v/>
      </c>
      <c r="T400" s="29">
        <f t="array" ref="T400">IF(R400="",0,IFERROR(XLOOKUP(R400,'Live Medal Table'!$B$2:$B$94,'Live Medal Table'!$F$2:$F$94,0),0))</f>
        <v>0</v>
      </c>
      <c r="U400" s="29">
        <f t="array" ref="U400">IF(R400="",0,IFERROR(XLOOKUP(R400,'Live Medal Table'!$B$2:$B$94,'Live Medal Table'!$G$2:$G$94,0),0))</f>
        <v>0</v>
      </c>
      <c r="V400" s="29">
        <f t="array" ref="V400">IF(R400="",0,IFERROR(XLOOKUP(R400,'Live Medal Table'!$B$2:$B$94,'Live Medal Table'!$H$2:$H$94,0),0))</f>
        <v>0</v>
      </c>
      <c r="W400" s="29">
        <f t="array" ref="W400">IF(R400="",0,IFERROR(XLOOKUP(R400,'Live Medal Table'!$B$2:$B$94,'Live Medal Table'!$I$2:$I$94,0),0))</f>
        <v>0</v>
      </c>
      <c r="X400" s="29">
        <f t="shared" si="1"/>
        <v>0</v>
      </c>
      <c r="Y400" s="29">
        <f t="shared" si="2"/>
        <v>0</v>
      </c>
      <c r="Z400" s="29">
        <f t="shared" si="3"/>
        <v>0</v>
      </c>
      <c r="AA400" s="29">
        <f t="shared" si="4"/>
        <v>0</v>
      </c>
      <c r="AB400" s="29" t="b">
        <f t="array" ref="AB400">IF(R400="",FALSE,IFERROR(AND(ISNUMBER(MATCH(R400,'Live Medal Table'!$B$2:$B$94,0)),XLOOKUP(R400,'Live Medal Table'!$B$2:$B$94,Countries!$I$2:$I$72,FALSE)),FALSE))</f>
        <v>0</v>
      </c>
    </row>
    <row r="401" ht="15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29"/>
      <c r="M401" s="29"/>
      <c r="N401" s="29" t="str">
        <f t="array" ref="N401">IFERROR(IF(INDEX(Entries!$C$2:$C$47,50)="","",INDEX(Entries!$Q$2:$Q$47,50)),"")</f>
        <v/>
      </c>
      <c r="O401" s="29" t="str">
        <f t="array" ref="O401">IF(N401="","",IFERROR(INDEX(Entries!$E$2:$E$47,50),""))</f>
        <v/>
      </c>
      <c r="P401" s="29" t="str">
        <f>IF(N401="","","Tier6_Pick2")</f>
        <v/>
      </c>
      <c r="Q401" s="29" t="str">
        <f t="shared" si="104"/>
        <v/>
      </c>
      <c r="R401" s="29" t="str">
        <f t="array" ref="R401">IF(N401="","",IFERROR(INDEX(Entries!$P$2:$P$47,50),""))</f>
        <v/>
      </c>
      <c r="S401" s="29" t="str">
        <f t="array" ref="S401">IF(R401="","",IFERROR(XLOOKUP(R401,'Live Medal Table'!$B$2:$B$94,'Live Medal Table'!$C$2:$C$94,"???"),"???"))</f>
        <v/>
      </c>
      <c r="T401" s="29">
        <f t="array" ref="T401">IF(R401="",0,IFERROR(XLOOKUP(R401,'Live Medal Table'!$B$2:$B$94,'Live Medal Table'!$F$2:$F$94,0),0))</f>
        <v>0</v>
      </c>
      <c r="U401" s="29">
        <f t="array" ref="U401">IF(R401="",0,IFERROR(XLOOKUP(R401,'Live Medal Table'!$B$2:$B$94,'Live Medal Table'!$G$2:$G$94,0),0))</f>
        <v>0</v>
      </c>
      <c r="V401" s="29">
        <f t="array" ref="V401">IF(R401="",0,IFERROR(XLOOKUP(R401,'Live Medal Table'!$B$2:$B$94,'Live Medal Table'!$H$2:$H$94,0),0))</f>
        <v>0</v>
      </c>
      <c r="W401" s="29">
        <f t="array" ref="W401">IF(R401="",0,IFERROR(XLOOKUP(R401,'Live Medal Table'!$B$2:$B$94,'Live Medal Table'!$I$2:$I$94,0),0))</f>
        <v>0</v>
      </c>
      <c r="X401" s="29">
        <f t="shared" si="1"/>
        <v>0</v>
      </c>
      <c r="Y401" s="29">
        <f t="shared" si="2"/>
        <v>0</v>
      </c>
      <c r="Z401" s="29">
        <f t="shared" si="3"/>
        <v>0</v>
      </c>
      <c r="AA401" s="29">
        <f t="shared" si="4"/>
        <v>0</v>
      </c>
      <c r="AB401" s="29" t="b">
        <f t="array" ref="AB401">IF(R401="",FALSE,IFERROR(AND(ISNUMBER(MATCH(R401,'Live Medal Table'!$B$2:$B$94,0)),XLOOKUP(R401,'Live Medal Table'!$B$2:$B$94,Countries!$I$2:$I$72,FALSE)),FALSE))</f>
        <v>0</v>
      </c>
    </row>
    <row r="402" ht="15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29" t="str">
        <f t="array" ref="S402">IF(R402="","",IFERROR(XLOOKUP(R402,'Live Medal Table'!$B$2:$B$94,'Live Medal Table'!$C$2:$C$94,"???"),"???"))</f>
        <v/>
      </c>
      <c r="T402" s="3"/>
      <c r="U402" s="3"/>
      <c r="V402" s="3"/>
      <c r="W402" s="3"/>
      <c r="X402" s="3"/>
      <c r="Y402" s="3"/>
      <c r="Z402" s="3"/>
      <c r="AA402" s="3"/>
      <c r="AB402" s="3"/>
    </row>
    <row r="403" ht="15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29" t="str">
        <f t="array" ref="S403">IF(R403="","",IFERROR(XLOOKUP(R403,'Live Medal Table'!$B$2:$B$94,'Live Medal Table'!$C$2:$C$94,"???"),"???"))</f>
        <v/>
      </c>
      <c r="T403" s="3"/>
      <c r="U403" s="3"/>
      <c r="V403" s="3"/>
      <c r="W403" s="3"/>
      <c r="X403" s="3"/>
      <c r="Y403" s="3"/>
      <c r="Z403" s="3"/>
      <c r="AA403" s="3"/>
      <c r="AB403" s="3"/>
    </row>
    <row r="404" ht="15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29" t="str">
        <f t="array" ref="S404">IF(R404="","",IFERROR(XLOOKUP(R404,'Live Medal Table'!$B$2:$B$94,'Live Medal Table'!$C$2:$C$94,"???"),"???"))</f>
        <v/>
      </c>
      <c r="T404" s="3"/>
      <c r="U404" s="3"/>
      <c r="V404" s="3"/>
      <c r="W404" s="3"/>
      <c r="X404" s="3"/>
      <c r="Y404" s="3"/>
      <c r="Z404" s="3"/>
      <c r="AA404" s="3"/>
      <c r="AB404" s="3"/>
    </row>
    <row r="405" ht="15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29" t="str">
        <f t="array" ref="S405">IF(R405="","",IFERROR(XLOOKUP(R405,'Live Medal Table'!$B$2:$B$94,'Live Medal Table'!$C$2:$C$94,"???"),"???"))</f>
        <v/>
      </c>
      <c r="T405" s="3"/>
      <c r="U405" s="3"/>
      <c r="V405" s="3"/>
      <c r="W405" s="3"/>
      <c r="X405" s="3"/>
      <c r="Y405" s="3"/>
      <c r="Z405" s="3"/>
      <c r="AA405" s="3"/>
      <c r="AB405" s="3"/>
    </row>
    <row r="406" ht="15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29" t="str">
        <f t="array" ref="S406">IF(R406="","",IFERROR(XLOOKUP(R406,'Live Medal Table'!$B$2:$B$94,'Live Medal Table'!$C$2:$C$94,"???"),"???"))</f>
        <v/>
      </c>
      <c r="T406" s="3"/>
      <c r="U406" s="3"/>
      <c r="V406" s="3"/>
      <c r="W406" s="3"/>
      <c r="X406" s="3"/>
      <c r="Y406" s="3"/>
      <c r="Z406" s="3"/>
      <c r="AA406" s="3"/>
      <c r="AB406" s="3"/>
    </row>
    <row r="407" ht="15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29" t="str">
        <f t="array" ref="S407">IF(R407="","",IFERROR(XLOOKUP(R407,'Live Medal Table'!$B$2:$B$94,'Live Medal Table'!$C$2:$C$94,"???"),"???"))</f>
        <v/>
      </c>
      <c r="T407" s="3"/>
      <c r="U407" s="3"/>
      <c r="V407" s="3"/>
      <c r="W407" s="3"/>
      <c r="X407" s="3"/>
      <c r="Y407" s="3"/>
      <c r="Z407" s="3"/>
      <c r="AA407" s="3"/>
      <c r="AB407" s="3"/>
    </row>
    <row r="408" ht="15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29" t="str">
        <f t="array" ref="S408">IF(R408="","",IFERROR(XLOOKUP(R408,'Live Medal Table'!$B$2:$B$94,'Live Medal Table'!$C$2:$C$94,"???"),"???"))</f>
        <v/>
      </c>
      <c r="T408" s="3"/>
      <c r="U408" s="3"/>
      <c r="V408" s="3"/>
      <c r="W408" s="3"/>
      <c r="X408" s="3"/>
      <c r="Y408" s="3"/>
      <c r="Z408" s="3"/>
      <c r="AA408" s="3"/>
      <c r="AB408" s="3"/>
    </row>
    <row r="409" ht="15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29" t="str">
        <f t="array" ref="S409">IF(R409="","",IFERROR(XLOOKUP(R409,'Live Medal Table'!$B$2:$B$94,'Live Medal Table'!$C$2:$C$94,"???"),"???"))</f>
        <v/>
      </c>
      <c r="T409" s="3"/>
      <c r="U409" s="3"/>
      <c r="V409" s="3"/>
      <c r="W409" s="3"/>
      <c r="X409" s="3"/>
      <c r="Y409" s="3"/>
      <c r="Z409" s="3"/>
      <c r="AA409" s="3"/>
      <c r="AB409" s="3"/>
    </row>
    <row r="410" ht="15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29" t="str">
        <f t="array" ref="S410">IF(R410="","",IFERROR(XLOOKUP(R410,'Live Medal Table'!$B$2:$B$94,'Live Medal Table'!$C$2:$C$94,"???"),"???"))</f>
        <v/>
      </c>
      <c r="T410" s="3"/>
      <c r="U410" s="3"/>
      <c r="V410" s="3"/>
      <c r="W410" s="3"/>
      <c r="X410" s="3"/>
      <c r="Y410" s="3"/>
      <c r="Z410" s="3"/>
      <c r="AA410" s="3"/>
      <c r="AB410" s="3"/>
    </row>
    <row r="411" ht="15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29" t="str">
        <f t="array" ref="S411">IF(R411="","",IFERROR(XLOOKUP(R411,'Live Medal Table'!$B$2:$B$94,'Live Medal Table'!$C$2:$C$94,"???"),"???"))</f>
        <v/>
      </c>
      <c r="T411" s="3"/>
      <c r="U411" s="3"/>
      <c r="V411" s="3"/>
      <c r="W411" s="3"/>
      <c r="X411" s="3"/>
      <c r="Y411" s="3"/>
      <c r="Z411" s="3"/>
      <c r="AA411" s="3"/>
      <c r="AB411" s="3"/>
    </row>
    <row r="412" ht="15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29" t="str">
        <f t="array" ref="S412">IF(R412="","",IFERROR(XLOOKUP(R412,'Live Medal Table'!$B$2:$B$94,'Live Medal Table'!$C$2:$C$94,"???"),"???"))</f>
        <v/>
      </c>
      <c r="T412" s="3"/>
      <c r="U412" s="3"/>
      <c r="V412" s="3"/>
      <c r="W412" s="3"/>
      <c r="X412" s="3"/>
      <c r="Y412" s="3"/>
      <c r="Z412" s="3"/>
      <c r="AA412" s="3"/>
      <c r="AB412" s="3"/>
    </row>
    <row r="413" ht="15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29" t="str">
        <f t="array" ref="S413">IF(R413="","",IFERROR(XLOOKUP(R413,'Live Medal Table'!$B$2:$B$94,'Live Medal Table'!$C$2:$C$94,"???"),"???"))</f>
        <v/>
      </c>
      <c r="T413" s="3"/>
      <c r="U413" s="3"/>
      <c r="V413" s="3"/>
      <c r="W413" s="3"/>
      <c r="X413" s="3"/>
      <c r="Y413" s="3"/>
      <c r="Z413" s="3"/>
      <c r="AA413" s="3"/>
      <c r="AB413" s="3"/>
    </row>
    <row r="414" ht="15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29" t="str">
        <f t="array" ref="S414">IF(R414="","",IFERROR(XLOOKUP(R414,'Live Medal Table'!$B$2:$B$94,'Live Medal Table'!$C$2:$C$94,"???"),"???"))</f>
        <v/>
      </c>
      <c r="T414" s="3"/>
      <c r="U414" s="3"/>
      <c r="V414" s="3"/>
      <c r="W414" s="3"/>
      <c r="X414" s="3"/>
      <c r="Y414" s="3"/>
      <c r="Z414" s="3"/>
      <c r="AA414" s="3"/>
      <c r="AB414" s="3"/>
    </row>
    <row r="415" ht="15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29" t="str">
        <f t="array" ref="S415">IF(R415="","",IFERROR(XLOOKUP(R415,'Live Medal Table'!$B$2:$B$94,'Live Medal Table'!$C$2:$C$94,"???"),"???"))</f>
        <v/>
      </c>
      <c r="T415" s="3"/>
      <c r="U415" s="3"/>
      <c r="V415" s="3"/>
      <c r="W415" s="3"/>
      <c r="X415" s="3"/>
      <c r="Y415" s="3"/>
      <c r="Z415" s="3"/>
      <c r="AA415" s="3"/>
      <c r="AB415" s="3"/>
    </row>
    <row r="416" ht="15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29" t="str">
        <f t="array" ref="S416">IF(R416="","",IFERROR(XLOOKUP(R416,'Live Medal Table'!$B$2:$B$94,'Live Medal Table'!$C$2:$C$94,"???"),"???"))</f>
        <v/>
      </c>
      <c r="T416" s="3"/>
      <c r="U416" s="3"/>
      <c r="V416" s="3"/>
      <c r="W416" s="3"/>
      <c r="X416" s="3"/>
      <c r="Y416" s="3"/>
      <c r="Z416" s="3"/>
      <c r="AA416" s="3"/>
      <c r="AB416" s="3"/>
    </row>
    <row r="417" ht="15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29" t="str">
        <f t="array" ref="S417">IF(R417="","",IFERROR(XLOOKUP(R417,'Live Medal Table'!$B$2:$B$94,'Live Medal Table'!$C$2:$C$94,"???"),"???"))</f>
        <v/>
      </c>
      <c r="T417" s="3"/>
      <c r="U417" s="3"/>
      <c r="V417" s="3"/>
      <c r="W417" s="3"/>
      <c r="X417" s="3"/>
      <c r="Y417" s="3"/>
      <c r="Z417" s="3"/>
      <c r="AA417" s="3"/>
      <c r="AB417" s="3"/>
    </row>
    <row r="418" ht="15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29" t="str">
        <f t="array" ref="S418">IF(R418="","",IFERROR(XLOOKUP(R418,'Live Medal Table'!$B$2:$B$94,'Live Medal Table'!$C$2:$C$94,"???"),"???"))</f>
        <v/>
      </c>
      <c r="T418" s="3"/>
      <c r="U418" s="3"/>
      <c r="V418" s="3"/>
      <c r="W418" s="3"/>
      <c r="X418" s="3"/>
      <c r="Y418" s="3"/>
      <c r="Z418" s="3"/>
      <c r="AA418" s="3"/>
      <c r="AB418" s="3"/>
    </row>
    <row r="419" ht="15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29" t="str">
        <f t="array" ref="S419">IF(R419="","",IFERROR(XLOOKUP(R419,'Live Medal Table'!$B$2:$B$94,'Live Medal Table'!$C$2:$C$94,"???"),"???"))</f>
        <v/>
      </c>
      <c r="T419" s="3"/>
      <c r="U419" s="3"/>
      <c r="V419" s="3"/>
      <c r="W419" s="3"/>
      <c r="X419" s="3"/>
      <c r="Y419" s="3"/>
      <c r="Z419" s="3"/>
      <c r="AA419" s="3"/>
      <c r="AB419" s="3"/>
    </row>
    <row r="420" ht="15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29" t="str">
        <f t="array" ref="S420">IF(R420="","",IFERROR(XLOOKUP(R420,'Live Medal Table'!$B$2:$B$94,'Live Medal Table'!$C$2:$C$94,"???"),"???"))</f>
        <v/>
      </c>
      <c r="T420" s="3"/>
      <c r="U420" s="3"/>
      <c r="V420" s="3"/>
      <c r="W420" s="3"/>
      <c r="X420" s="3"/>
      <c r="Y420" s="3"/>
      <c r="Z420" s="3"/>
      <c r="AA420" s="3"/>
      <c r="AB420" s="3"/>
    </row>
    <row r="421" ht="15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29" t="str">
        <f t="array" ref="S421">IF(R421="","",IFERROR(XLOOKUP(R421,'Live Medal Table'!$B$2:$B$94,'Live Medal Table'!$C$2:$C$94,"???"),"???"))</f>
        <v/>
      </c>
      <c r="T421" s="3"/>
      <c r="U421" s="3"/>
      <c r="V421" s="3"/>
      <c r="W421" s="3"/>
      <c r="X421" s="3"/>
      <c r="Y421" s="3"/>
      <c r="Z421" s="3"/>
      <c r="AA421" s="3"/>
      <c r="AB421" s="3"/>
    </row>
    <row r="422" ht="15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29" t="str">
        <f t="array" ref="S422">IF(R422="","",IFERROR(XLOOKUP(R422,'Live Medal Table'!$B$2:$B$94,'Live Medal Table'!$C$2:$C$94,"???"),"???"))</f>
        <v/>
      </c>
      <c r="T422" s="3"/>
      <c r="U422" s="3"/>
      <c r="V422" s="3"/>
      <c r="W422" s="3"/>
      <c r="X422" s="3"/>
      <c r="Y422" s="3"/>
      <c r="Z422" s="3"/>
      <c r="AA422" s="3"/>
      <c r="AB422" s="3"/>
    </row>
    <row r="423" ht="15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29" t="str">
        <f t="array" ref="S423">IF(R423="","",IFERROR(XLOOKUP(R423,'Live Medal Table'!$B$2:$B$94,'Live Medal Table'!$C$2:$C$94,"???"),"???"))</f>
        <v/>
      </c>
      <c r="T423" s="3"/>
      <c r="U423" s="3"/>
      <c r="V423" s="3"/>
      <c r="W423" s="3"/>
      <c r="X423" s="3"/>
      <c r="Y423" s="3"/>
      <c r="Z423" s="3"/>
      <c r="AA423" s="3"/>
      <c r="AB423" s="3"/>
    </row>
    <row r="424" ht="15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29" t="str">
        <f t="array" ref="S424">IF(R424="","",IFERROR(XLOOKUP(R424,'Live Medal Table'!$B$2:$B$94,'Live Medal Table'!$C$2:$C$94,"???"),"???"))</f>
        <v/>
      </c>
      <c r="T424" s="3"/>
      <c r="U424" s="3"/>
      <c r="V424" s="3"/>
      <c r="W424" s="3"/>
      <c r="X424" s="3"/>
      <c r="Y424" s="3"/>
      <c r="Z424" s="3"/>
      <c r="AA424" s="3"/>
      <c r="AB424" s="3"/>
    </row>
    <row r="425" ht="15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29" t="str">
        <f t="array" ref="S425">IF(R425="","",IFERROR(XLOOKUP(R425,'Live Medal Table'!$B$2:$B$94,'Live Medal Table'!$C$2:$C$94,"???"),"???"))</f>
        <v/>
      </c>
      <c r="T425" s="3"/>
      <c r="U425" s="3"/>
      <c r="V425" s="3"/>
      <c r="W425" s="3"/>
      <c r="X425" s="3"/>
      <c r="Y425" s="3"/>
      <c r="Z425" s="3"/>
      <c r="AA425" s="3"/>
      <c r="AB425" s="3"/>
    </row>
    <row r="426" ht="15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29" t="str">
        <f t="array" ref="S426">IF(R426="","",IFERROR(XLOOKUP(R426,'Live Medal Table'!$B$2:$B$94,'Live Medal Table'!$C$2:$C$94,"???"),"???"))</f>
        <v/>
      </c>
      <c r="T426" s="3"/>
      <c r="U426" s="3"/>
      <c r="V426" s="3"/>
      <c r="W426" s="3"/>
      <c r="X426" s="3"/>
      <c r="Y426" s="3"/>
      <c r="Z426" s="3"/>
      <c r="AA426" s="3"/>
      <c r="AB426" s="3"/>
    </row>
    <row r="427" ht="15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29" t="str">
        <f t="array" ref="S427">IF(R427="","",IFERROR(XLOOKUP(R427,'Live Medal Table'!$B$2:$B$94,'Live Medal Table'!$C$2:$C$94,"???"),"???"))</f>
        <v/>
      </c>
      <c r="T427" s="3"/>
      <c r="U427" s="3"/>
      <c r="V427" s="3"/>
      <c r="W427" s="3"/>
      <c r="X427" s="3"/>
      <c r="Y427" s="3"/>
      <c r="Z427" s="3"/>
      <c r="AA427" s="3"/>
      <c r="AB427" s="3"/>
    </row>
    <row r="428" ht="15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29" t="str">
        <f t="array" ref="S428">IF(R428="","",IFERROR(XLOOKUP(R428,'Live Medal Table'!$B$2:$B$94,'Live Medal Table'!$C$2:$C$94,"???"),"???"))</f>
        <v/>
      </c>
      <c r="T428" s="3"/>
      <c r="U428" s="3"/>
      <c r="V428" s="3"/>
      <c r="W428" s="3"/>
      <c r="X428" s="3"/>
      <c r="Y428" s="3"/>
      <c r="Z428" s="3"/>
      <c r="AA428" s="3"/>
      <c r="AB428" s="3"/>
    </row>
    <row r="429" ht="15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29" t="str">
        <f t="array" ref="S429">IF(R429="","",IFERROR(XLOOKUP(R429,'Live Medal Table'!$B$2:$B$94,'Live Medal Table'!$C$2:$C$94,"???"),"???"))</f>
        <v/>
      </c>
      <c r="T429" s="3"/>
      <c r="U429" s="3"/>
      <c r="V429" s="3"/>
      <c r="W429" s="3"/>
      <c r="X429" s="3"/>
      <c r="Y429" s="3"/>
      <c r="Z429" s="3"/>
      <c r="AA429" s="3"/>
      <c r="AB429" s="3"/>
    </row>
    <row r="430" ht="15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29" t="str">
        <f t="array" ref="S430">IF(R430="","",IFERROR(XLOOKUP(R430,'Live Medal Table'!$B$2:$B$94,'Live Medal Table'!$C$2:$C$94,"???"),"???"))</f>
        <v/>
      </c>
      <c r="T430" s="3"/>
      <c r="U430" s="3"/>
      <c r="V430" s="3"/>
      <c r="W430" s="3"/>
      <c r="X430" s="3"/>
      <c r="Y430" s="3"/>
      <c r="Z430" s="3"/>
      <c r="AA430" s="3"/>
      <c r="AB430" s="3"/>
    </row>
    <row r="431" ht="15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29" t="str">
        <f t="array" ref="S431">IF(R431="","",IFERROR(XLOOKUP(R431,'Live Medal Table'!$B$2:$B$94,'Live Medal Table'!$C$2:$C$94,"???"),"???"))</f>
        <v/>
      </c>
      <c r="T431" s="3"/>
      <c r="U431" s="3"/>
      <c r="V431" s="3"/>
      <c r="W431" s="3"/>
      <c r="X431" s="3"/>
      <c r="Y431" s="3"/>
      <c r="Z431" s="3"/>
      <c r="AA431" s="3"/>
      <c r="AB431" s="3"/>
    </row>
    <row r="432" ht="15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29" t="str">
        <f t="array" ref="S432">IF(R432="","",IFERROR(XLOOKUP(R432,'Live Medal Table'!$B$2:$B$94,'Live Medal Table'!$C$2:$C$94,"???"),"???"))</f>
        <v/>
      </c>
      <c r="T432" s="3"/>
      <c r="U432" s="3"/>
      <c r="V432" s="3"/>
      <c r="W432" s="3"/>
      <c r="X432" s="3"/>
      <c r="Y432" s="3"/>
      <c r="Z432" s="3"/>
      <c r="AA432" s="3"/>
      <c r="AB432" s="3"/>
    </row>
    <row r="433" ht="15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29" t="str">
        <f t="array" ref="S433">IF(R433="","",IFERROR(XLOOKUP(R433,'Live Medal Table'!$B$2:$B$94,'Live Medal Table'!$C$2:$C$94,"???"),"???"))</f>
        <v/>
      </c>
      <c r="T433" s="3"/>
      <c r="U433" s="3"/>
      <c r="V433" s="3"/>
      <c r="W433" s="3"/>
      <c r="X433" s="3"/>
      <c r="Y433" s="3"/>
      <c r="Z433" s="3"/>
      <c r="AA433" s="3"/>
      <c r="AB433" s="3"/>
    </row>
    <row r="434" ht="15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29" t="str">
        <f t="array" ref="S434">IF(R434="","",IFERROR(XLOOKUP(R434,'Live Medal Table'!$B$2:$B$94,'Live Medal Table'!$C$2:$C$94,"???"),"???"))</f>
        <v/>
      </c>
      <c r="T434" s="3"/>
      <c r="U434" s="3"/>
      <c r="V434" s="3"/>
      <c r="W434" s="3"/>
      <c r="X434" s="3"/>
      <c r="Y434" s="3"/>
      <c r="Z434" s="3"/>
      <c r="AA434" s="3"/>
      <c r="AB434" s="3"/>
    </row>
    <row r="435" ht="15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29" t="str">
        <f t="array" ref="S435">IF(R435="","",IFERROR(XLOOKUP(R435,'Live Medal Table'!$B$2:$B$94,'Live Medal Table'!$C$2:$C$94,"???"),"???"))</f>
        <v/>
      </c>
      <c r="T435" s="3"/>
      <c r="U435" s="3"/>
      <c r="V435" s="3"/>
      <c r="W435" s="3"/>
      <c r="X435" s="3"/>
      <c r="Y435" s="3"/>
      <c r="Z435" s="3"/>
      <c r="AA435" s="3"/>
      <c r="AB435" s="3"/>
    </row>
    <row r="436" ht="15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29" t="str">
        <f t="array" ref="S436">IF(R436="","",IFERROR(XLOOKUP(R436,'Live Medal Table'!$B$2:$B$94,'Live Medal Table'!$C$2:$C$94,"???"),"???"))</f>
        <v/>
      </c>
      <c r="T436" s="3"/>
      <c r="U436" s="3"/>
      <c r="V436" s="3"/>
      <c r="W436" s="3"/>
      <c r="X436" s="3"/>
      <c r="Y436" s="3"/>
      <c r="Z436" s="3"/>
      <c r="AA436" s="3"/>
      <c r="AB436" s="3"/>
    </row>
    <row r="437" ht="15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29" t="str">
        <f t="array" ref="S437">IF(R437="","",IFERROR(XLOOKUP(R437,'Live Medal Table'!$B$2:$B$94,'Live Medal Table'!$C$2:$C$94,"???"),"???"))</f>
        <v/>
      </c>
      <c r="T437" s="3"/>
      <c r="U437" s="3"/>
      <c r="V437" s="3"/>
      <c r="W437" s="3"/>
      <c r="X437" s="3"/>
      <c r="Y437" s="3"/>
      <c r="Z437" s="3"/>
      <c r="AA437" s="3"/>
      <c r="AB437" s="3"/>
    </row>
    <row r="438" ht="15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29" t="str">
        <f t="array" ref="S438">IF(R438="","",IFERROR(XLOOKUP(R438,'Live Medal Table'!$B$2:$B$94,'Live Medal Table'!$C$2:$C$94,"???"),"???"))</f>
        <v/>
      </c>
      <c r="T438" s="3"/>
      <c r="U438" s="3"/>
      <c r="V438" s="3"/>
      <c r="W438" s="3"/>
      <c r="X438" s="3"/>
      <c r="Y438" s="3"/>
      <c r="Z438" s="3"/>
      <c r="AA438" s="3"/>
      <c r="AB438" s="3"/>
    </row>
    <row r="439" ht="15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29" t="str">
        <f t="array" ref="S439">IF(R439="","",IFERROR(XLOOKUP(R439,'Live Medal Table'!$B$2:$B$94,'Live Medal Table'!$C$2:$C$94,"???"),"???"))</f>
        <v/>
      </c>
      <c r="T439" s="3"/>
      <c r="U439" s="3"/>
      <c r="V439" s="3"/>
      <c r="W439" s="3"/>
      <c r="X439" s="3"/>
      <c r="Y439" s="3"/>
      <c r="Z439" s="3"/>
      <c r="AA439" s="3"/>
      <c r="AB439" s="3"/>
    </row>
    <row r="440" ht="15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29" t="str">
        <f t="array" ref="S440">IF(R440="","",IFERROR(XLOOKUP(R440,'Live Medal Table'!$B$2:$B$94,'Live Medal Table'!$C$2:$C$94,"???"),"???"))</f>
        <v/>
      </c>
      <c r="T440" s="3"/>
      <c r="U440" s="3"/>
      <c r="V440" s="3"/>
      <c r="W440" s="3"/>
      <c r="X440" s="3"/>
      <c r="Y440" s="3"/>
      <c r="Z440" s="3"/>
      <c r="AA440" s="3"/>
      <c r="AB440" s="3"/>
    </row>
    <row r="441" ht="15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29" t="str">
        <f t="array" ref="S441">IF(R441="","",IFERROR(XLOOKUP(R441,'Live Medal Table'!$B$2:$B$94,'Live Medal Table'!$C$2:$C$94,"???"),"???"))</f>
        <v/>
      </c>
      <c r="T441" s="3"/>
      <c r="U441" s="3"/>
      <c r="V441" s="3"/>
      <c r="W441" s="3"/>
      <c r="X441" s="3"/>
      <c r="Y441" s="3"/>
      <c r="Z441" s="3"/>
      <c r="AA441" s="3"/>
      <c r="AB441" s="3"/>
    </row>
    <row r="442" ht="15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29" t="str">
        <f t="array" ref="S442">IF(R442="","",IFERROR(XLOOKUP(R442,'Live Medal Table'!$B$2:$B$94,'Live Medal Table'!$C$2:$C$94,"???"),"???"))</f>
        <v/>
      </c>
      <c r="T442" s="3"/>
      <c r="U442" s="3"/>
      <c r="V442" s="3"/>
      <c r="W442" s="3"/>
      <c r="X442" s="3"/>
      <c r="Y442" s="3"/>
      <c r="Z442" s="3"/>
      <c r="AA442" s="3"/>
      <c r="AB442" s="3"/>
    </row>
    <row r="443" ht="15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29" t="str">
        <f t="array" ref="S443">IF(R443="","",IFERROR(XLOOKUP(R443,'Live Medal Table'!$B$2:$B$94,'Live Medal Table'!$C$2:$C$94,"???"),"???"))</f>
        <v/>
      </c>
      <c r="T443" s="3"/>
      <c r="U443" s="3"/>
      <c r="V443" s="3"/>
      <c r="W443" s="3"/>
      <c r="X443" s="3"/>
      <c r="Y443" s="3"/>
      <c r="Z443" s="3"/>
      <c r="AA443" s="3"/>
      <c r="AB443" s="3"/>
    </row>
    <row r="444" ht="15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29" t="str">
        <f t="array" ref="S444">IF(R444="","",IFERROR(XLOOKUP(R444,'Live Medal Table'!$B$2:$B$94,'Live Medal Table'!$C$2:$C$94,"???"),"???"))</f>
        <v/>
      </c>
      <c r="T444" s="3"/>
      <c r="U444" s="3"/>
      <c r="V444" s="3"/>
      <c r="W444" s="3"/>
      <c r="X444" s="3"/>
      <c r="Y444" s="3"/>
      <c r="Z444" s="3"/>
      <c r="AA444" s="3"/>
      <c r="AB444" s="3"/>
    </row>
    <row r="445" ht="15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29" t="str">
        <f t="array" ref="S445">IF(R445="","",IFERROR(XLOOKUP(R445,'Live Medal Table'!$B$2:$B$94,'Live Medal Table'!$C$2:$C$94,"???"),"???"))</f>
        <v/>
      </c>
      <c r="T445" s="3"/>
      <c r="U445" s="3"/>
      <c r="V445" s="3"/>
      <c r="W445" s="3"/>
      <c r="X445" s="3"/>
      <c r="Y445" s="3"/>
      <c r="Z445" s="3"/>
      <c r="AA445" s="3"/>
      <c r="AB445" s="3"/>
    </row>
    <row r="446" ht="15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29" t="str">
        <f t="array" ref="S446">IF(R446="","",IFERROR(XLOOKUP(R446,'Live Medal Table'!$B$2:$B$94,'Live Medal Table'!$C$2:$C$94,"???"),"???"))</f>
        <v/>
      </c>
      <c r="T446" s="3"/>
      <c r="U446" s="3"/>
      <c r="V446" s="3"/>
      <c r="W446" s="3"/>
      <c r="X446" s="3"/>
      <c r="Y446" s="3"/>
      <c r="Z446" s="3"/>
      <c r="AA446" s="3"/>
      <c r="AB446" s="3"/>
    </row>
    <row r="447" ht="15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29" t="str">
        <f t="array" ref="S447">IF(R447="","",IFERROR(XLOOKUP(R447,'Live Medal Table'!$B$2:$B$94,'Live Medal Table'!$C$2:$C$94,"???"),"???"))</f>
        <v/>
      </c>
      <c r="T447" s="3"/>
      <c r="U447" s="3"/>
      <c r="V447" s="3"/>
      <c r="W447" s="3"/>
      <c r="X447" s="3"/>
      <c r="Y447" s="3"/>
      <c r="Z447" s="3"/>
      <c r="AA447" s="3"/>
      <c r="AB447" s="3"/>
    </row>
    <row r="448" ht="15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29" t="str">
        <f t="array" ref="S448">IF(R448="","",IFERROR(XLOOKUP(R448,'Live Medal Table'!$B$2:$B$94,'Live Medal Table'!$C$2:$C$94,"???"),"???"))</f>
        <v/>
      </c>
      <c r="T448" s="3"/>
      <c r="U448" s="3"/>
      <c r="V448" s="3"/>
      <c r="W448" s="3"/>
      <c r="X448" s="3"/>
      <c r="Y448" s="3"/>
      <c r="Z448" s="3"/>
      <c r="AA448" s="3"/>
      <c r="AB448" s="3"/>
    </row>
    <row r="449" ht="15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29" t="str">
        <f t="array" ref="S449">IF(R449="","",IFERROR(XLOOKUP(R449,'Live Medal Table'!$B$2:$B$94,'Live Medal Table'!$C$2:$C$94,"???"),"???"))</f>
        <v/>
      </c>
      <c r="T449" s="3"/>
      <c r="U449" s="3"/>
      <c r="V449" s="3"/>
      <c r="W449" s="3"/>
      <c r="X449" s="3"/>
      <c r="Y449" s="3"/>
      <c r="Z449" s="3"/>
      <c r="AA449" s="3"/>
      <c r="AB449" s="3"/>
    </row>
    <row r="450" ht="15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29" t="str">
        <f t="array" ref="S450">IF(R450="","",IFERROR(XLOOKUP(R450,'Live Medal Table'!$B$2:$B$94,'Live Medal Table'!$C$2:$C$94,"???"),"???"))</f>
        <v/>
      </c>
      <c r="T450" s="3"/>
      <c r="U450" s="3"/>
      <c r="V450" s="3"/>
      <c r="W450" s="3"/>
      <c r="X450" s="3"/>
      <c r="Y450" s="3"/>
      <c r="Z450" s="3"/>
      <c r="AA450" s="3"/>
      <c r="AB450" s="3"/>
    </row>
    <row r="451" ht="15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29" t="str">
        <f t="array" ref="S451">IF(R451="","",IFERROR(XLOOKUP(R451,'Live Medal Table'!$B$2:$B$94,'Live Medal Table'!$C$2:$C$94,"???"),"???"))</f>
        <v/>
      </c>
      <c r="T451" s="3"/>
      <c r="U451" s="3"/>
      <c r="V451" s="3"/>
      <c r="W451" s="3"/>
      <c r="X451" s="3"/>
      <c r="Y451" s="3"/>
      <c r="Z451" s="3"/>
      <c r="AA451" s="3"/>
      <c r="AB451" s="3"/>
    </row>
    <row r="452" ht="15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29" t="str">
        <f t="array" ref="S452">IF(R452="","",IFERROR(XLOOKUP(R452,'Live Medal Table'!$B$2:$B$94,'Live Medal Table'!$C$2:$C$94,"???"),"???"))</f>
        <v/>
      </c>
      <c r="T452" s="3"/>
      <c r="U452" s="3"/>
      <c r="V452" s="3"/>
      <c r="W452" s="3"/>
      <c r="X452" s="3"/>
      <c r="Y452" s="3"/>
      <c r="Z452" s="3"/>
      <c r="AA452" s="3"/>
      <c r="AB452" s="3"/>
    </row>
    <row r="453" ht="15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29" t="str">
        <f t="array" ref="S453">IF(R453="","",IFERROR(XLOOKUP(R453,'Live Medal Table'!$B$2:$B$94,'Live Medal Table'!$C$2:$C$94,"???"),"???"))</f>
        <v/>
      </c>
      <c r="T453" s="3"/>
      <c r="U453" s="3"/>
      <c r="V453" s="3"/>
      <c r="W453" s="3"/>
      <c r="X453" s="3"/>
      <c r="Y453" s="3"/>
      <c r="Z453" s="3"/>
      <c r="AA453" s="3"/>
      <c r="AB453" s="3"/>
    </row>
    <row r="454" ht="15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29" t="str">
        <f t="array" ref="S454">IF(R454="","",IFERROR(XLOOKUP(R454,'Live Medal Table'!$B$2:$B$94,'Live Medal Table'!$C$2:$C$94,"???"),"???"))</f>
        <v/>
      </c>
      <c r="T454" s="3"/>
      <c r="U454" s="3"/>
      <c r="V454" s="3"/>
      <c r="W454" s="3"/>
      <c r="X454" s="3"/>
      <c r="Y454" s="3"/>
      <c r="Z454" s="3"/>
      <c r="AA454" s="3"/>
      <c r="AB454" s="3"/>
    </row>
    <row r="455" ht="15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29" t="str">
        <f t="array" ref="S455">IF(R455="","",IFERROR(XLOOKUP(R455,'Live Medal Table'!$B$2:$B$94,'Live Medal Table'!$C$2:$C$94,"???"),"???"))</f>
        <v/>
      </c>
      <c r="T455" s="3"/>
      <c r="U455" s="3"/>
      <c r="V455" s="3"/>
      <c r="W455" s="3"/>
      <c r="X455" s="3"/>
      <c r="Y455" s="3"/>
      <c r="Z455" s="3"/>
      <c r="AA455" s="3"/>
      <c r="AB455" s="3"/>
    </row>
    <row r="456" ht="15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29" t="str">
        <f t="array" ref="S456">IF(R456="","",IFERROR(XLOOKUP(R456,'Live Medal Table'!$B$2:$B$94,'Live Medal Table'!$C$2:$C$94,"???"),"???"))</f>
        <v/>
      </c>
      <c r="T456" s="3"/>
      <c r="U456" s="3"/>
      <c r="V456" s="3"/>
      <c r="W456" s="3"/>
      <c r="X456" s="3"/>
      <c r="Y456" s="3"/>
      <c r="Z456" s="3"/>
      <c r="AA456" s="3"/>
      <c r="AB456" s="3"/>
    </row>
    <row r="457" ht="15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29" t="str">
        <f t="array" ref="S457">IF(R457="","",IFERROR(XLOOKUP(R457,'Live Medal Table'!$B$2:$B$94,'Live Medal Table'!$C$2:$C$94,"???"),"???"))</f>
        <v/>
      </c>
      <c r="T457" s="3"/>
      <c r="U457" s="3"/>
      <c r="V457" s="3"/>
      <c r="W457" s="3"/>
      <c r="X457" s="3"/>
      <c r="Y457" s="3"/>
      <c r="Z457" s="3"/>
      <c r="AA457" s="3"/>
      <c r="AB457" s="3"/>
    </row>
    <row r="458" ht="15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29" t="str">
        <f t="array" ref="S458">IF(R458="","",IFERROR(XLOOKUP(R458,'Live Medal Table'!$B$2:$B$94,'Live Medal Table'!$C$2:$C$94,"???"),"???"))</f>
        <v/>
      </c>
      <c r="T458" s="3"/>
      <c r="U458" s="3"/>
      <c r="V458" s="3"/>
      <c r="W458" s="3"/>
      <c r="X458" s="3"/>
      <c r="Y458" s="3"/>
      <c r="Z458" s="3"/>
      <c r="AA458" s="3"/>
      <c r="AB458" s="3"/>
    </row>
    <row r="459" ht="15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29" t="str">
        <f t="array" ref="S459">IF(R459="","",IFERROR(XLOOKUP(R459,'Live Medal Table'!$B$2:$B$94,'Live Medal Table'!$C$2:$C$94,"???"),"???"))</f>
        <v/>
      </c>
      <c r="T459" s="3"/>
      <c r="U459" s="3"/>
      <c r="V459" s="3"/>
      <c r="W459" s="3"/>
      <c r="X459" s="3"/>
      <c r="Y459" s="3"/>
      <c r="Z459" s="3"/>
      <c r="AA459" s="3"/>
      <c r="AB459" s="3"/>
    </row>
    <row r="460" ht="15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29" t="str">
        <f t="array" ref="S460">IF(R460="","",IFERROR(XLOOKUP(R460,'Live Medal Table'!$B$2:$B$94,'Live Medal Table'!$C$2:$C$94,"???"),"???"))</f>
        <v/>
      </c>
      <c r="T460" s="3"/>
      <c r="U460" s="3"/>
      <c r="V460" s="3"/>
      <c r="W460" s="3"/>
      <c r="X460" s="3"/>
      <c r="Y460" s="3"/>
      <c r="Z460" s="3"/>
      <c r="AA460" s="3"/>
      <c r="AB460" s="3"/>
    </row>
    <row r="461" ht="15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29" t="str">
        <f t="array" ref="S461">IF(R461="","",IFERROR(XLOOKUP(R461,'Live Medal Table'!$B$2:$B$94,'Live Medal Table'!$C$2:$C$94,"???"),"???"))</f>
        <v/>
      </c>
      <c r="T461" s="3"/>
      <c r="U461" s="3"/>
      <c r="V461" s="3"/>
      <c r="W461" s="3"/>
      <c r="X461" s="3"/>
      <c r="Y461" s="3"/>
      <c r="Z461" s="3"/>
      <c r="AA461" s="3"/>
      <c r="AB461" s="3"/>
    </row>
    <row r="462" ht="15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29" t="str">
        <f t="array" ref="S462">IF(R462="","",IFERROR(XLOOKUP(R462,'Live Medal Table'!$B$2:$B$94,'Live Medal Table'!$C$2:$C$94,"???"),"???"))</f>
        <v/>
      </c>
      <c r="T462" s="3"/>
      <c r="U462" s="3"/>
      <c r="V462" s="3"/>
      <c r="W462" s="3"/>
      <c r="X462" s="3"/>
      <c r="Y462" s="3"/>
      <c r="Z462" s="3"/>
      <c r="AA462" s="3"/>
      <c r="AB462" s="3"/>
    </row>
    <row r="463" ht="15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29" t="str">
        <f t="array" ref="S463">IF(R463="","",IFERROR(XLOOKUP(R463,'Live Medal Table'!$B$2:$B$94,'Live Medal Table'!$C$2:$C$94,"???"),"???"))</f>
        <v/>
      </c>
      <c r="T463" s="3"/>
      <c r="U463" s="3"/>
      <c r="V463" s="3"/>
      <c r="W463" s="3"/>
      <c r="X463" s="3"/>
      <c r="Y463" s="3"/>
      <c r="Z463" s="3"/>
      <c r="AA463" s="3"/>
      <c r="AB463" s="3"/>
    </row>
    <row r="464" ht="15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29" t="str">
        <f t="array" ref="S464">IF(R464="","",IFERROR(XLOOKUP(R464,'Live Medal Table'!$B$2:$B$94,'Live Medal Table'!$C$2:$C$94,"???"),"???"))</f>
        <v/>
      </c>
      <c r="T464" s="3"/>
      <c r="U464" s="3"/>
      <c r="V464" s="3"/>
      <c r="W464" s="3"/>
      <c r="X464" s="3"/>
      <c r="Y464" s="3"/>
      <c r="Z464" s="3"/>
      <c r="AA464" s="3"/>
      <c r="AB464" s="3"/>
    </row>
    <row r="465" ht="15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29" t="str">
        <f t="array" ref="S465">IF(R465="","",IFERROR(XLOOKUP(R465,'Live Medal Table'!$B$2:$B$94,'Live Medal Table'!$C$2:$C$94,"???"),"???"))</f>
        <v/>
      </c>
      <c r="T465" s="3"/>
      <c r="U465" s="3"/>
      <c r="V465" s="3"/>
      <c r="W465" s="3"/>
      <c r="X465" s="3"/>
      <c r="Y465" s="3"/>
      <c r="Z465" s="3"/>
      <c r="AA465" s="3"/>
      <c r="AB465" s="3"/>
    </row>
    <row r="466" ht="15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29" t="str">
        <f t="array" ref="S466">IF(R466="","",IFERROR(XLOOKUP(R466,'Live Medal Table'!$B$2:$B$94,'Live Medal Table'!$C$2:$C$94,"???"),"???"))</f>
        <v/>
      </c>
      <c r="T466" s="3"/>
      <c r="U466" s="3"/>
      <c r="V466" s="3"/>
      <c r="W466" s="3"/>
      <c r="X466" s="3"/>
      <c r="Y466" s="3"/>
      <c r="Z466" s="3"/>
      <c r="AA466" s="3"/>
      <c r="AB466" s="3"/>
    </row>
    <row r="467" ht="15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29" t="str">
        <f t="array" ref="S467">IF(R467="","",IFERROR(XLOOKUP(R467,'Live Medal Table'!$B$2:$B$94,'Live Medal Table'!$C$2:$C$94,"???"),"???"))</f>
        <v/>
      </c>
      <c r="T467" s="3"/>
      <c r="U467" s="3"/>
      <c r="V467" s="3"/>
      <c r="W467" s="3"/>
      <c r="X467" s="3"/>
      <c r="Y467" s="3"/>
      <c r="Z467" s="3"/>
      <c r="AA467" s="3"/>
      <c r="AB467" s="3"/>
    </row>
    <row r="468" ht="15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29" t="str">
        <f t="array" ref="S468">IF(R468="","",IFERROR(XLOOKUP(R468,'Live Medal Table'!$B$2:$B$94,'Live Medal Table'!$C$2:$C$94,"???"),"???"))</f>
        <v/>
      </c>
      <c r="T468" s="3"/>
      <c r="U468" s="3"/>
      <c r="V468" s="3"/>
      <c r="W468" s="3"/>
      <c r="X468" s="3"/>
      <c r="Y468" s="3"/>
      <c r="Z468" s="3"/>
      <c r="AA468" s="3"/>
      <c r="AB468" s="3"/>
    </row>
    <row r="469" ht="15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29" t="str">
        <f t="array" ref="S469">IF(R469="","",IFERROR(XLOOKUP(R469,'Live Medal Table'!$B$2:$B$94,'Live Medal Table'!$C$2:$C$94,"???"),"???"))</f>
        <v/>
      </c>
      <c r="T469" s="3"/>
      <c r="U469" s="3"/>
      <c r="V469" s="3"/>
      <c r="W469" s="3"/>
      <c r="X469" s="3"/>
      <c r="Y469" s="3"/>
      <c r="Z469" s="3"/>
      <c r="AA469" s="3"/>
      <c r="AB469" s="3"/>
    </row>
    <row r="470" ht="15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29" t="str">
        <f t="array" ref="S470">IF(R470="","",IFERROR(XLOOKUP(R470,'Live Medal Table'!$B$2:$B$94,'Live Medal Table'!$C$2:$C$94,"???"),"???"))</f>
        <v/>
      </c>
      <c r="T470" s="3"/>
      <c r="U470" s="3"/>
      <c r="V470" s="3"/>
      <c r="W470" s="3"/>
      <c r="X470" s="3"/>
      <c r="Y470" s="3"/>
      <c r="Z470" s="3"/>
      <c r="AA470" s="3"/>
      <c r="AB470" s="3"/>
    </row>
    <row r="471" ht="15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29" t="str">
        <f t="array" ref="S471">IF(R471="","",IFERROR(XLOOKUP(R471,'Live Medal Table'!$B$2:$B$94,'Live Medal Table'!$C$2:$C$94,"???"),"???"))</f>
        <v/>
      </c>
      <c r="T471" s="3"/>
      <c r="U471" s="3"/>
      <c r="V471" s="3"/>
      <c r="W471" s="3"/>
      <c r="X471" s="3"/>
      <c r="Y471" s="3"/>
      <c r="Z471" s="3"/>
      <c r="AA471" s="3"/>
      <c r="AB471" s="3"/>
    </row>
    <row r="472" ht="15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29" t="str">
        <f t="array" ref="S472">IF(R472="","",IFERROR(XLOOKUP(R472,'Live Medal Table'!$B$2:$B$94,'Live Medal Table'!$C$2:$C$94,"???"),"???"))</f>
        <v/>
      </c>
      <c r="T472" s="3"/>
      <c r="U472" s="3"/>
      <c r="V472" s="3"/>
      <c r="W472" s="3"/>
      <c r="X472" s="3"/>
      <c r="Y472" s="3"/>
      <c r="Z472" s="3"/>
      <c r="AA472" s="3"/>
      <c r="AB472" s="3"/>
    </row>
    <row r="473" ht="15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29" t="str">
        <f t="array" ref="S473">IF(R473="","",IFERROR(XLOOKUP(R473,'Live Medal Table'!$B$2:$B$94,'Live Medal Table'!$C$2:$C$94,"???"),"???"))</f>
        <v/>
      </c>
      <c r="T473" s="3"/>
      <c r="U473" s="3"/>
      <c r="V473" s="3"/>
      <c r="W473" s="3"/>
      <c r="X473" s="3"/>
      <c r="Y473" s="3"/>
      <c r="Z473" s="3"/>
      <c r="AA473" s="3"/>
      <c r="AB473" s="3"/>
    </row>
    <row r="474" ht="15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29" t="str">
        <f t="array" ref="S474">IF(R474="","",IFERROR(XLOOKUP(R474,'Live Medal Table'!$B$2:$B$94,'Live Medal Table'!$C$2:$C$94,"???"),"???"))</f>
        <v/>
      </c>
      <c r="T474" s="3"/>
      <c r="U474" s="3"/>
      <c r="V474" s="3"/>
      <c r="W474" s="3"/>
      <c r="X474" s="3"/>
      <c r="Y474" s="3"/>
      <c r="Z474" s="3"/>
      <c r="AA474" s="3"/>
      <c r="AB474" s="3"/>
    </row>
    <row r="475" ht="15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29" t="str">
        <f t="array" ref="S475">IF(R475="","",IFERROR(XLOOKUP(R475,'Live Medal Table'!$B$2:$B$94,'Live Medal Table'!$C$2:$C$94,"???"),"???"))</f>
        <v/>
      </c>
      <c r="T475" s="3"/>
      <c r="U475" s="3"/>
      <c r="V475" s="3"/>
      <c r="W475" s="3"/>
      <c r="X475" s="3"/>
      <c r="Y475" s="3"/>
      <c r="Z475" s="3"/>
      <c r="AA475" s="3"/>
      <c r="AB475" s="3"/>
    </row>
    <row r="476" ht="15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29" t="str">
        <f t="array" ref="S476">IF(R476="","",IFERROR(XLOOKUP(R476,'Live Medal Table'!$B$2:$B$94,'Live Medal Table'!$C$2:$C$94,"???"),"???"))</f>
        <v/>
      </c>
      <c r="T476" s="3"/>
      <c r="U476" s="3"/>
      <c r="V476" s="3"/>
      <c r="W476" s="3"/>
      <c r="X476" s="3"/>
      <c r="Y476" s="3"/>
      <c r="Z476" s="3"/>
      <c r="AA476" s="3"/>
      <c r="AB476" s="3"/>
    </row>
    <row r="477" ht="15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29" t="str">
        <f t="array" ref="S477">IF(R477="","",IFERROR(XLOOKUP(R477,'Live Medal Table'!$B$2:$B$94,'Live Medal Table'!$C$2:$C$94,"???"),"???"))</f>
        <v/>
      </c>
      <c r="T477" s="3"/>
      <c r="U477" s="3"/>
      <c r="V477" s="3"/>
      <c r="W477" s="3"/>
      <c r="X477" s="3"/>
      <c r="Y477" s="3"/>
      <c r="Z477" s="3"/>
      <c r="AA477" s="3"/>
      <c r="AB477" s="3"/>
    </row>
    <row r="478" ht="15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29" t="str">
        <f t="array" ref="S478">IF(R478="","",IFERROR(XLOOKUP(R478,'Live Medal Table'!$B$2:$B$94,'Live Medal Table'!$C$2:$C$94,"???"),"???"))</f>
        <v/>
      </c>
      <c r="T478" s="3"/>
      <c r="U478" s="3"/>
      <c r="V478" s="3"/>
      <c r="W478" s="3"/>
      <c r="X478" s="3"/>
      <c r="Y478" s="3"/>
      <c r="Z478" s="3"/>
      <c r="AA478" s="3"/>
      <c r="AB478" s="3"/>
    </row>
    <row r="479" ht="15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29" t="str">
        <f t="array" ref="S479">IF(R479="","",IFERROR(XLOOKUP(R479,'Live Medal Table'!$B$2:$B$94,'Live Medal Table'!$C$2:$C$94,"???"),"???"))</f>
        <v/>
      </c>
      <c r="T479" s="3"/>
      <c r="U479" s="3"/>
      <c r="V479" s="3"/>
      <c r="W479" s="3"/>
      <c r="X479" s="3"/>
      <c r="Y479" s="3"/>
      <c r="Z479" s="3"/>
      <c r="AA479" s="3"/>
      <c r="AB479" s="3"/>
    </row>
    <row r="480" ht="15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29" t="str">
        <f t="array" ref="S480">IF(R480="","",IFERROR(XLOOKUP(R480,'Live Medal Table'!$B$2:$B$94,'Live Medal Table'!$C$2:$C$94,"???"),"???"))</f>
        <v/>
      </c>
      <c r="T480" s="3"/>
      <c r="U480" s="3"/>
      <c r="V480" s="3"/>
      <c r="W480" s="3"/>
      <c r="X480" s="3"/>
      <c r="Y480" s="3"/>
      <c r="Z480" s="3"/>
      <c r="AA480" s="3"/>
      <c r="AB480" s="3"/>
    </row>
    <row r="481" ht="15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hidden="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hidden="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hidden="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hidden="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hidden="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hidden="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hidden="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5.75" hidden="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5.75" hidden="1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ht="15.75" hidden="1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</sheetData>
  <mergeCells count="3">
    <mergeCell ref="D2:E2"/>
    <mergeCell ref="H2:K2"/>
    <mergeCell ref="C3:E3"/>
  </mergeCells>
  <dataValidations>
    <dataValidation type="list" allowBlank="1" showErrorMessage="1" sqref="C3">
      <formula1>'Team Scores'!$G$2:$G$24</formula1>
    </dataValidation>
  </dataValidations>
  <hyperlinks>
    <hyperlink display="Return to Leaderboard" location="Leaderboard!A1" ref="B15"/>
  </hyperlink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21.43"/>
    <col customWidth="1" hidden="1" min="3" max="3" width="7.71"/>
    <col customWidth="1" hidden="1" min="4" max="4" width="21.43"/>
    <col customWidth="1" min="5" max="5" width="9.86"/>
    <col customWidth="1" hidden="1" min="6" max="6" width="14.71"/>
    <col customWidth="1" min="7" max="7" width="10.71"/>
    <col customWidth="1" min="8" max="8" width="11.57"/>
    <col customWidth="1" min="9" max="9" width="12.86"/>
    <col customWidth="1" min="10" max="10" width="10.71"/>
    <col customWidth="1" min="11" max="11" width="12.29"/>
    <col customWidth="1" min="12" max="12" width="15.14"/>
    <col customWidth="1" hidden="1" min="14" max="14" width="21.43"/>
    <col customWidth="1" hidden="1" min="15" max="15" width="7.71"/>
    <col customWidth="1" hidden="1" min="16" max="16" width="21.43"/>
    <col customWidth="1" hidden="1" min="17" max="17" width="7.86"/>
    <col customWidth="1" hidden="1" min="18" max="18" width="13.29"/>
    <col customWidth="1" hidden="1" min="19" max="19" width="3.29"/>
    <col customWidth="1" hidden="1" min="20" max="20" width="2.14"/>
    <col customWidth="1" hidden="1" min="21" max="22" width="3.29"/>
    <col customWidth="1" hidden="1" min="23" max="23" width="4.29"/>
    <col hidden="1" min="24" max="25" width="14.43"/>
    <col customWidth="1" min="26" max="26" width="15.71"/>
    <col customWidth="1" min="27" max="27" width="15.86"/>
  </cols>
  <sheetData>
    <row r="1" ht="22.5" customHeight="1">
      <c r="A1" s="57"/>
      <c r="B1" s="58" t="s">
        <v>40</v>
      </c>
      <c r="C1" s="59" t="s">
        <v>25</v>
      </c>
      <c r="D1" s="59" t="s">
        <v>41</v>
      </c>
      <c r="E1" s="60" t="s">
        <v>23</v>
      </c>
      <c r="F1" s="61" t="s">
        <v>26</v>
      </c>
      <c r="G1" s="62" t="s">
        <v>15</v>
      </c>
      <c r="H1" s="63" t="s">
        <v>16</v>
      </c>
      <c r="I1" s="64" t="s">
        <v>17</v>
      </c>
      <c r="J1" s="60" t="s">
        <v>42</v>
      </c>
      <c r="K1" s="65" t="s">
        <v>36</v>
      </c>
      <c r="L1" s="65" t="s">
        <v>37</v>
      </c>
      <c r="M1" s="66"/>
      <c r="N1" s="67" t="s">
        <v>24</v>
      </c>
      <c r="O1" s="67" t="s">
        <v>25</v>
      </c>
      <c r="P1" s="67" t="s">
        <v>41</v>
      </c>
      <c r="Q1" s="67" t="s">
        <v>23</v>
      </c>
      <c r="R1" s="67" t="s">
        <v>26</v>
      </c>
      <c r="S1" s="66"/>
      <c r="T1" s="66"/>
      <c r="U1" s="66"/>
      <c r="V1" s="66"/>
      <c r="W1" s="66"/>
      <c r="X1" s="66" t="s">
        <v>43</v>
      </c>
      <c r="Y1" s="66" t="s">
        <v>44</v>
      </c>
      <c r="Z1" s="66"/>
      <c r="AA1" s="66"/>
      <c r="AB1" s="66"/>
      <c r="AC1" s="66"/>
      <c r="AD1" s="66"/>
      <c r="AE1" s="66"/>
    </row>
    <row r="2" ht="22.5" customHeight="1">
      <c r="A2" s="68"/>
      <c r="B2" s="69" t="str">
        <f t="array" ref="B2:L94">SORT(N2:X94,10,FALSE)</f>
        <v>Italy</v>
      </c>
      <c r="C2" s="69" t="s">
        <v>45</v>
      </c>
      <c r="D2" s="69" t="s">
        <v>46</v>
      </c>
      <c r="E2" s="70">
        <v>3.0</v>
      </c>
      <c r="F2" s="70">
        <v>3.0</v>
      </c>
      <c r="G2" s="71">
        <v>10.0</v>
      </c>
      <c r="H2" s="71">
        <v>6.0</v>
      </c>
      <c r="I2" s="71">
        <v>14.0</v>
      </c>
      <c r="J2" s="71">
        <v>30.0</v>
      </c>
      <c r="K2" s="72">
        <v>168.0</v>
      </c>
      <c r="L2" s="72"/>
      <c r="M2" s="66"/>
      <c r="N2" s="68" t="s">
        <v>47</v>
      </c>
      <c r="O2" s="68" t="s">
        <v>48</v>
      </c>
      <c r="P2" s="68" t="s">
        <v>47</v>
      </c>
      <c r="Q2" s="73">
        <v>1.0</v>
      </c>
      <c r="R2" s="73">
        <v>1.0</v>
      </c>
      <c r="S2" s="66">
        <f t="array" ref="S2">IFERROR(XLOOKUP(P2,MedalImport!G:G,MedalImport!C:C,0),0)</f>
        <v>18</v>
      </c>
      <c r="T2" s="66">
        <f t="array" ref="T2">IFERROR(XLOOKUP(P2,MedalImport!G:G,MedalImport!D:D,0),0)</f>
        <v>12</v>
      </c>
      <c r="U2" s="66">
        <f t="array" ref="U2">IFERROR(XLOOKUP(P2,MedalImport!G:G,MedalImport!E:E,0),0)</f>
        <v>11</v>
      </c>
      <c r="V2" s="66">
        <f t="shared" ref="V2:V94" si="1">S2+T2+U2</f>
        <v>41</v>
      </c>
      <c r="W2" s="66">
        <f t="shared" ref="W2:W94" si="2">(S2*3+T2*2+U2*1)*R2</f>
        <v>89</v>
      </c>
      <c r="X2" s="66" t="str">
        <f t="shared" ref="X2:X94" si="3">IMAGE("https://flagcdn.com/w40/"&amp;Y2&amp;".png")</f>
        <v/>
      </c>
      <c r="Y2" s="29" t="str">
        <f t="shared" ref="Y2:Y94" si="4">VLOOKUP(O2,
{
"ALB","al";"AND","ad";"ARG","ar";"ARM","am";"AUS","au";"AUT","at";"AZE","az";
"BEL","be";"BEN","bj";"BIH","ba";"BOL","bo";"BRA","br";"BUL","bg";
"CAN","ca";"CHI","cl";"CHN","cn";"COL","co";"CRO","hr";"CYP","cy";"CZE","cz";
"DEN","dk";"ECU","ec";"ERI","er";"ESP","es";"EST","ee";
"FIN","fi";"FRA","fr";
"GBR","gb";"GBS","gw";"GEO","ge";"GER","de";"GRE","gr";
"HAI","ht";"HKG","hk";"HUN","hu";
"IND","in";"IRI","ir";"IRL","ie";"ISL","is";"ISR","il";"ITA","it";
"JAM","jm";"JPN","jp";
"KAZ","kz";"KEN","ke";"KGZ","kg";"KOR","kr";"KOS","xk";"KSA","sa";
"LAT","lv";"LBN","lb";"LIE","li";"LTU","lt";"LUX","lu";
"MAD","mg";"MAR","ma";"MAS","my";"MDA","md";"MEX","mx";"MGL","mn";"MKD","mk";"MLT","mt";"MNE","me";"MON","mc";
"NED","nl";"NGR","ng";"NOR","no";"NZL","nz";
"PAK","pk";"PER","pe";"PHI","ph";"POL","pl";"POR","pt";"PUR","pr";
"ROU","ro";"RSA","za";
"SGP","sg";"SLO","si";"SMR","sm";"SRB","rs";"SUI","ch";"SVK","sk";"SWE","se";
"THA","th";"TPE","tw";"TTO","tt";"TUR","tr";
"UAE","ae";"UKR","ua";"URU","uy";"USA","us";"UZB","uz";
"VEN","ve"
},2,FALSE)</f>
        <v>no</v>
      </c>
      <c r="Z2" s="74" t="s">
        <v>39</v>
      </c>
      <c r="AB2" s="66"/>
      <c r="AC2" s="66"/>
      <c r="AD2" s="66"/>
      <c r="AE2" s="66"/>
    </row>
    <row r="3" ht="22.5" customHeight="1">
      <c r="A3" s="68"/>
      <c r="B3" s="69" t="s">
        <v>49</v>
      </c>
      <c r="C3" s="69" t="s">
        <v>50</v>
      </c>
      <c r="D3" s="69" t="s">
        <v>49</v>
      </c>
      <c r="E3" s="70">
        <v>5.0</v>
      </c>
      <c r="F3" s="70">
        <v>10.0</v>
      </c>
      <c r="G3" s="71">
        <v>3.0</v>
      </c>
      <c r="H3" s="71">
        <v>2.0</v>
      </c>
      <c r="I3" s="71">
        <v>1.0</v>
      </c>
      <c r="J3" s="71">
        <v>6.0</v>
      </c>
      <c r="K3" s="72">
        <v>140.0</v>
      </c>
      <c r="L3" s="72"/>
      <c r="M3" s="66"/>
      <c r="N3" s="68" t="s">
        <v>51</v>
      </c>
      <c r="O3" s="68" t="s">
        <v>52</v>
      </c>
      <c r="P3" s="68" t="s">
        <v>51</v>
      </c>
      <c r="Q3" s="73">
        <v>1.0</v>
      </c>
      <c r="R3" s="73">
        <v>1.0</v>
      </c>
      <c r="S3" s="66">
        <f t="array" ref="S3">IFERROR(XLOOKUP(P3,MedalImport!G:G,MedalImport!C:C,0),0)</f>
        <v>12</v>
      </c>
      <c r="T3" s="66">
        <f t="array" ref="T3">IFERROR(XLOOKUP(P3,MedalImport!G:G,MedalImport!D:D,0),0)</f>
        <v>12</v>
      </c>
      <c r="U3" s="66">
        <f t="array" ref="U3">IFERROR(XLOOKUP(P3,MedalImport!G:G,MedalImport!E:E,0),0)</f>
        <v>9</v>
      </c>
      <c r="V3" s="66">
        <f t="shared" si="1"/>
        <v>33</v>
      </c>
      <c r="W3" s="66">
        <f t="shared" si="2"/>
        <v>69</v>
      </c>
      <c r="X3" s="66" t="str">
        <f t="shared" si="3"/>
        <v/>
      </c>
      <c r="Y3" s="29" t="str">
        <f t="shared" si="4"/>
        <v>us</v>
      </c>
      <c r="Z3" s="66" t="str">
        <f t="array" ref="Z3">IMAGE("https://flagcdn.com/w160/" &amp; XLOOKUP('Live Medal Table'!B3, 'Live Medal Table'!$N$2:$N$94, 'Live Medal Table'!$Y$2:$Y$94) &amp; ".png")</f>
        <v/>
      </c>
      <c r="AA3" s="66" t="str">
        <f t="array" ref="AA3">IMAGE("https://flagcdn.com/w160/" &amp; XLOOKUP('Live Medal Table'!B2, 'Live Medal Table'!$N$2:$N$94, 'Live Medal Table'!$Y$2:$Y$94) &amp; ".png")</f>
        <v/>
      </c>
      <c r="AB3" s="66" t="str">
        <f t="array" ref="AB3">IMAGE("https://flagcdn.com/w160/" &amp; XLOOKUP('Live Medal Table'!B4, 'Live Medal Table'!$N$2:$N$94, 'Live Medal Table'!$Y$2:$Y$94) &amp; ".png")</f>
        <v/>
      </c>
      <c r="AC3" s="66"/>
      <c r="AD3" s="66"/>
      <c r="AE3" s="66"/>
    </row>
    <row r="4" ht="22.5" customHeight="1">
      <c r="A4" s="68"/>
      <c r="B4" s="69" t="s">
        <v>53</v>
      </c>
      <c r="C4" s="69" t="s">
        <v>54</v>
      </c>
      <c r="D4" s="69" t="s">
        <v>53</v>
      </c>
      <c r="E4" s="70">
        <v>3.0</v>
      </c>
      <c r="F4" s="70">
        <v>3.0</v>
      </c>
      <c r="G4" s="71">
        <v>5.0</v>
      </c>
      <c r="H4" s="71">
        <v>7.0</v>
      </c>
      <c r="I4" s="71">
        <v>12.0</v>
      </c>
      <c r="J4" s="71">
        <v>24.0</v>
      </c>
      <c r="K4" s="72">
        <v>123.0</v>
      </c>
      <c r="L4" s="72"/>
      <c r="M4" s="66"/>
      <c r="N4" s="68" t="s">
        <v>55</v>
      </c>
      <c r="O4" s="68" t="s">
        <v>56</v>
      </c>
      <c r="P4" s="68" t="s">
        <v>55</v>
      </c>
      <c r="Q4" s="73">
        <v>1.0</v>
      </c>
      <c r="R4" s="73">
        <v>1.0</v>
      </c>
      <c r="S4" s="66">
        <f t="array" ref="S4">IFERROR(XLOOKUP(P4,MedalImport!G:G,MedalImport!C:C,0),0)</f>
        <v>8</v>
      </c>
      <c r="T4" s="66">
        <f t="array" ref="T4">IFERROR(XLOOKUP(P4,MedalImport!G:G,MedalImport!D:D,0),0)</f>
        <v>10</v>
      </c>
      <c r="U4" s="66">
        <f t="array" ref="U4">IFERROR(XLOOKUP(P4,MedalImport!G:G,MedalImport!E:E,0),0)</f>
        <v>8</v>
      </c>
      <c r="V4" s="66">
        <f t="shared" si="1"/>
        <v>26</v>
      </c>
      <c r="W4" s="66">
        <f t="shared" si="2"/>
        <v>52</v>
      </c>
      <c r="X4" s="66" t="str">
        <f t="shared" si="3"/>
        <v/>
      </c>
      <c r="Y4" s="29" t="str">
        <f t="shared" si="4"/>
        <v>de</v>
      </c>
      <c r="AC4" s="66"/>
      <c r="AD4" s="66"/>
      <c r="AE4" s="66"/>
    </row>
    <row r="5" ht="22.5" customHeight="1">
      <c r="A5" s="68"/>
      <c r="B5" s="69" t="s">
        <v>57</v>
      </c>
      <c r="C5" s="69" t="s">
        <v>58</v>
      </c>
      <c r="D5" s="69" t="s">
        <v>57</v>
      </c>
      <c r="E5" s="70">
        <v>5.0</v>
      </c>
      <c r="F5" s="70">
        <v>10.0</v>
      </c>
      <c r="G5" s="71">
        <v>3.0</v>
      </c>
      <c r="H5" s="71">
        <v>1.0</v>
      </c>
      <c r="I5" s="71">
        <v>1.0</v>
      </c>
      <c r="J5" s="71">
        <v>5.0</v>
      </c>
      <c r="K5" s="72">
        <v>120.0</v>
      </c>
      <c r="L5" s="72"/>
      <c r="M5" s="66"/>
      <c r="N5" s="68" t="s">
        <v>59</v>
      </c>
      <c r="O5" s="68" t="s">
        <v>60</v>
      </c>
      <c r="P5" s="68" t="s">
        <v>59</v>
      </c>
      <c r="Q5" s="73">
        <v>1.0</v>
      </c>
      <c r="R5" s="73">
        <v>1.0</v>
      </c>
      <c r="S5" s="66">
        <f t="array" ref="S5">IFERROR(XLOOKUP(P5,MedalImport!G:G,MedalImport!C:C,0),0)</f>
        <v>5</v>
      </c>
      <c r="T5" s="66">
        <f t="array" ref="T5">IFERROR(XLOOKUP(P5,MedalImport!G:G,MedalImport!D:D,0),0)</f>
        <v>7</v>
      </c>
      <c r="U5" s="66">
        <f t="array" ref="U5">IFERROR(XLOOKUP(P5,MedalImport!G:G,MedalImport!E:E,0),0)</f>
        <v>9</v>
      </c>
      <c r="V5" s="66">
        <f t="shared" si="1"/>
        <v>21</v>
      </c>
      <c r="W5" s="66">
        <f t="shared" si="2"/>
        <v>38</v>
      </c>
      <c r="X5" s="66" t="str">
        <f t="shared" si="3"/>
        <v/>
      </c>
      <c r="Y5" s="29" t="str">
        <f t="shared" si="4"/>
        <v>ca</v>
      </c>
      <c r="AC5" s="66"/>
      <c r="AD5" s="66"/>
      <c r="AE5" s="66"/>
    </row>
    <row r="6" ht="22.5" customHeight="1">
      <c r="A6" s="68"/>
      <c r="B6" s="69" t="s">
        <v>61</v>
      </c>
      <c r="C6" s="69" t="s">
        <v>62</v>
      </c>
      <c r="D6" s="69" t="s">
        <v>61</v>
      </c>
      <c r="E6" s="70">
        <v>6.0</v>
      </c>
      <c r="F6" s="70">
        <v>20.0</v>
      </c>
      <c r="G6" s="71">
        <v>0.0</v>
      </c>
      <c r="H6" s="71">
        <v>2.0</v>
      </c>
      <c r="I6" s="71">
        <v>1.0</v>
      </c>
      <c r="J6" s="71">
        <v>3.0</v>
      </c>
      <c r="K6" s="72">
        <v>100.0</v>
      </c>
      <c r="L6" s="72"/>
      <c r="M6" s="66"/>
      <c r="N6" s="68" t="s">
        <v>63</v>
      </c>
      <c r="O6" s="68" t="s">
        <v>64</v>
      </c>
      <c r="P6" s="68" t="s">
        <v>63</v>
      </c>
      <c r="Q6" s="73">
        <v>2.0</v>
      </c>
      <c r="R6" s="73">
        <v>2.0</v>
      </c>
      <c r="S6" s="66">
        <f t="array" ref="S6">IFERROR(XLOOKUP(P6,MedalImport!G:G,MedalImport!C:C,0),0)</f>
        <v>10</v>
      </c>
      <c r="T6" s="66">
        <f t="array" ref="T6">IFERROR(XLOOKUP(P6,MedalImport!G:G,MedalImport!D:D,0),0)</f>
        <v>7</v>
      </c>
      <c r="U6" s="66">
        <f t="array" ref="U6">IFERROR(XLOOKUP(P6,MedalImport!G:G,MedalImport!E:E,0),0)</f>
        <v>3</v>
      </c>
      <c r="V6" s="66">
        <f t="shared" si="1"/>
        <v>20</v>
      </c>
      <c r="W6" s="66">
        <f t="shared" si="2"/>
        <v>94</v>
      </c>
      <c r="X6" s="66" t="str">
        <f t="shared" si="3"/>
        <v/>
      </c>
      <c r="Y6" s="29" t="str">
        <f t="shared" si="4"/>
        <v>nl</v>
      </c>
      <c r="AC6" s="66"/>
      <c r="AD6" s="66"/>
      <c r="AE6" s="66"/>
    </row>
    <row r="7" ht="22.5" customHeight="1">
      <c r="A7" s="68"/>
      <c r="B7" s="69" t="s">
        <v>65</v>
      </c>
      <c r="C7" s="69" t="s">
        <v>66</v>
      </c>
      <c r="D7" s="69" t="s">
        <v>65</v>
      </c>
      <c r="E7" s="70">
        <v>6.0</v>
      </c>
      <c r="F7" s="70">
        <v>20.0</v>
      </c>
      <c r="G7" s="71">
        <v>1.0</v>
      </c>
      <c r="H7" s="71">
        <v>0.0</v>
      </c>
      <c r="I7" s="71">
        <v>2.0</v>
      </c>
      <c r="J7" s="71">
        <v>3.0</v>
      </c>
      <c r="K7" s="72">
        <v>100.0</v>
      </c>
      <c r="L7" s="72"/>
      <c r="M7" s="66"/>
      <c r="N7" s="68" t="s">
        <v>67</v>
      </c>
      <c r="O7" s="68" t="s">
        <v>68</v>
      </c>
      <c r="P7" s="68" t="s">
        <v>67</v>
      </c>
      <c r="Q7" s="73">
        <v>2.0</v>
      </c>
      <c r="R7" s="73">
        <v>2.0</v>
      </c>
      <c r="S7" s="66">
        <f t="array" ref="S7">IFERROR(XLOOKUP(P7,MedalImport!G:G,MedalImport!C:C,0),0)</f>
        <v>5</v>
      </c>
      <c r="T7" s="66">
        <f t="array" ref="T7">IFERROR(XLOOKUP(P7,MedalImport!G:G,MedalImport!D:D,0),0)</f>
        <v>8</v>
      </c>
      <c r="U7" s="66">
        <f t="array" ref="U7">IFERROR(XLOOKUP(P7,MedalImport!G:G,MedalImport!E:E,0),0)</f>
        <v>5</v>
      </c>
      <c r="V7" s="66">
        <f t="shared" si="1"/>
        <v>18</v>
      </c>
      <c r="W7" s="66">
        <f t="shared" si="2"/>
        <v>72</v>
      </c>
      <c r="X7" s="66" t="str">
        <f t="shared" si="3"/>
        <v/>
      </c>
      <c r="Y7" s="29" t="str">
        <f t="shared" si="4"/>
        <v>at</v>
      </c>
      <c r="Z7" s="66"/>
      <c r="AA7" s="66"/>
      <c r="AB7" s="66"/>
      <c r="AC7" s="66"/>
      <c r="AD7" s="66"/>
      <c r="AE7" s="66"/>
    </row>
    <row r="8" ht="22.5" customHeight="1">
      <c r="A8" s="68"/>
      <c r="B8" s="69" t="s">
        <v>69</v>
      </c>
      <c r="C8" s="69" t="s">
        <v>70</v>
      </c>
      <c r="D8" s="69" t="s">
        <v>69</v>
      </c>
      <c r="E8" s="70">
        <v>2.0</v>
      </c>
      <c r="F8" s="70">
        <v>2.0</v>
      </c>
      <c r="G8" s="71">
        <v>8.0</v>
      </c>
      <c r="H8" s="71">
        <v>9.0</v>
      </c>
      <c r="I8" s="71">
        <v>6.0</v>
      </c>
      <c r="J8" s="71">
        <v>23.0</v>
      </c>
      <c r="K8" s="72">
        <v>96.0</v>
      </c>
      <c r="L8" s="72"/>
      <c r="M8" s="66"/>
      <c r="N8" s="68" t="s">
        <v>69</v>
      </c>
      <c r="O8" s="68" t="s">
        <v>70</v>
      </c>
      <c r="P8" s="68" t="s">
        <v>69</v>
      </c>
      <c r="Q8" s="73">
        <v>2.0</v>
      </c>
      <c r="R8" s="73">
        <v>2.0</v>
      </c>
      <c r="S8" s="66">
        <f t="array" ref="S8">IFERROR(XLOOKUP(P8,MedalImport!G:G,MedalImport!C:C,0),0)</f>
        <v>8</v>
      </c>
      <c r="T8" s="66">
        <f t="array" ref="T8">IFERROR(XLOOKUP(P8,MedalImport!G:G,MedalImport!D:D,0),0)</f>
        <v>9</v>
      </c>
      <c r="U8" s="66">
        <f t="array" ref="U8">IFERROR(XLOOKUP(P8,MedalImport!G:G,MedalImport!E:E,0),0)</f>
        <v>6</v>
      </c>
      <c r="V8" s="66">
        <f t="shared" si="1"/>
        <v>23</v>
      </c>
      <c r="W8" s="66">
        <f t="shared" si="2"/>
        <v>96</v>
      </c>
      <c r="X8" s="66" t="str">
        <f t="shared" si="3"/>
        <v/>
      </c>
      <c r="Y8" s="29" t="str">
        <f t="shared" si="4"/>
        <v>fr</v>
      </c>
      <c r="Z8" s="66"/>
      <c r="AA8" s="66"/>
      <c r="AB8" s="66"/>
      <c r="AC8" s="66"/>
      <c r="AD8" s="66"/>
      <c r="AE8" s="66"/>
    </row>
    <row r="9" ht="22.5" customHeight="1">
      <c r="A9" s="68"/>
      <c r="B9" s="69" t="s">
        <v>63</v>
      </c>
      <c r="C9" s="69" t="s">
        <v>64</v>
      </c>
      <c r="D9" s="69" t="s">
        <v>63</v>
      </c>
      <c r="E9" s="70">
        <v>2.0</v>
      </c>
      <c r="F9" s="70">
        <v>2.0</v>
      </c>
      <c r="G9" s="71">
        <v>10.0</v>
      </c>
      <c r="H9" s="71">
        <v>7.0</v>
      </c>
      <c r="I9" s="71">
        <v>3.0</v>
      </c>
      <c r="J9" s="71">
        <v>20.0</v>
      </c>
      <c r="K9" s="72">
        <v>94.0</v>
      </c>
      <c r="L9" s="72"/>
      <c r="M9" s="66"/>
      <c r="N9" s="68" t="s">
        <v>71</v>
      </c>
      <c r="O9" s="68" t="s">
        <v>72</v>
      </c>
      <c r="P9" s="68" t="s">
        <v>71</v>
      </c>
      <c r="Q9" s="73">
        <v>2.0</v>
      </c>
      <c r="R9" s="73">
        <v>2.0</v>
      </c>
      <c r="S9" s="66">
        <f t="array" ref="S9">IFERROR(XLOOKUP(P9,MedalImport!G:G,MedalImport!C:C,0),0)</f>
        <v>6</v>
      </c>
      <c r="T9" s="66">
        <f t="array" ref="T9">IFERROR(XLOOKUP(P9,MedalImport!G:G,MedalImport!D:D,0),0)</f>
        <v>9</v>
      </c>
      <c r="U9" s="66">
        <f t="array" ref="U9">IFERROR(XLOOKUP(P9,MedalImport!G:G,MedalImport!E:E,0),0)</f>
        <v>8</v>
      </c>
      <c r="V9" s="66">
        <f t="shared" si="1"/>
        <v>23</v>
      </c>
      <c r="W9" s="66">
        <f t="shared" si="2"/>
        <v>88</v>
      </c>
      <c r="X9" s="66" t="str">
        <f t="shared" si="3"/>
        <v/>
      </c>
      <c r="Y9" s="29" t="str">
        <f t="shared" si="4"/>
        <v>ch</v>
      </c>
      <c r="Z9" s="66"/>
      <c r="AA9" s="66"/>
      <c r="AB9" s="66"/>
      <c r="AC9" s="66"/>
      <c r="AD9" s="66"/>
      <c r="AE9" s="66"/>
    </row>
    <row r="10" ht="22.5" customHeight="1">
      <c r="A10" s="68"/>
      <c r="B10" s="69" t="s">
        <v>47</v>
      </c>
      <c r="C10" s="69" t="s">
        <v>48</v>
      </c>
      <c r="D10" s="69" t="s">
        <v>47</v>
      </c>
      <c r="E10" s="70">
        <v>1.0</v>
      </c>
      <c r="F10" s="70">
        <v>1.0</v>
      </c>
      <c r="G10" s="71">
        <v>18.0</v>
      </c>
      <c r="H10" s="71">
        <v>12.0</v>
      </c>
      <c r="I10" s="71">
        <v>11.0</v>
      </c>
      <c r="J10" s="71">
        <v>41.0</v>
      </c>
      <c r="K10" s="72">
        <v>89.0</v>
      </c>
      <c r="L10" s="72"/>
      <c r="M10" s="66"/>
      <c r="N10" s="68" t="s">
        <v>73</v>
      </c>
      <c r="O10" s="68" t="s">
        <v>74</v>
      </c>
      <c r="P10" s="68" t="s">
        <v>73</v>
      </c>
      <c r="Q10" s="73">
        <v>2.0</v>
      </c>
      <c r="R10" s="73">
        <v>2.0</v>
      </c>
      <c r="S10" s="66">
        <f t="array" ref="S10">IFERROR(XLOOKUP(P10,MedalImport!G:G,MedalImport!C:C,0),0)</f>
        <v>8</v>
      </c>
      <c r="T10" s="66">
        <f t="array" ref="T10">IFERROR(XLOOKUP(P10,MedalImport!G:G,MedalImport!D:D,0),0)</f>
        <v>6</v>
      </c>
      <c r="U10" s="66">
        <f t="array" ref="U10">IFERROR(XLOOKUP(P10,MedalImport!G:G,MedalImport!E:E,0),0)</f>
        <v>4</v>
      </c>
      <c r="V10" s="66">
        <f t="shared" si="1"/>
        <v>18</v>
      </c>
      <c r="W10" s="66">
        <f t="shared" si="2"/>
        <v>80</v>
      </c>
      <c r="X10" s="66" t="str">
        <f t="shared" si="3"/>
        <v/>
      </c>
      <c r="Y10" s="29" t="str">
        <f t="shared" si="4"/>
        <v>se</v>
      </c>
      <c r="Z10" s="66"/>
      <c r="AA10" s="66"/>
      <c r="AB10" s="66"/>
      <c r="AC10" s="66"/>
      <c r="AD10" s="66"/>
      <c r="AE10" s="66"/>
    </row>
    <row r="11" ht="22.5" customHeight="1">
      <c r="A11" s="68"/>
      <c r="B11" s="69" t="s">
        <v>71</v>
      </c>
      <c r="C11" s="69" t="s">
        <v>72</v>
      </c>
      <c r="D11" s="69" t="s">
        <v>71</v>
      </c>
      <c r="E11" s="70">
        <v>2.0</v>
      </c>
      <c r="F11" s="70">
        <v>2.0</v>
      </c>
      <c r="G11" s="71">
        <v>6.0</v>
      </c>
      <c r="H11" s="71">
        <v>9.0</v>
      </c>
      <c r="I11" s="71">
        <v>8.0</v>
      </c>
      <c r="J11" s="71">
        <v>23.0</v>
      </c>
      <c r="K11" s="72">
        <v>88.0</v>
      </c>
      <c r="L11" s="72"/>
      <c r="M11" s="66"/>
      <c r="N11" s="68" t="s">
        <v>75</v>
      </c>
      <c r="O11" s="68" t="s">
        <v>76</v>
      </c>
      <c r="P11" s="68" t="s">
        <v>75</v>
      </c>
      <c r="Q11" s="73">
        <v>2.0</v>
      </c>
      <c r="R11" s="73">
        <v>2.0</v>
      </c>
      <c r="S11" s="66">
        <f t="array" ref="S11">IFERROR(XLOOKUP(P11,MedalImport!G:G,MedalImport!C:C,0),0)</f>
        <v>3</v>
      </c>
      <c r="T11" s="66">
        <f t="array" ref="T11">IFERROR(XLOOKUP(P11,MedalImport!G:G,MedalImport!D:D,0),0)</f>
        <v>4</v>
      </c>
      <c r="U11" s="66">
        <f t="array" ref="U11">IFERROR(XLOOKUP(P11,MedalImport!G:G,MedalImport!E:E,0),0)</f>
        <v>3</v>
      </c>
      <c r="V11" s="66">
        <f t="shared" si="1"/>
        <v>10</v>
      </c>
      <c r="W11" s="66">
        <f t="shared" si="2"/>
        <v>40</v>
      </c>
      <c r="X11" s="66" t="str">
        <f t="shared" si="3"/>
        <v/>
      </c>
      <c r="Y11" s="29" t="str">
        <f t="shared" si="4"/>
        <v>kr</v>
      </c>
      <c r="Z11" s="66"/>
      <c r="AA11" s="66"/>
      <c r="AB11" s="66"/>
      <c r="AC11" s="66"/>
      <c r="AD11" s="66"/>
      <c r="AE11" s="66"/>
    </row>
    <row r="12" ht="22.5" customHeight="1">
      <c r="A12" s="68"/>
      <c r="B12" s="69" t="s">
        <v>77</v>
      </c>
      <c r="C12" s="69" t="s">
        <v>78</v>
      </c>
      <c r="D12" s="69" t="s">
        <v>77</v>
      </c>
      <c r="E12" s="70">
        <v>3.0</v>
      </c>
      <c r="F12" s="70">
        <v>3.0</v>
      </c>
      <c r="G12" s="71">
        <v>5.0</v>
      </c>
      <c r="H12" s="71">
        <v>4.0</v>
      </c>
      <c r="I12" s="71">
        <v>6.0</v>
      </c>
      <c r="J12" s="71">
        <v>15.0</v>
      </c>
      <c r="K12" s="72">
        <v>87.0</v>
      </c>
      <c r="L12" s="72"/>
      <c r="M12" s="66"/>
      <c r="N12" s="68" t="s">
        <v>53</v>
      </c>
      <c r="O12" s="68" t="s">
        <v>54</v>
      </c>
      <c r="P12" s="68" t="s">
        <v>53</v>
      </c>
      <c r="Q12" s="73">
        <v>3.0</v>
      </c>
      <c r="R12" s="73">
        <v>3.0</v>
      </c>
      <c r="S12" s="66">
        <f t="array" ref="S12">IFERROR(XLOOKUP(P12,MedalImport!G:G,MedalImport!C:C,0),0)</f>
        <v>5</v>
      </c>
      <c r="T12" s="66">
        <f t="array" ref="T12">IFERROR(XLOOKUP(P12,MedalImport!G:G,MedalImport!D:D,0),0)</f>
        <v>7</v>
      </c>
      <c r="U12" s="66">
        <f t="array" ref="U12">IFERROR(XLOOKUP(P12,MedalImport!G:G,MedalImport!E:E,0),0)</f>
        <v>12</v>
      </c>
      <c r="V12" s="66">
        <f t="shared" si="1"/>
        <v>24</v>
      </c>
      <c r="W12" s="66">
        <f t="shared" si="2"/>
        <v>123</v>
      </c>
      <c r="X12" s="66" t="str">
        <f t="shared" si="3"/>
        <v/>
      </c>
      <c r="Y12" s="29" t="str">
        <f t="shared" si="4"/>
        <v>jp</v>
      </c>
      <c r="Z12" s="66"/>
      <c r="AA12" s="66"/>
      <c r="AB12" s="66"/>
      <c r="AC12" s="66"/>
      <c r="AD12" s="66"/>
      <c r="AE12" s="66"/>
    </row>
    <row r="13" ht="22.5" customHeight="1">
      <c r="A13" s="68"/>
      <c r="B13" s="69" t="s">
        <v>73</v>
      </c>
      <c r="C13" s="69" t="s">
        <v>74</v>
      </c>
      <c r="D13" s="69" t="s">
        <v>73</v>
      </c>
      <c r="E13" s="70">
        <v>2.0</v>
      </c>
      <c r="F13" s="70">
        <v>2.0</v>
      </c>
      <c r="G13" s="71">
        <v>8.0</v>
      </c>
      <c r="H13" s="71">
        <v>6.0</v>
      </c>
      <c r="I13" s="71">
        <v>4.0</v>
      </c>
      <c r="J13" s="71">
        <v>18.0</v>
      </c>
      <c r="K13" s="72">
        <v>80.0</v>
      </c>
      <c r="L13" s="72"/>
      <c r="M13" s="66"/>
      <c r="N13" s="68" t="s">
        <v>46</v>
      </c>
      <c r="O13" s="68" t="s">
        <v>45</v>
      </c>
      <c r="P13" s="68" t="s">
        <v>46</v>
      </c>
      <c r="Q13" s="73">
        <v>3.0</v>
      </c>
      <c r="R13" s="73">
        <v>3.0</v>
      </c>
      <c r="S13" s="66">
        <f t="array" ref="S13">IFERROR(XLOOKUP(P13,MedalImport!G:G,MedalImport!C:C,0),0)</f>
        <v>10</v>
      </c>
      <c r="T13" s="66">
        <f t="array" ref="T13">IFERROR(XLOOKUP(P13,MedalImport!G:G,MedalImport!D:D,0),0)</f>
        <v>6</v>
      </c>
      <c r="U13" s="66">
        <f t="array" ref="U13">IFERROR(XLOOKUP(P13,MedalImport!G:G,MedalImport!E:E,0),0)</f>
        <v>14</v>
      </c>
      <c r="V13" s="66">
        <f t="shared" si="1"/>
        <v>30</v>
      </c>
      <c r="W13" s="66">
        <f t="shared" si="2"/>
        <v>168</v>
      </c>
      <c r="X13" s="66" t="str">
        <f t="shared" si="3"/>
        <v/>
      </c>
      <c r="Y13" s="29" t="str">
        <f t="shared" si="4"/>
        <v>it</v>
      </c>
      <c r="Z13" s="66"/>
      <c r="AA13" s="66"/>
      <c r="AB13" s="66"/>
      <c r="AC13" s="66"/>
      <c r="AD13" s="66"/>
      <c r="AE13" s="66"/>
    </row>
    <row r="14" ht="22.5" customHeight="1">
      <c r="A14" s="68"/>
      <c r="B14" s="69" t="s">
        <v>67</v>
      </c>
      <c r="C14" s="69" t="s">
        <v>68</v>
      </c>
      <c r="D14" s="69" t="s">
        <v>67</v>
      </c>
      <c r="E14" s="70">
        <v>2.0</v>
      </c>
      <c r="F14" s="70">
        <v>2.0</v>
      </c>
      <c r="G14" s="71">
        <v>5.0</v>
      </c>
      <c r="H14" s="71">
        <v>8.0</v>
      </c>
      <c r="I14" s="71">
        <v>5.0</v>
      </c>
      <c r="J14" s="71">
        <v>18.0</v>
      </c>
      <c r="K14" s="72">
        <v>72.0</v>
      </c>
      <c r="L14" s="72"/>
      <c r="M14" s="66"/>
      <c r="N14" s="68" t="s">
        <v>77</v>
      </c>
      <c r="O14" s="68" t="s">
        <v>78</v>
      </c>
      <c r="P14" s="68" t="s">
        <v>77</v>
      </c>
      <c r="Q14" s="73">
        <v>3.0</v>
      </c>
      <c r="R14" s="73">
        <v>3.0</v>
      </c>
      <c r="S14" s="66">
        <f t="array" ref="S14">IFERROR(XLOOKUP(P14,MedalImport!G:G,MedalImport!C:C,0),0)</f>
        <v>5</v>
      </c>
      <c r="T14" s="66">
        <f t="array" ref="T14">IFERROR(XLOOKUP(P14,MedalImport!G:G,MedalImport!D:D,0),0)</f>
        <v>4</v>
      </c>
      <c r="U14" s="66">
        <f t="array" ref="U14">IFERROR(XLOOKUP(P14,MedalImport!G:G,MedalImport!E:E,0),0)</f>
        <v>6</v>
      </c>
      <c r="V14" s="66">
        <f t="shared" si="1"/>
        <v>15</v>
      </c>
      <c r="W14" s="66">
        <f t="shared" si="2"/>
        <v>87</v>
      </c>
      <c r="X14" s="66" t="str">
        <f t="shared" si="3"/>
        <v/>
      </c>
      <c r="Y14" s="29" t="str">
        <f t="shared" si="4"/>
        <v>cn</v>
      </c>
      <c r="Z14" s="66"/>
      <c r="AA14" s="66"/>
      <c r="AB14" s="66"/>
      <c r="AC14" s="66"/>
      <c r="AD14" s="66"/>
      <c r="AE14" s="66"/>
    </row>
    <row r="15" ht="22.5" customHeight="1">
      <c r="A15" s="68"/>
      <c r="B15" s="69" t="s">
        <v>79</v>
      </c>
      <c r="C15" s="69" t="s">
        <v>80</v>
      </c>
      <c r="D15" s="69" t="s">
        <v>79</v>
      </c>
      <c r="E15" s="70">
        <v>5.0</v>
      </c>
      <c r="F15" s="70">
        <v>10.0</v>
      </c>
      <c r="G15" s="71">
        <v>0.0</v>
      </c>
      <c r="H15" s="71">
        <v>3.0</v>
      </c>
      <c r="I15" s="71">
        <v>1.0</v>
      </c>
      <c r="J15" s="71">
        <v>4.0</v>
      </c>
      <c r="K15" s="72">
        <v>70.0</v>
      </c>
      <c r="L15" s="72"/>
      <c r="M15" s="66"/>
      <c r="N15" s="68" t="s">
        <v>81</v>
      </c>
      <c r="O15" s="68" t="s">
        <v>82</v>
      </c>
      <c r="P15" s="68" t="s">
        <v>81</v>
      </c>
      <c r="Q15" s="73">
        <v>4.0</v>
      </c>
      <c r="R15" s="73">
        <v>6.0</v>
      </c>
      <c r="S15" s="66">
        <f t="array" ref="S15">IFERROR(XLOOKUP(P15,MedalImport!G:G,MedalImport!C:C,0),0)</f>
        <v>0</v>
      </c>
      <c r="T15" s="66">
        <f t="array" ref="T15">IFERROR(XLOOKUP(P15,MedalImport!G:G,MedalImport!D:D,0),0)</f>
        <v>1</v>
      </c>
      <c r="U15" s="66">
        <f t="array" ref="U15">IFERROR(XLOOKUP(P15,MedalImport!G:G,MedalImport!E:E,0),0)</f>
        <v>5</v>
      </c>
      <c r="V15" s="66">
        <f t="shared" si="1"/>
        <v>6</v>
      </c>
      <c r="W15" s="66">
        <f t="shared" si="2"/>
        <v>42</v>
      </c>
      <c r="X15" s="66" t="str">
        <f t="shared" si="3"/>
        <v/>
      </c>
      <c r="Y15" s="29" t="str">
        <f t="shared" si="4"/>
        <v>fi</v>
      </c>
      <c r="Z15" s="66"/>
      <c r="AA15" s="66"/>
      <c r="AB15" s="66"/>
      <c r="AC15" s="66"/>
      <c r="AD15" s="66"/>
      <c r="AE15" s="66"/>
    </row>
    <row r="16" ht="22.5" customHeight="1">
      <c r="A16" s="68"/>
      <c r="B16" s="69" t="s">
        <v>51</v>
      </c>
      <c r="C16" s="69" t="s">
        <v>52</v>
      </c>
      <c r="D16" s="69" t="s">
        <v>51</v>
      </c>
      <c r="E16" s="70">
        <v>1.0</v>
      </c>
      <c r="F16" s="70">
        <v>1.0</v>
      </c>
      <c r="G16" s="71">
        <v>12.0</v>
      </c>
      <c r="H16" s="71">
        <v>12.0</v>
      </c>
      <c r="I16" s="71">
        <v>9.0</v>
      </c>
      <c r="J16" s="71">
        <v>33.0</v>
      </c>
      <c r="K16" s="72">
        <v>69.0</v>
      </c>
      <c r="L16" s="72"/>
      <c r="M16" s="66"/>
      <c r="N16" s="68" t="s">
        <v>83</v>
      </c>
      <c r="O16" s="68" t="s">
        <v>84</v>
      </c>
      <c r="P16" s="68" t="s">
        <v>83</v>
      </c>
      <c r="Q16" s="73">
        <v>4.0</v>
      </c>
      <c r="R16" s="73">
        <v>6.0</v>
      </c>
      <c r="S16" s="66">
        <f t="array" ref="S16">IFERROR(XLOOKUP(P16,MedalImport!G:G,MedalImport!C:C,0),0)</f>
        <v>2</v>
      </c>
      <c r="T16" s="66">
        <f t="array" ref="T16">IFERROR(XLOOKUP(P16,MedalImport!G:G,MedalImport!D:D,0),0)</f>
        <v>1</v>
      </c>
      <c r="U16" s="66">
        <f t="array" ref="U16">IFERROR(XLOOKUP(P16,MedalImport!G:G,MedalImport!E:E,0),0)</f>
        <v>1</v>
      </c>
      <c r="V16" s="66">
        <f t="shared" si="1"/>
        <v>4</v>
      </c>
      <c r="W16" s="66">
        <f t="shared" si="2"/>
        <v>54</v>
      </c>
      <c r="X16" s="66" t="str">
        <f t="shared" si="3"/>
        <v/>
      </c>
      <c r="Y16" s="29" t="str">
        <f t="shared" si="4"/>
        <v>si</v>
      </c>
      <c r="Z16" s="66"/>
      <c r="AA16" s="66"/>
      <c r="AB16" s="66"/>
      <c r="AC16" s="66"/>
      <c r="AD16" s="66"/>
      <c r="AE16" s="66"/>
    </row>
    <row r="17" ht="22.5" customHeight="1">
      <c r="A17" s="68"/>
      <c r="B17" s="69" t="s">
        <v>85</v>
      </c>
      <c r="C17" s="69" t="s">
        <v>86</v>
      </c>
      <c r="D17" s="69" t="s">
        <v>85</v>
      </c>
      <c r="E17" s="70">
        <v>4.0</v>
      </c>
      <c r="F17" s="70">
        <v>6.0</v>
      </c>
      <c r="G17" s="71">
        <v>2.0</v>
      </c>
      <c r="H17" s="71">
        <v>2.0</v>
      </c>
      <c r="I17" s="71">
        <v>1.0</v>
      </c>
      <c r="J17" s="71">
        <v>5.0</v>
      </c>
      <c r="K17" s="72">
        <v>66.0</v>
      </c>
      <c r="L17" s="72"/>
      <c r="M17" s="66"/>
      <c r="N17" s="68" t="s">
        <v>85</v>
      </c>
      <c r="O17" s="68" t="s">
        <v>86</v>
      </c>
      <c r="P17" s="68" t="s">
        <v>85</v>
      </c>
      <c r="Q17" s="73">
        <v>4.0</v>
      </c>
      <c r="R17" s="73">
        <v>6.0</v>
      </c>
      <c r="S17" s="66">
        <f t="array" ref="S17">IFERROR(XLOOKUP(P17,MedalImport!G:G,MedalImport!C:C,0),0)</f>
        <v>2</v>
      </c>
      <c r="T17" s="66">
        <f t="array" ref="T17">IFERROR(XLOOKUP(P17,MedalImport!G:G,MedalImport!D:D,0),0)</f>
        <v>2</v>
      </c>
      <c r="U17" s="66">
        <f t="array" ref="U17">IFERROR(XLOOKUP(P17,MedalImport!G:G,MedalImport!E:E,0),0)</f>
        <v>1</v>
      </c>
      <c r="V17" s="66">
        <f t="shared" si="1"/>
        <v>5</v>
      </c>
      <c r="W17" s="66">
        <f t="shared" si="2"/>
        <v>66</v>
      </c>
      <c r="X17" s="66" t="str">
        <f t="shared" si="3"/>
        <v/>
      </c>
      <c r="Y17" s="29" t="str">
        <f t="shared" si="4"/>
        <v>cz</v>
      </c>
      <c r="Z17" s="66"/>
      <c r="AA17" s="66"/>
      <c r="AB17" s="66"/>
      <c r="AC17" s="66"/>
      <c r="AD17" s="66"/>
      <c r="AE17" s="66"/>
    </row>
    <row r="18" ht="22.5" customHeight="1">
      <c r="A18" s="68"/>
      <c r="B18" s="69" t="s">
        <v>87</v>
      </c>
      <c r="C18" s="69" t="s">
        <v>88</v>
      </c>
      <c r="D18" s="69" t="s">
        <v>87</v>
      </c>
      <c r="E18" s="70">
        <v>6.0</v>
      </c>
      <c r="F18" s="70">
        <v>20.0</v>
      </c>
      <c r="G18" s="71">
        <v>1.0</v>
      </c>
      <c r="H18" s="71">
        <v>0.0</v>
      </c>
      <c r="I18" s="71">
        <v>0.0</v>
      </c>
      <c r="J18" s="71">
        <v>1.0</v>
      </c>
      <c r="K18" s="72">
        <v>60.0</v>
      </c>
      <c r="L18" s="72"/>
      <c r="M18" s="66"/>
      <c r="N18" s="68" t="s">
        <v>57</v>
      </c>
      <c r="O18" s="68" t="s">
        <v>58</v>
      </c>
      <c r="P18" s="68" t="s">
        <v>57</v>
      </c>
      <c r="Q18" s="73">
        <v>5.0</v>
      </c>
      <c r="R18" s="73">
        <v>10.0</v>
      </c>
      <c r="S18" s="66">
        <f t="array" ref="S18">IFERROR(XLOOKUP(P18,MedalImport!G:G,MedalImport!C:C,0),0)</f>
        <v>3</v>
      </c>
      <c r="T18" s="66">
        <f t="array" ref="T18">IFERROR(XLOOKUP(P18,MedalImport!G:G,MedalImport!D:D,0),0)</f>
        <v>1</v>
      </c>
      <c r="U18" s="66">
        <f t="array" ref="U18">IFERROR(XLOOKUP(P18,MedalImport!G:G,MedalImport!E:E,0),0)</f>
        <v>1</v>
      </c>
      <c r="V18" s="66">
        <f t="shared" si="1"/>
        <v>5</v>
      </c>
      <c r="W18" s="66">
        <f t="shared" si="2"/>
        <v>120</v>
      </c>
      <c r="X18" s="66" t="str">
        <f t="shared" si="3"/>
        <v/>
      </c>
      <c r="Y18" s="29" t="str">
        <f t="shared" si="4"/>
        <v>gb</v>
      </c>
      <c r="Z18" s="66"/>
      <c r="AA18" s="66"/>
      <c r="AB18" s="66"/>
      <c r="AC18" s="66"/>
      <c r="AD18" s="66"/>
      <c r="AE18" s="66"/>
    </row>
    <row r="19" ht="22.5" customHeight="1">
      <c r="A19" s="68"/>
      <c r="B19" s="69" t="s">
        <v>89</v>
      </c>
      <c r="C19" s="69" t="s">
        <v>90</v>
      </c>
      <c r="D19" s="69" t="s">
        <v>89</v>
      </c>
      <c r="E19" s="70">
        <v>6.0</v>
      </c>
      <c r="F19" s="70">
        <v>20.0</v>
      </c>
      <c r="G19" s="71">
        <v>1.0</v>
      </c>
      <c r="H19" s="71">
        <v>0.0</v>
      </c>
      <c r="I19" s="71">
        <v>0.0</v>
      </c>
      <c r="J19" s="71">
        <v>1.0</v>
      </c>
      <c r="K19" s="72">
        <v>60.0</v>
      </c>
      <c r="L19" s="72"/>
      <c r="M19" s="66"/>
      <c r="N19" s="68" t="s">
        <v>79</v>
      </c>
      <c r="O19" s="68" t="s">
        <v>80</v>
      </c>
      <c r="P19" s="68" t="s">
        <v>79</v>
      </c>
      <c r="Q19" s="73">
        <v>5.0</v>
      </c>
      <c r="R19" s="73">
        <v>10.0</v>
      </c>
      <c r="S19" s="66">
        <f t="array" ref="S19">IFERROR(XLOOKUP(P19,MedalImport!G:G,MedalImport!C:C,0),0)</f>
        <v>0</v>
      </c>
      <c r="T19" s="66">
        <f t="array" ref="T19">IFERROR(XLOOKUP(P19,MedalImport!G:G,MedalImport!D:D,0),0)</f>
        <v>3</v>
      </c>
      <c r="U19" s="66">
        <f t="array" ref="U19">IFERROR(XLOOKUP(P19,MedalImport!G:G,MedalImport!E:E,0),0)</f>
        <v>1</v>
      </c>
      <c r="V19" s="66">
        <f t="shared" si="1"/>
        <v>4</v>
      </c>
      <c r="W19" s="66">
        <f t="shared" si="2"/>
        <v>70</v>
      </c>
      <c r="X19" s="66" t="str">
        <f t="shared" si="3"/>
        <v/>
      </c>
      <c r="Y19" s="29" t="str">
        <f t="shared" si="4"/>
        <v>pl</v>
      </c>
      <c r="Z19" s="66"/>
      <c r="AA19" s="66"/>
      <c r="AB19" s="66"/>
      <c r="AC19" s="66"/>
      <c r="AD19" s="66"/>
      <c r="AE19" s="66"/>
    </row>
    <row r="20" ht="22.5" customHeight="1">
      <c r="A20" s="68"/>
      <c r="B20" s="69" t="s">
        <v>83</v>
      </c>
      <c r="C20" s="69" t="s">
        <v>84</v>
      </c>
      <c r="D20" s="69" t="s">
        <v>83</v>
      </c>
      <c r="E20" s="70">
        <v>4.0</v>
      </c>
      <c r="F20" s="70">
        <v>6.0</v>
      </c>
      <c r="G20" s="71">
        <v>2.0</v>
      </c>
      <c r="H20" s="71">
        <v>1.0</v>
      </c>
      <c r="I20" s="71">
        <v>1.0</v>
      </c>
      <c r="J20" s="71">
        <v>4.0</v>
      </c>
      <c r="K20" s="72">
        <v>54.0</v>
      </c>
      <c r="L20" s="72"/>
      <c r="M20" s="66"/>
      <c r="N20" s="68" t="s">
        <v>49</v>
      </c>
      <c r="O20" s="68" t="s">
        <v>50</v>
      </c>
      <c r="P20" s="68" t="s">
        <v>49</v>
      </c>
      <c r="Q20" s="73">
        <v>5.0</v>
      </c>
      <c r="R20" s="73">
        <v>10.0</v>
      </c>
      <c r="S20" s="66">
        <f t="array" ref="S20">IFERROR(XLOOKUP(P20,MedalImport!G:G,MedalImport!C:C,0),0)</f>
        <v>3</v>
      </c>
      <c r="T20" s="66">
        <f t="array" ref="T20">IFERROR(XLOOKUP(P20,MedalImport!G:G,MedalImport!D:D,0),0)</f>
        <v>2</v>
      </c>
      <c r="U20" s="66">
        <f t="array" ref="U20">IFERROR(XLOOKUP(P20,MedalImport!G:G,MedalImport!E:E,0),0)</f>
        <v>1</v>
      </c>
      <c r="V20" s="66">
        <f t="shared" si="1"/>
        <v>6</v>
      </c>
      <c r="W20" s="66">
        <f t="shared" si="2"/>
        <v>140</v>
      </c>
      <c r="X20" s="66" t="str">
        <f t="shared" si="3"/>
        <v/>
      </c>
      <c r="Y20" s="29" t="str">
        <f t="shared" si="4"/>
        <v>au</v>
      </c>
      <c r="Z20" s="66"/>
      <c r="AA20" s="66"/>
      <c r="AB20" s="66"/>
      <c r="AC20" s="66"/>
      <c r="AD20" s="66"/>
      <c r="AE20" s="66"/>
    </row>
    <row r="21" ht="22.5" customHeight="1">
      <c r="A21" s="68"/>
      <c r="B21" s="69" t="s">
        <v>55</v>
      </c>
      <c r="C21" s="69" t="s">
        <v>56</v>
      </c>
      <c r="D21" s="69" t="s">
        <v>55</v>
      </c>
      <c r="E21" s="70">
        <v>1.0</v>
      </c>
      <c r="F21" s="70">
        <v>1.0</v>
      </c>
      <c r="G21" s="71">
        <v>8.0</v>
      </c>
      <c r="H21" s="71">
        <v>10.0</v>
      </c>
      <c r="I21" s="71">
        <v>8.0</v>
      </c>
      <c r="J21" s="71">
        <v>26.0</v>
      </c>
      <c r="K21" s="72">
        <v>52.0</v>
      </c>
      <c r="L21" s="72"/>
      <c r="M21" s="66"/>
      <c r="N21" s="68" t="s">
        <v>91</v>
      </c>
      <c r="O21" s="68" t="s">
        <v>92</v>
      </c>
      <c r="P21" s="68" t="s">
        <v>91</v>
      </c>
      <c r="Q21" s="73">
        <v>5.0</v>
      </c>
      <c r="R21" s="73">
        <v>10.0</v>
      </c>
      <c r="S21" s="66">
        <f t="array" ref="S21">IFERROR(XLOOKUP(P21,MedalImport!G:G,MedalImport!C:C,0),0)</f>
        <v>0</v>
      </c>
      <c r="T21" s="66">
        <f t="array" ref="T21">IFERROR(XLOOKUP(P21,MedalImport!G:G,MedalImport!D:D,0),0)</f>
        <v>1</v>
      </c>
      <c r="U21" s="66">
        <f t="array" ref="U21">IFERROR(XLOOKUP(P21,MedalImport!G:G,MedalImport!E:E,0),0)</f>
        <v>1</v>
      </c>
      <c r="V21" s="66">
        <f t="shared" si="1"/>
        <v>2</v>
      </c>
      <c r="W21" s="66">
        <f t="shared" si="2"/>
        <v>30</v>
      </c>
      <c r="X21" s="66" t="str">
        <f t="shared" si="3"/>
        <v/>
      </c>
      <c r="Y21" s="29" t="str">
        <f t="shared" si="4"/>
        <v>lv</v>
      </c>
      <c r="Z21" s="66"/>
      <c r="AA21" s="66"/>
      <c r="AB21" s="66"/>
      <c r="AC21" s="66"/>
      <c r="AD21" s="66"/>
      <c r="AE21" s="66"/>
    </row>
    <row r="22" ht="22.5" customHeight="1">
      <c r="A22" s="68"/>
      <c r="B22" s="69" t="s">
        <v>81</v>
      </c>
      <c r="C22" s="69" t="s">
        <v>82</v>
      </c>
      <c r="D22" s="69" t="s">
        <v>81</v>
      </c>
      <c r="E22" s="70">
        <v>4.0</v>
      </c>
      <c r="F22" s="70">
        <v>6.0</v>
      </c>
      <c r="G22" s="71">
        <v>0.0</v>
      </c>
      <c r="H22" s="71">
        <v>1.0</v>
      </c>
      <c r="I22" s="71">
        <v>5.0</v>
      </c>
      <c r="J22" s="71">
        <v>6.0</v>
      </c>
      <c r="K22" s="72">
        <v>42.0</v>
      </c>
      <c r="L22" s="72"/>
      <c r="M22" s="66"/>
      <c r="N22" s="68" t="s">
        <v>93</v>
      </c>
      <c r="O22" s="68" t="s">
        <v>94</v>
      </c>
      <c r="P22" s="68" t="s">
        <v>93</v>
      </c>
      <c r="Q22" s="73">
        <v>5.0</v>
      </c>
      <c r="R22" s="73">
        <v>10.0</v>
      </c>
      <c r="S22" s="66">
        <f t="array" ref="S22">IFERROR(XLOOKUP(P22,MedalImport!G:G,MedalImport!C:C,0),0)</f>
        <v>0</v>
      </c>
      <c r="T22" s="66">
        <f t="array" ref="T22">IFERROR(XLOOKUP(P22,MedalImport!G:G,MedalImport!D:D,0),0)</f>
        <v>0</v>
      </c>
      <c r="U22" s="66">
        <f t="array" ref="U22">IFERROR(XLOOKUP(P22,MedalImport!G:G,MedalImport!E:E,0),0)</f>
        <v>0</v>
      </c>
      <c r="V22" s="66">
        <f t="shared" si="1"/>
        <v>0</v>
      </c>
      <c r="W22" s="66">
        <f t="shared" si="2"/>
        <v>0</v>
      </c>
      <c r="X22" s="66" t="str">
        <f t="shared" si="3"/>
        <v/>
      </c>
      <c r="Y22" s="29" t="str">
        <f t="shared" si="4"/>
        <v>sk</v>
      </c>
      <c r="Z22" s="66"/>
      <c r="AA22" s="66"/>
      <c r="AB22" s="66"/>
      <c r="AC22" s="66"/>
      <c r="AD22" s="66"/>
      <c r="AE22" s="66"/>
    </row>
    <row r="23" ht="22.5" customHeight="1">
      <c r="A23" s="68"/>
      <c r="B23" s="69" t="s">
        <v>75</v>
      </c>
      <c r="C23" s="69" t="s">
        <v>76</v>
      </c>
      <c r="D23" s="69" t="s">
        <v>75</v>
      </c>
      <c r="E23" s="70">
        <v>2.0</v>
      </c>
      <c r="F23" s="70">
        <v>2.0</v>
      </c>
      <c r="G23" s="71">
        <v>3.0</v>
      </c>
      <c r="H23" s="71">
        <v>4.0</v>
      </c>
      <c r="I23" s="71">
        <v>3.0</v>
      </c>
      <c r="J23" s="71">
        <v>10.0</v>
      </c>
      <c r="K23" s="72">
        <v>40.0</v>
      </c>
      <c r="L23" s="72"/>
      <c r="M23" s="66"/>
      <c r="N23" s="68" t="s">
        <v>95</v>
      </c>
      <c r="O23" s="68" t="s">
        <v>96</v>
      </c>
      <c r="P23" s="68" t="s">
        <v>95</v>
      </c>
      <c r="Q23" s="73">
        <v>6.0</v>
      </c>
      <c r="R23" s="73">
        <v>20.0</v>
      </c>
      <c r="S23" s="66">
        <f t="array" ref="S23">IFERROR(XLOOKUP(P23,MedalImport!G:G,MedalImport!C:C,0),0)</f>
        <v>0</v>
      </c>
      <c r="T23" s="66">
        <f t="array" ref="T23">IFERROR(XLOOKUP(P23,MedalImport!G:G,MedalImport!D:D,0),0)</f>
        <v>0</v>
      </c>
      <c r="U23" s="66">
        <f t="array" ref="U23">IFERROR(XLOOKUP(P23,MedalImport!G:G,MedalImport!E:E,0),0)</f>
        <v>0</v>
      </c>
      <c r="V23" s="66">
        <f t="shared" si="1"/>
        <v>0</v>
      </c>
      <c r="W23" s="66">
        <f t="shared" si="2"/>
        <v>0</v>
      </c>
      <c r="X23" s="66" t="str">
        <f t="shared" si="3"/>
        <v/>
      </c>
      <c r="Y23" s="29" t="str">
        <f t="shared" si="4"/>
        <v>ua</v>
      </c>
      <c r="Z23" s="66"/>
      <c r="AA23" s="66"/>
      <c r="AB23" s="66"/>
      <c r="AC23" s="66"/>
      <c r="AD23" s="66"/>
      <c r="AE23" s="66"/>
    </row>
    <row r="24" ht="22.5" customHeight="1">
      <c r="A24" s="68"/>
      <c r="B24" s="69" t="s">
        <v>97</v>
      </c>
      <c r="C24" s="69" t="s">
        <v>98</v>
      </c>
      <c r="D24" s="69" t="s">
        <v>97</v>
      </c>
      <c r="E24" s="70">
        <v>6.0</v>
      </c>
      <c r="F24" s="70">
        <v>20.0</v>
      </c>
      <c r="G24" s="71">
        <v>0.0</v>
      </c>
      <c r="H24" s="71">
        <v>0.0</v>
      </c>
      <c r="I24" s="71">
        <v>2.0</v>
      </c>
      <c r="J24" s="71">
        <v>2.0</v>
      </c>
      <c r="K24" s="72">
        <v>40.0</v>
      </c>
      <c r="L24" s="72"/>
      <c r="M24" s="66"/>
      <c r="N24" s="68" t="s">
        <v>99</v>
      </c>
      <c r="O24" s="68" t="s">
        <v>100</v>
      </c>
      <c r="P24" s="68" t="s">
        <v>99</v>
      </c>
      <c r="Q24" s="73">
        <v>6.0</v>
      </c>
      <c r="R24" s="73">
        <v>20.0</v>
      </c>
      <c r="S24" s="66">
        <f t="array" ref="S24">IFERROR(XLOOKUP(P24,MedalImport!G:G,MedalImport!C:C,0),0)</f>
        <v>0</v>
      </c>
      <c r="T24" s="66">
        <f t="array" ref="T24">IFERROR(XLOOKUP(P24,MedalImport!G:G,MedalImport!D:D,0),0)</f>
        <v>0</v>
      </c>
      <c r="U24" s="66">
        <f t="array" ref="U24">IFERROR(XLOOKUP(P24,MedalImport!G:G,MedalImport!E:E,0),0)</f>
        <v>0</v>
      </c>
      <c r="V24" s="66">
        <f t="shared" si="1"/>
        <v>0</v>
      </c>
      <c r="W24" s="66">
        <f t="shared" si="2"/>
        <v>0</v>
      </c>
      <c r="X24" s="66" t="str">
        <f t="shared" si="3"/>
        <v/>
      </c>
      <c r="Y24" s="29" t="str">
        <f t="shared" si="4"/>
        <v>hu</v>
      </c>
      <c r="Z24" s="66"/>
      <c r="AA24" s="66"/>
      <c r="AB24" s="66"/>
      <c r="AC24" s="66"/>
      <c r="AD24" s="66"/>
      <c r="AE24" s="66"/>
    </row>
    <row r="25" ht="22.5" customHeight="1">
      <c r="A25" s="68"/>
      <c r="B25" s="69" t="s">
        <v>101</v>
      </c>
      <c r="C25" s="69" t="s">
        <v>102</v>
      </c>
      <c r="D25" s="69" t="s">
        <v>101</v>
      </c>
      <c r="E25" s="70">
        <v>6.0</v>
      </c>
      <c r="F25" s="70">
        <v>20.0</v>
      </c>
      <c r="G25" s="71">
        <v>0.0</v>
      </c>
      <c r="H25" s="71">
        <v>1.0</v>
      </c>
      <c r="I25" s="71">
        <v>0.0</v>
      </c>
      <c r="J25" s="71">
        <v>1.0</v>
      </c>
      <c r="K25" s="72">
        <v>40.0</v>
      </c>
      <c r="L25" s="72"/>
      <c r="M25" s="66"/>
      <c r="N25" s="68" t="s">
        <v>103</v>
      </c>
      <c r="O25" s="68" t="s">
        <v>104</v>
      </c>
      <c r="P25" s="68" t="s">
        <v>103</v>
      </c>
      <c r="Q25" s="73">
        <v>6.0</v>
      </c>
      <c r="R25" s="73">
        <v>20.0</v>
      </c>
      <c r="S25" s="66">
        <f t="array" ref="S25">IFERROR(XLOOKUP(P25,MedalImport!G:G,MedalImport!C:C,0),0)</f>
        <v>0</v>
      </c>
      <c r="T25" s="66">
        <f t="array" ref="T25">IFERROR(XLOOKUP(P25,MedalImport!G:G,MedalImport!D:D,0),0)</f>
        <v>0</v>
      </c>
      <c r="U25" s="66">
        <f t="array" ref="U25">IFERROR(XLOOKUP(P25,MedalImport!G:G,MedalImport!E:E,0),0)</f>
        <v>0</v>
      </c>
      <c r="V25" s="66">
        <f t="shared" si="1"/>
        <v>0</v>
      </c>
      <c r="W25" s="66">
        <f t="shared" si="2"/>
        <v>0</v>
      </c>
      <c r="X25" s="66" t="str">
        <f t="shared" si="3"/>
        <v/>
      </c>
      <c r="Y25" s="29" t="str">
        <f t="shared" si="4"/>
        <v>al</v>
      </c>
      <c r="Z25" s="66"/>
      <c r="AA25" s="66"/>
      <c r="AB25" s="66"/>
      <c r="AC25" s="66"/>
      <c r="AD25" s="66"/>
      <c r="AE25" s="66"/>
    </row>
    <row r="26" ht="22.5" customHeight="1">
      <c r="A26" s="68"/>
      <c r="B26" s="69" t="s">
        <v>105</v>
      </c>
      <c r="C26" s="69" t="s">
        <v>106</v>
      </c>
      <c r="D26" s="69" t="s">
        <v>105</v>
      </c>
      <c r="E26" s="70">
        <v>6.0</v>
      </c>
      <c r="F26" s="70">
        <v>20.0</v>
      </c>
      <c r="G26" s="71">
        <v>0.0</v>
      </c>
      <c r="H26" s="71">
        <v>1.0</v>
      </c>
      <c r="I26" s="71">
        <v>0.0</v>
      </c>
      <c r="J26" s="71">
        <v>1.0</v>
      </c>
      <c r="K26" s="72">
        <v>40.0</v>
      </c>
      <c r="L26" s="72"/>
      <c r="M26" s="66"/>
      <c r="N26" s="68" t="s">
        <v>107</v>
      </c>
      <c r="O26" s="68" t="s">
        <v>108</v>
      </c>
      <c r="P26" s="68" t="s">
        <v>107</v>
      </c>
      <c r="Q26" s="73">
        <v>6.0</v>
      </c>
      <c r="R26" s="73">
        <v>20.0</v>
      </c>
      <c r="S26" s="66">
        <f t="array" ref="S26">IFERROR(XLOOKUP(P26,MedalImport!G:G,MedalImport!C:C,0),0)</f>
        <v>0</v>
      </c>
      <c r="T26" s="66">
        <f t="array" ref="T26">IFERROR(XLOOKUP(P26,MedalImport!G:G,MedalImport!D:D,0),0)</f>
        <v>0</v>
      </c>
      <c r="U26" s="66">
        <f t="array" ref="U26">IFERROR(XLOOKUP(P26,MedalImport!G:G,MedalImport!E:E,0),0)</f>
        <v>0</v>
      </c>
      <c r="V26" s="66">
        <f t="shared" si="1"/>
        <v>0</v>
      </c>
      <c r="W26" s="66">
        <f t="shared" si="2"/>
        <v>0</v>
      </c>
      <c r="X26" s="66" t="str">
        <f t="shared" si="3"/>
        <v/>
      </c>
      <c r="Y26" s="29" t="str">
        <f t="shared" si="4"/>
        <v>ad</v>
      </c>
      <c r="Z26" s="66"/>
      <c r="AA26" s="66"/>
      <c r="AB26" s="66"/>
      <c r="AC26" s="66"/>
      <c r="AD26" s="66"/>
      <c r="AE26" s="66"/>
    </row>
    <row r="27" ht="22.5" customHeight="1">
      <c r="A27" s="68"/>
      <c r="B27" s="69" t="s">
        <v>109</v>
      </c>
      <c r="C27" s="69" t="s">
        <v>110</v>
      </c>
      <c r="D27" s="69" t="s">
        <v>109</v>
      </c>
      <c r="E27" s="70">
        <v>6.0</v>
      </c>
      <c r="F27" s="70">
        <v>20.0</v>
      </c>
      <c r="G27" s="71">
        <v>0.0</v>
      </c>
      <c r="H27" s="71">
        <v>1.0</v>
      </c>
      <c r="I27" s="71">
        <v>0.0</v>
      </c>
      <c r="J27" s="71">
        <v>1.0</v>
      </c>
      <c r="K27" s="72">
        <v>40.0</v>
      </c>
      <c r="L27" s="72"/>
      <c r="M27" s="66"/>
      <c r="N27" s="68" t="s">
        <v>111</v>
      </c>
      <c r="O27" s="68" t="s">
        <v>112</v>
      </c>
      <c r="P27" s="68" t="s">
        <v>111</v>
      </c>
      <c r="Q27" s="73">
        <v>6.0</v>
      </c>
      <c r="R27" s="73">
        <v>20.0</v>
      </c>
      <c r="S27" s="66">
        <f t="array" ref="S27">IFERROR(XLOOKUP(P27,MedalImport!G:G,MedalImport!C:C,0),0)</f>
        <v>0</v>
      </c>
      <c r="T27" s="66">
        <f t="array" ref="T27">IFERROR(XLOOKUP(P27,MedalImport!G:G,MedalImport!D:D,0),0)</f>
        <v>0</v>
      </c>
      <c r="U27" s="66">
        <f t="array" ref="U27">IFERROR(XLOOKUP(P27,MedalImport!G:G,MedalImport!E:E,0),0)</f>
        <v>0</v>
      </c>
      <c r="V27" s="66">
        <f t="shared" si="1"/>
        <v>0</v>
      </c>
      <c r="W27" s="66">
        <f t="shared" si="2"/>
        <v>0</v>
      </c>
      <c r="X27" s="66" t="str">
        <f t="shared" si="3"/>
        <v/>
      </c>
      <c r="Y27" s="29" t="str">
        <f t="shared" si="4"/>
        <v>ar</v>
      </c>
      <c r="Z27" s="66"/>
      <c r="AA27" s="66"/>
      <c r="AB27" s="66"/>
      <c r="AC27" s="66"/>
      <c r="AD27" s="66"/>
      <c r="AE27" s="66"/>
    </row>
    <row r="28" ht="22.5" customHeight="1">
      <c r="A28" s="68"/>
      <c r="B28" s="69" t="s">
        <v>59</v>
      </c>
      <c r="C28" s="69" t="s">
        <v>60</v>
      </c>
      <c r="D28" s="69" t="s">
        <v>59</v>
      </c>
      <c r="E28" s="70">
        <v>1.0</v>
      </c>
      <c r="F28" s="70">
        <v>1.0</v>
      </c>
      <c r="G28" s="71">
        <v>5.0</v>
      </c>
      <c r="H28" s="71">
        <v>7.0</v>
      </c>
      <c r="I28" s="71">
        <v>9.0</v>
      </c>
      <c r="J28" s="71">
        <v>21.0</v>
      </c>
      <c r="K28" s="72">
        <v>38.0</v>
      </c>
      <c r="L28" s="72"/>
      <c r="M28" s="66"/>
      <c r="N28" s="68" t="s">
        <v>113</v>
      </c>
      <c r="O28" s="68" t="s">
        <v>114</v>
      </c>
      <c r="P28" s="68" t="s">
        <v>113</v>
      </c>
      <c r="Q28" s="73">
        <v>6.0</v>
      </c>
      <c r="R28" s="73">
        <v>20.0</v>
      </c>
      <c r="S28" s="66">
        <f t="array" ref="S28">IFERROR(XLOOKUP(P28,MedalImport!G:G,MedalImport!C:C,0),0)</f>
        <v>0</v>
      </c>
      <c r="T28" s="66">
        <f t="array" ref="T28">IFERROR(XLOOKUP(P28,MedalImport!G:G,MedalImport!D:D,0),0)</f>
        <v>0</v>
      </c>
      <c r="U28" s="66">
        <f t="array" ref="U28">IFERROR(XLOOKUP(P28,MedalImport!G:G,MedalImport!E:E,0),0)</f>
        <v>0</v>
      </c>
      <c r="V28" s="66">
        <f t="shared" si="1"/>
        <v>0</v>
      </c>
      <c r="W28" s="66">
        <f t="shared" si="2"/>
        <v>0</v>
      </c>
      <c r="X28" s="66" t="str">
        <f t="shared" si="3"/>
        <v/>
      </c>
      <c r="Y28" s="29" t="str">
        <f t="shared" si="4"/>
        <v>am</v>
      </c>
      <c r="Z28" s="66"/>
      <c r="AA28" s="66"/>
      <c r="AB28" s="66"/>
      <c r="AC28" s="66"/>
      <c r="AD28" s="66"/>
      <c r="AE28" s="66"/>
    </row>
    <row r="29" ht="22.5" customHeight="1">
      <c r="A29" s="68"/>
      <c r="B29" s="69" t="s">
        <v>91</v>
      </c>
      <c r="C29" s="69" t="s">
        <v>92</v>
      </c>
      <c r="D29" s="69" t="s">
        <v>91</v>
      </c>
      <c r="E29" s="70">
        <v>5.0</v>
      </c>
      <c r="F29" s="70">
        <v>10.0</v>
      </c>
      <c r="G29" s="71">
        <v>0.0</v>
      </c>
      <c r="H29" s="71">
        <v>1.0</v>
      </c>
      <c r="I29" s="71">
        <v>1.0</v>
      </c>
      <c r="J29" s="71">
        <v>2.0</v>
      </c>
      <c r="K29" s="72">
        <v>30.0</v>
      </c>
      <c r="L29" s="72"/>
      <c r="M29" s="66"/>
      <c r="N29" s="68" t="s">
        <v>115</v>
      </c>
      <c r="O29" s="68" t="s">
        <v>116</v>
      </c>
      <c r="P29" s="68" t="s">
        <v>115</v>
      </c>
      <c r="Q29" s="73">
        <v>6.0</v>
      </c>
      <c r="R29" s="73">
        <v>20.0</v>
      </c>
      <c r="S29" s="66">
        <f t="array" ref="S29">IFERROR(XLOOKUP(P29,MedalImport!G:G,MedalImport!C:C,0),0)</f>
        <v>0</v>
      </c>
      <c r="T29" s="66">
        <f t="array" ref="T29">IFERROR(XLOOKUP(P29,MedalImport!G:G,MedalImport!D:D,0),0)</f>
        <v>0</v>
      </c>
      <c r="U29" s="66">
        <f t="array" ref="U29">IFERROR(XLOOKUP(P29,MedalImport!G:G,MedalImport!E:E,0),0)</f>
        <v>0</v>
      </c>
      <c r="V29" s="66">
        <f t="shared" si="1"/>
        <v>0</v>
      </c>
      <c r="W29" s="66">
        <f t="shared" si="2"/>
        <v>0</v>
      </c>
      <c r="X29" s="66" t="str">
        <f t="shared" si="3"/>
        <v/>
      </c>
      <c r="Y29" s="29" t="str">
        <f t="shared" si="4"/>
        <v>az</v>
      </c>
      <c r="Z29" s="66"/>
      <c r="AA29" s="66"/>
      <c r="AB29" s="66"/>
      <c r="AC29" s="66"/>
      <c r="AD29" s="66"/>
      <c r="AE29" s="66"/>
    </row>
    <row r="30" ht="22.5" customHeight="1">
      <c r="A30" s="68"/>
      <c r="B30" s="69" t="s">
        <v>117</v>
      </c>
      <c r="C30" s="69" t="s">
        <v>118</v>
      </c>
      <c r="D30" s="69" t="s">
        <v>117</v>
      </c>
      <c r="E30" s="70">
        <v>6.0</v>
      </c>
      <c r="F30" s="70">
        <v>20.0</v>
      </c>
      <c r="G30" s="71">
        <v>0.0</v>
      </c>
      <c r="H30" s="71">
        <v>0.0</v>
      </c>
      <c r="I30" s="71">
        <v>1.0</v>
      </c>
      <c r="J30" s="71">
        <v>1.0</v>
      </c>
      <c r="K30" s="72">
        <v>20.0</v>
      </c>
      <c r="L30" s="72"/>
      <c r="M30" s="66"/>
      <c r="N30" s="68" t="s">
        <v>117</v>
      </c>
      <c r="O30" s="68" t="s">
        <v>118</v>
      </c>
      <c r="P30" s="68" t="s">
        <v>117</v>
      </c>
      <c r="Q30" s="73">
        <v>6.0</v>
      </c>
      <c r="R30" s="73">
        <v>20.0</v>
      </c>
      <c r="S30" s="66">
        <f t="array" ref="S30">IFERROR(XLOOKUP(P30,MedalImport!G:G,MedalImport!C:C,0),0)</f>
        <v>0</v>
      </c>
      <c r="T30" s="66">
        <f t="array" ref="T30">IFERROR(XLOOKUP(P30,MedalImport!G:G,MedalImport!D:D,0),0)</f>
        <v>0</v>
      </c>
      <c r="U30" s="66">
        <f t="array" ref="U30">IFERROR(XLOOKUP(P30,MedalImport!G:G,MedalImport!E:E,0),0)</f>
        <v>1</v>
      </c>
      <c r="V30" s="66">
        <f t="shared" si="1"/>
        <v>1</v>
      </c>
      <c r="W30" s="66">
        <f t="shared" si="2"/>
        <v>20</v>
      </c>
      <c r="X30" s="66" t="str">
        <f t="shared" si="3"/>
        <v/>
      </c>
      <c r="Y30" s="29" t="str">
        <f t="shared" si="4"/>
        <v>be</v>
      </c>
      <c r="Z30" s="66"/>
      <c r="AA30" s="66"/>
      <c r="AB30" s="66"/>
      <c r="AC30" s="66"/>
      <c r="AD30" s="66"/>
      <c r="AE30" s="66"/>
    </row>
    <row r="31" ht="22.5" customHeight="1">
      <c r="A31" s="68"/>
      <c r="B31" s="69" t="s">
        <v>93</v>
      </c>
      <c r="C31" s="69" t="s">
        <v>94</v>
      </c>
      <c r="D31" s="69" t="s">
        <v>93</v>
      </c>
      <c r="E31" s="70">
        <v>5.0</v>
      </c>
      <c r="F31" s="70">
        <v>10.0</v>
      </c>
      <c r="G31" s="71">
        <v>0.0</v>
      </c>
      <c r="H31" s="71">
        <v>0.0</v>
      </c>
      <c r="I31" s="71">
        <v>0.0</v>
      </c>
      <c r="J31" s="71">
        <v>0.0</v>
      </c>
      <c r="K31" s="72">
        <v>0.0</v>
      </c>
      <c r="L31" s="72"/>
      <c r="M31" s="66"/>
      <c r="N31" s="68" t="s">
        <v>119</v>
      </c>
      <c r="O31" s="68" t="s">
        <v>120</v>
      </c>
      <c r="P31" s="68" t="s">
        <v>119</v>
      </c>
      <c r="Q31" s="73">
        <v>6.0</v>
      </c>
      <c r="R31" s="73">
        <v>20.0</v>
      </c>
      <c r="S31" s="66">
        <f t="array" ref="S31">IFERROR(XLOOKUP(P31,MedalImport!G:G,MedalImport!C:C,0),0)</f>
        <v>0</v>
      </c>
      <c r="T31" s="66">
        <f t="array" ref="T31">IFERROR(XLOOKUP(P31,MedalImport!G:G,MedalImport!D:D,0),0)</f>
        <v>0</v>
      </c>
      <c r="U31" s="66">
        <f t="array" ref="U31">IFERROR(XLOOKUP(P31,MedalImport!G:G,MedalImport!E:E,0),0)</f>
        <v>0</v>
      </c>
      <c r="V31" s="66">
        <f t="shared" si="1"/>
        <v>0</v>
      </c>
      <c r="W31" s="66">
        <f t="shared" si="2"/>
        <v>0</v>
      </c>
      <c r="X31" s="66" t="str">
        <f t="shared" si="3"/>
        <v/>
      </c>
      <c r="Y31" s="29" t="str">
        <f t="shared" si="4"/>
        <v>bj</v>
      </c>
      <c r="Z31" s="66"/>
      <c r="AA31" s="66"/>
      <c r="AB31" s="66"/>
      <c r="AC31" s="66"/>
      <c r="AD31" s="66"/>
      <c r="AE31" s="66"/>
    </row>
    <row r="32" ht="22.5" customHeight="1">
      <c r="A32" s="68"/>
      <c r="B32" s="69" t="s">
        <v>95</v>
      </c>
      <c r="C32" s="69" t="s">
        <v>96</v>
      </c>
      <c r="D32" s="69" t="s">
        <v>95</v>
      </c>
      <c r="E32" s="70">
        <v>6.0</v>
      </c>
      <c r="F32" s="70">
        <v>20.0</v>
      </c>
      <c r="G32" s="71">
        <v>0.0</v>
      </c>
      <c r="H32" s="71">
        <v>0.0</v>
      </c>
      <c r="I32" s="71">
        <v>0.0</v>
      </c>
      <c r="J32" s="71">
        <v>0.0</v>
      </c>
      <c r="K32" s="72">
        <v>0.0</v>
      </c>
      <c r="L32" s="72"/>
      <c r="M32" s="66"/>
      <c r="N32" s="68" t="s">
        <v>121</v>
      </c>
      <c r="O32" s="68" t="s">
        <v>122</v>
      </c>
      <c r="P32" s="68" t="s">
        <v>121</v>
      </c>
      <c r="Q32" s="73">
        <v>6.0</v>
      </c>
      <c r="R32" s="73">
        <v>20.0</v>
      </c>
      <c r="S32" s="66">
        <f t="array" ref="S32">IFERROR(XLOOKUP(P32,MedalImport!G:G,MedalImport!C:C,0),0)</f>
        <v>0</v>
      </c>
      <c r="T32" s="66">
        <f t="array" ref="T32">IFERROR(XLOOKUP(P32,MedalImport!G:G,MedalImport!D:D,0),0)</f>
        <v>0</v>
      </c>
      <c r="U32" s="66">
        <f t="array" ref="U32">IFERROR(XLOOKUP(P32,MedalImport!G:G,MedalImport!E:E,0),0)</f>
        <v>0</v>
      </c>
      <c r="V32" s="66">
        <f t="shared" si="1"/>
        <v>0</v>
      </c>
      <c r="W32" s="66">
        <f t="shared" si="2"/>
        <v>0</v>
      </c>
      <c r="X32" s="66" t="str">
        <f t="shared" si="3"/>
        <v/>
      </c>
      <c r="Y32" s="29" t="str">
        <f t="shared" si="4"/>
        <v>bo</v>
      </c>
      <c r="Z32" s="66"/>
      <c r="AA32" s="66"/>
      <c r="AB32" s="66"/>
      <c r="AC32" s="66"/>
      <c r="AD32" s="66"/>
      <c r="AE32" s="66"/>
    </row>
    <row r="33" ht="22.5" customHeight="1">
      <c r="A33" s="68"/>
      <c r="B33" s="69" t="s">
        <v>99</v>
      </c>
      <c r="C33" s="69" t="s">
        <v>100</v>
      </c>
      <c r="D33" s="69" t="s">
        <v>99</v>
      </c>
      <c r="E33" s="70">
        <v>6.0</v>
      </c>
      <c r="F33" s="70">
        <v>20.0</v>
      </c>
      <c r="G33" s="71">
        <v>0.0</v>
      </c>
      <c r="H33" s="71">
        <v>0.0</v>
      </c>
      <c r="I33" s="71">
        <v>0.0</v>
      </c>
      <c r="J33" s="71">
        <v>0.0</v>
      </c>
      <c r="K33" s="72">
        <v>0.0</v>
      </c>
      <c r="L33" s="72"/>
      <c r="M33" s="66"/>
      <c r="N33" s="68" t="s">
        <v>123</v>
      </c>
      <c r="O33" s="68" t="s">
        <v>124</v>
      </c>
      <c r="P33" s="68" t="s">
        <v>123</v>
      </c>
      <c r="Q33" s="73">
        <v>6.0</v>
      </c>
      <c r="R33" s="73">
        <v>20.0</v>
      </c>
      <c r="S33" s="66">
        <f t="array" ref="S33">IFERROR(XLOOKUP(P33,MedalImport!G:G,MedalImport!C:C,0),0)</f>
        <v>0</v>
      </c>
      <c r="T33" s="66">
        <f t="array" ref="T33">IFERROR(XLOOKUP(P33,MedalImport!G:G,MedalImport!D:D,0),0)</f>
        <v>0</v>
      </c>
      <c r="U33" s="66">
        <f t="array" ref="U33">IFERROR(XLOOKUP(P33,MedalImport!G:G,MedalImport!E:E,0),0)</f>
        <v>0</v>
      </c>
      <c r="V33" s="66">
        <f t="shared" si="1"/>
        <v>0</v>
      </c>
      <c r="W33" s="66">
        <f t="shared" si="2"/>
        <v>0</v>
      </c>
      <c r="X33" s="66" t="str">
        <f t="shared" si="3"/>
        <v/>
      </c>
      <c r="Y33" s="29" t="str">
        <f t="shared" si="4"/>
        <v>ba</v>
      </c>
      <c r="Z33" s="66"/>
      <c r="AA33" s="66"/>
      <c r="AB33" s="66"/>
      <c r="AC33" s="66"/>
      <c r="AD33" s="66"/>
      <c r="AE33" s="66"/>
    </row>
    <row r="34" ht="22.5" customHeight="1">
      <c r="A34" s="68"/>
      <c r="B34" s="69" t="s">
        <v>103</v>
      </c>
      <c r="C34" s="69" t="s">
        <v>104</v>
      </c>
      <c r="D34" s="69" t="s">
        <v>103</v>
      </c>
      <c r="E34" s="70">
        <v>6.0</v>
      </c>
      <c r="F34" s="70">
        <v>20.0</v>
      </c>
      <c r="G34" s="71">
        <v>0.0</v>
      </c>
      <c r="H34" s="71">
        <v>0.0</v>
      </c>
      <c r="I34" s="71">
        <v>0.0</v>
      </c>
      <c r="J34" s="71">
        <v>0.0</v>
      </c>
      <c r="K34" s="72">
        <v>0.0</v>
      </c>
      <c r="L34" s="72"/>
      <c r="M34" s="66"/>
      <c r="N34" s="68" t="s">
        <v>87</v>
      </c>
      <c r="O34" s="68" t="s">
        <v>88</v>
      </c>
      <c r="P34" s="68" t="s">
        <v>87</v>
      </c>
      <c r="Q34" s="73">
        <v>6.0</v>
      </c>
      <c r="R34" s="73">
        <v>20.0</v>
      </c>
      <c r="S34" s="66">
        <f t="array" ref="S34">IFERROR(XLOOKUP(P34,MedalImport!G:G,MedalImport!C:C,0),0)</f>
        <v>1</v>
      </c>
      <c r="T34" s="66">
        <f t="array" ref="T34">IFERROR(XLOOKUP(P34,MedalImport!G:G,MedalImport!D:D,0),0)</f>
        <v>0</v>
      </c>
      <c r="U34" s="66">
        <f t="array" ref="U34">IFERROR(XLOOKUP(P34,MedalImport!G:G,MedalImport!E:E,0),0)</f>
        <v>0</v>
      </c>
      <c r="V34" s="66">
        <f t="shared" si="1"/>
        <v>1</v>
      </c>
      <c r="W34" s="66">
        <f t="shared" si="2"/>
        <v>60</v>
      </c>
      <c r="X34" s="66" t="str">
        <f t="shared" si="3"/>
        <v/>
      </c>
      <c r="Y34" s="29" t="str">
        <f t="shared" si="4"/>
        <v>br</v>
      </c>
      <c r="Z34" s="66"/>
      <c r="AA34" s="66"/>
      <c r="AB34" s="66"/>
      <c r="AC34" s="66"/>
      <c r="AD34" s="66"/>
      <c r="AE34" s="66"/>
    </row>
    <row r="35" ht="22.5" customHeight="1">
      <c r="A35" s="68"/>
      <c r="B35" s="69" t="s">
        <v>107</v>
      </c>
      <c r="C35" s="69" t="s">
        <v>108</v>
      </c>
      <c r="D35" s="69" t="s">
        <v>107</v>
      </c>
      <c r="E35" s="70">
        <v>6.0</v>
      </c>
      <c r="F35" s="70">
        <v>20.0</v>
      </c>
      <c r="G35" s="71">
        <v>0.0</v>
      </c>
      <c r="H35" s="71">
        <v>0.0</v>
      </c>
      <c r="I35" s="71">
        <v>0.0</v>
      </c>
      <c r="J35" s="71">
        <v>0.0</v>
      </c>
      <c r="K35" s="72">
        <v>0.0</v>
      </c>
      <c r="L35" s="72"/>
      <c r="M35" s="66"/>
      <c r="N35" s="68" t="s">
        <v>97</v>
      </c>
      <c r="O35" s="68" t="s">
        <v>98</v>
      </c>
      <c r="P35" s="68" t="s">
        <v>97</v>
      </c>
      <c r="Q35" s="73">
        <v>6.0</v>
      </c>
      <c r="R35" s="73">
        <v>20.0</v>
      </c>
      <c r="S35" s="66">
        <f t="array" ref="S35">IFERROR(XLOOKUP(P35,MedalImport!G:G,MedalImport!C:C,0),0)</f>
        <v>0</v>
      </c>
      <c r="T35" s="66">
        <f t="array" ref="T35">IFERROR(XLOOKUP(P35,MedalImport!G:G,MedalImport!D:D,0),0)</f>
        <v>0</v>
      </c>
      <c r="U35" s="66">
        <f t="array" ref="U35">IFERROR(XLOOKUP(P35,MedalImport!G:G,MedalImport!E:E,0),0)</f>
        <v>2</v>
      </c>
      <c r="V35" s="66">
        <f t="shared" si="1"/>
        <v>2</v>
      </c>
      <c r="W35" s="66">
        <f t="shared" si="2"/>
        <v>40</v>
      </c>
      <c r="X35" s="66" t="str">
        <f t="shared" si="3"/>
        <v/>
      </c>
      <c r="Y35" s="29" t="str">
        <f t="shared" si="4"/>
        <v>bg</v>
      </c>
      <c r="Z35" s="66"/>
      <c r="AA35" s="66"/>
      <c r="AB35" s="66"/>
      <c r="AC35" s="66"/>
      <c r="AD35" s="66"/>
      <c r="AE35" s="66"/>
    </row>
    <row r="36" ht="22.5" customHeight="1">
      <c r="A36" s="68"/>
      <c r="B36" s="69" t="s">
        <v>111</v>
      </c>
      <c r="C36" s="69" t="s">
        <v>112</v>
      </c>
      <c r="D36" s="69" t="s">
        <v>111</v>
      </c>
      <c r="E36" s="70">
        <v>6.0</v>
      </c>
      <c r="F36" s="70">
        <v>20.0</v>
      </c>
      <c r="G36" s="71">
        <v>0.0</v>
      </c>
      <c r="H36" s="71">
        <v>0.0</v>
      </c>
      <c r="I36" s="71">
        <v>0.0</v>
      </c>
      <c r="J36" s="71">
        <v>0.0</v>
      </c>
      <c r="K36" s="72">
        <v>0.0</v>
      </c>
      <c r="L36" s="72"/>
      <c r="M36" s="66"/>
      <c r="N36" s="68" t="s">
        <v>125</v>
      </c>
      <c r="O36" s="68" t="s">
        <v>126</v>
      </c>
      <c r="P36" s="68" t="s">
        <v>125</v>
      </c>
      <c r="Q36" s="73">
        <v>6.0</v>
      </c>
      <c r="R36" s="73">
        <v>20.0</v>
      </c>
      <c r="S36" s="66">
        <f t="array" ref="S36">IFERROR(XLOOKUP(P36,MedalImport!G:G,MedalImport!C:C,0),0)</f>
        <v>0</v>
      </c>
      <c r="T36" s="66">
        <f t="array" ref="T36">IFERROR(XLOOKUP(P36,MedalImport!G:G,MedalImport!D:D,0),0)</f>
        <v>0</v>
      </c>
      <c r="U36" s="66">
        <f t="array" ref="U36">IFERROR(XLOOKUP(P36,MedalImport!G:G,MedalImport!E:E,0),0)</f>
        <v>0</v>
      </c>
      <c r="V36" s="66">
        <f t="shared" si="1"/>
        <v>0</v>
      </c>
      <c r="W36" s="66">
        <f t="shared" si="2"/>
        <v>0</v>
      </c>
      <c r="X36" s="66" t="str">
        <f t="shared" si="3"/>
        <v/>
      </c>
      <c r="Y36" s="29" t="str">
        <f t="shared" si="4"/>
        <v>cl</v>
      </c>
      <c r="Z36" s="66"/>
      <c r="AA36" s="66"/>
      <c r="AB36" s="66"/>
      <c r="AC36" s="66"/>
      <c r="AD36" s="66"/>
      <c r="AE36" s="66"/>
    </row>
    <row r="37" ht="22.5" customHeight="1">
      <c r="A37" s="68"/>
      <c r="B37" s="69" t="s">
        <v>113</v>
      </c>
      <c r="C37" s="69" t="s">
        <v>114</v>
      </c>
      <c r="D37" s="69" t="s">
        <v>113</v>
      </c>
      <c r="E37" s="70">
        <v>6.0</v>
      </c>
      <c r="F37" s="70">
        <v>20.0</v>
      </c>
      <c r="G37" s="71">
        <v>0.0</v>
      </c>
      <c r="H37" s="71">
        <v>0.0</v>
      </c>
      <c r="I37" s="71">
        <v>0.0</v>
      </c>
      <c r="J37" s="71">
        <v>0.0</v>
      </c>
      <c r="K37" s="72">
        <v>0.0</v>
      </c>
      <c r="L37" s="72"/>
      <c r="M37" s="66"/>
      <c r="N37" s="68" t="s">
        <v>127</v>
      </c>
      <c r="O37" s="68" t="s">
        <v>128</v>
      </c>
      <c r="P37" s="68" t="s">
        <v>127</v>
      </c>
      <c r="Q37" s="73">
        <v>6.0</v>
      </c>
      <c r="R37" s="73">
        <v>20.0</v>
      </c>
      <c r="S37" s="66">
        <f t="array" ref="S37">IFERROR(XLOOKUP(P37,MedalImport!G:G,MedalImport!C:C,0),0)</f>
        <v>0</v>
      </c>
      <c r="T37" s="66">
        <f t="array" ref="T37">IFERROR(XLOOKUP(P37,MedalImport!G:G,MedalImport!D:D,0),0)</f>
        <v>0</v>
      </c>
      <c r="U37" s="66">
        <f t="array" ref="U37">IFERROR(XLOOKUP(P37,MedalImport!G:G,MedalImport!E:E,0),0)</f>
        <v>0</v>
      </c>
      <c r="V37" s="66">
        <f t="shared" si="1"/>
        <v>0</v>
      </c>
      <c r="W37" s="66">
        <f t="shared" si="2"/>
        <v>0</v>
      </c>
      <c r="X37" s="66" t="str">
        <f t="shared" si="3"/>
        <v/>
      </c>
      <c r="Y37" s="29" t="str">
        <f t="shared" si="4"/>
        <v>co</v>
      </c>
      <c r="Z37" s="66"/>
      <c r="AA37" s="66"/>
      <c r="AB37" s="66"/>
      <c r="AC37" s="66"/>
      <c r="AD37" s="66"/>
      <c r="AE37" s="66"/>
    </row>
    <row r="38" ht="22.5" customHeight="1">
      <c r="A38" s="68"/>
      <c r="B38" s="69" t="s">
        <v>115</v>
      </c>
      <c r="C38" s="69" t="s">
        <v>116</v>
      </c>
      <c r="D38" s="69" t="s">
        <v>115</v>
      </c>
      <c r="E38" s="70">
        <v>6.0</v>
      </c>
      <c r="F38" s="70">
        <v>20.0</v>
      </c>
      <c r="G38" s="71">
        <v>0.0</v>
      </c>
      <c r="H38" s="71">
        <v>0.0</v>
      </c>
      <c r="I38" s="71">
        <v>0.0</v>
      </c>
      <c r="J38" s="71">
        <v>0.0</v>
      </c>
      <c r="K38" s="72">
        <v>0.0</v>
      </c>
      <c r="L38" s="72"/>
      <c r="M38" s="66"/>
      <c r="N38" s="68" t="s">
        <v>129</v>
      </c>
      <c r="O38" s="68" t="s">
        <v>130</v>
      </c>
      <c r="P38" s="68" t="s">
        <v>129</v>
      </c>
      <c r="Q38" s="73">
        <v>6.0</v>
      </c>
      <c r="R38" s="73">
        <v>20.0</v>
      </c>
      <c r="S38" s="66">
        <f t="array" ref="S38">IFERROR(XLOOKUP(P38,MedalImport!G:G,MedalImport!C:C,0),0)</f>
        <v>0</v>
      </c>
      <c r="T38" s="66">
        <f t="array" ref="T38">IFERROR(XLOOKUP(P38,MedalImport!G:G,MedalImport!D:D,0),0)</f>
        <v>0</v>
      </c>
      <c r="U38" s="66">
        <f t="array" ref="U38">IFERROR(XLOOKUP(P38,MedalImport!G:G,MedalImport!E:E,0),0)</f>
        <v>0</v>
      </c>
      <c r="V38" s="66">
        <f t="shared" si="1"/>
        <v>0</v>
      </c>
      <c r="W38" s="66">
        <f t="shared" si="2"/>
        <v>0</v>
      </c>
      <c r="X38" s="66" t="str">
        <f t="shared" si="3"/>
        <v/>
      </c>
      <c r="Y38" s="29" t="str">
        <f t="shared" si="4"/>
        <v>hr</v>
      </c>
      <c r="Z38" s="66"/>
      <c r="AA38" s="66"/>
      <c r="AB38" s="66"/>
      <c r="AC38" s="66"/>
      <c r="AD38" s="66"/>
      <c r="AE38" s="66"/>
    </row>
    <row r="39" ht="22.5" customHeight="1">
      <c r="A39" s="68"/>
      <c r="B39" s="69" t="s">
        <v>119</v>
      </c>
      <c r="C39" s="69" t="s">
        <v>120</v>
      </c>
      <c r="D39" s="69" t="s">
        <v>119</v>
      </c>
      <c r="E39" s="70">
        <v>6.0</v>
      </c>
      <c r="F39" s="70">
        <v>20.0</v>
      </c>
      <c r="G39" s="71">
        <v>0.0</v>
      </c>
      <c r="H39" s="71">
        <v>0.0</v>
      </c>
      <c r="I39" s="71">
        <v>0.0</v>
      </c>
      <c r="J39" s="71">
        <v>0.0</v>
      </c>
      <c r="K39" s="72">
        <v>0.0</v>
      </c>
      <c r="L39" s="72"/>
      <c r="M39" s="66"/>
      <c r="N39" s="68" t="s">
        <v>131</v>
      </c>
      <c r="O39" s="68" t="s">
        <v>132</v>
      </c>
      <c r="P39" s="68" t="s">
        <v>131</v>
      </c>
      <c r="Q39" s="73">
        <v>6.0</v>
      </c>
      <c r="R39" s="73">
        <v>20.0</v>
      </c>
      <c r="S39" s="66">
        <f t="array" ref="S39">IFERROR(XLOOKUP(P39,MedalImport!G:G,MedalImport!C:C,0),0)</f>
        <v>0</v>
      </c>
      <c r="T39" s="66">
        <f t="array" ref="T39">IFERROR(XLOOKUP(P39,MedalImport!G:G,MedalImport!D:D,0),0)</f>
        <v>0</v>
      </c>
      <c r="U39" s="66">
        <f t="array" ref="U39">IFERROR(XLOOKUP(P39,MedalImport!G:G,MedalImport!E:E,0),0)</f>
        <v>0</v>
      </c>
      <c r="V39" s="66">
        <f t="shared" si="1"/>
        <v>0</v>
      </c>
      <c r="W39" s="66">
        <f t="shared" si="2"/>
        <v>0</v>
      </c>
      <c r="X39" s="66" t="str">
        <f t="shared" si="3"/>
        <v/>
      </c>
      <c r="Y39" s="29" t="str">
        <f t="shared" si="4"/>
        <v>cy</v>
      </c>
      <c r="Z39" s="66"/>
      <c r="AA39" s="66"/>
      <c r="AB39" s="66"/>
      <c r="AC39" s="66"/>
      <c r="AD39" s="66"/>
      <c r="AE39" s="66"/>
    </row>
    <row r="40" ht="22.5" customHeight="1">
      <c r="A40" s="68"/>
      <c r="B40" s="69" t="s">
        <v>121</v>
      </c>
      <c r="C40" s="69" t="s">
        <v>122</v>
      </c>
      <c r="D40" s="69" t="s">
        <v>121</v>
      </c>
      <c r="E40" s="70">
        <v>6.0</v>
      </c>
      <c r="F40" s="70">
        <v>20.0</v>
      </c>
      <c r="G40" s="71">
        <v>0.0</v>
      </c>
      <c r="H40" s="71">
        <v>0.0</v>
      </c>
      <c r="I40" s="71">
        <v>0.0</v>
      </c>
      <c r="J40" s="71">
        <v>0.0</v>
      </c>
      <c r="K40" s="72">
        <v>0.0</v>
      </c>
      <c r="L40" s="72"/>
      <c r="M40" s="66"/>
      <c r="N40" s="68" t="s">
        <v>101</v>
      </c>
      <c r="O40" s="68" t="s">
        <v>102</v>
      </c>
      <c r="P40" s="68" t="s">
        <v>101</v>
      </c>
      <c r="Q40" s="73">
        <v>6.0</v>
      </c>
      <c r="R40" s="73">
        <v>20.0</v>
      </c>
      <c r="S40" s="66">
        <f t="array" ref="S40">IFERROR(XLOOKUP(P40,MedalImport!G:G,MedalImport!C:C,0),0)</f>
        <v>0</v>
      </c>
      <c r="T40" s="66">
        <f t="array" ref="T40">IFERROR(XLOOKUP(P40,MedalImport!G:G,MedalImport!D:D,0),0)</f>
        <v>1</v>
      </c>
      <c r="U40" s="66">
        <f t="array" ref="U40">IFERROR(XLOOKUP(P40,MedalImport!G:G,MedalImport!E:E,0),0)</f>
        <v>0</v>
      </c>
      <c r="V40" s="66">
        <f t="shared" si="1"/>
        <v>1</v>
      </c>
      <c r="W40" s="66">
        <f t="shared" si="2"/>
        <v>40</v>
      </c>
      <c r="X40" s="66" t="str">
        <f t="shared" si="3"/>
        <v/>
      </c>
      <c r="Y40" s="29" t="str">
        <f t="shared" si="4"/>
        <v>dk</v>
      </c>
      <c r="Z40" s="66"/>
      <c r="AA40" s="66"/>
      <c r="AB40" s="66"/>
      <c r="AC40" s="66"/>
      <c r="AD40" s="66"/>
      <c r="AE40" s="66"/>
    </row>
    <row r="41" ht="22.5" customHeight="1">
      <c r="A41" s="68"/>
      <c r="B41" s="69" t="s">
        <v>123</v>
      </c>
      <c r="C41" s="69" t="s">
        <v>124</v>
      </c>
      <c r="D41" s="69" t="s">
        <v>123</v>
      </c>
      <c r="E41" s="70">
        <v>6.0</v>
      </c>
      <c r="F41" s="70">
        <v>20.0</v>
      </c>
      <c r="G41" s="71">
        <v>0.0</v>
      </c>
      <c r="H41" s="71">
        <v>0.0</v>
      </c>
      <c r="I41" s="71">
        <v>0.0</v>
      </c>
      <c r="J41" s="71">
        <v>0.0</v>
      </c>
      <c r="K41" s="72">
        <v>0.0</v>
      </c>
      <c r="L41" s="72"/>
      <c r="M41" s="66"/>
      <c r="N41" s="68" t="s">
        <v>133</v>
      </c>
      <c r="O41" s="68" t="s">
        <v>134</v>
      </c>
      <c r="P41" s="68" t="s">
        <v>133</v>
      </c>
      <c r="Q41" s="73">
        <v>6.0</v>
      </c>
      <c r="R41" s="73">
        <v>20.0</v>
      </c>
      <c r="S41" s="66">
        <f t="array" ref="S41">IFERROR(XLOOKUP(P41,MedalImport!G:G,MedalImport!C:C,0),0)</f>
        <v>0</v>
      </c>
      <c r="T41" s="66">
        <f t="array" ref="T41">IFERROR(XLOOKUP(P41,MedalImport!G:G,MedalImport!D:D,0),0)</f>
        <v>0</v>
      </c>
      <c r="U41" s="66">
        <f t="array" ref="U41">IFERROR(XLOOKUP(P41,MedalImport!G:G,MedalImport!E:E,0),0)</f>
        <v>0</v>
      </c>
      <c r="V41" s="66">
        <f t="shared" si="1"/>
        <v>0</v>
      </c>
      <c r="W41" s="66">
        <f t="shared" si="2"/>
        <v>0</v>
      </c>
      <c r="X41" s="66" t="str">
        <f t="shared" si="3"/>
        <v/>
      </c>
      <c r="Y41" s="29" t="str">
        <f t="shared" si="4"/>
        <v>ec</v>
      </c>
      <c r="Z41" s="66"/>
      <c r="AA41" s="66"/>
      <c r="AB41" s="66"/>
      <c r="AC41" s="66"/>
      <c r="AD41" s="66"/>
      <c r="AE41" s="66"/>
    </row>
    <row r="42" ht="22.5" customHeight="1">
      <c r="A42" s="68"/>
      <c r="B42" s="69" t="s">
        <v>125</v>
      </c>
      <c r="C42" s="69" t="s">
        <v>126</v>
      </c>
      <c r="D42" s="69" t="s">
        <v>125</v>
      </c>
      <c r="E42" s="70">
        <v>6.0</v>
      </c>
      <c r="F42" s="70">
        <v>20.0</v>
      </c>
      <c r="G42" s="71">
        <v>0.0</v>
      </c>
      <c r="H42" s="71">
        <v>0.0</v>
      </c>
      <c r="I42" s="71">
        <v>0.0</v>
      </c>
      <c r="J42" s="71">
        <v>0.0</v>
      </c>
      <c r="K42" s="72">
        <v>0.0</v>
      </c>
      <c r="L42" s="72"/>
      <c r="M42" s="66"/>
      <c r="N42" s="68" t="s">
        <v>135</v>
      </c>
      <c r="O42" s="68" t="s">
        <v>136</v>
      </c>
      <c r="P42" s="68" t="s">
        <v>135</v>
      </c>
      <c r="Q42" s="73">
        <v>6.0</v>
      </c>
      <c r="R42" s="73">
        <v>20.0</v>
      </c>
      <c r="S42" s="66">
        <f t="array" ref="S42">IFERROR(XLOOKUP(P42,MedalImport!G:G,MedalImport!C:C,0),0)</f>
        <v>0</v>
      </c>
      <c r="T42" s="66">
        <f t="array" ref="T42">IFERROR(XLOOKUP(P42,MedalImport!G:G,MedalImport!D:D,0),0)</f>
        <v>0</v>
      </c>
      <c r="U42" s="66">
        <f t="array" ref="U42">IFERROR(XLOOKUP(P42,MedalImport!G:G,MedalImport!E:E,0),0)</f>
        <v>0</v>
      </c>
      <c r="V42" s="66">
        <f t="shared" si="1"/>
        <v>0</v>
      </c>
      <c r="W42" s="66">
        <f t="shared" si="2"/>
        <v>0</v>
      </c>
      <c r="X42" s="66" t="str">
        <f t="shared" si="3"/>
        <v/>
      </c>
      <c r="Y42" s="29" t="str">
        <f t="shared" si="4"/>
        <v>er</v>
      </c>
      <c r="Z42" s="66"/>
      <c r="AA42" s="66"/>
      <c r="AB42" s="66"/>
      <c r="AC42" s="66"/>
      <c r="AD42" s="66"/>
      <c r="AE42" s="66"/>
    </row>
    <row r="43" ht="22.5" customHeight="1">
      <c r="A43" s="68"/>
      <c r="B43" s="69" t="s">
        <v>127</v>
      </c>
      <c r="C43" s="69" t="s">
        <v>128</v>
      </c>
      <c r="D43" s="69" t="s">
        <v>127</v>
      </c>
      <c r="E43" s="70">
        <v>6.0</v>
      </c>
      <c r="F43" s="70">
        <v>20.0</v>
      </c>
      <c r="G43" s="71">
        <v>0.0</v>
      </c>
      <c r="H43" s="71">
        <v>0.0</v>
      </c>
      <c r="I43" s="71">
        <v>0.0</v>
      </c>
      <c r="J43" s="71">
        <v>0.0</v>
      </c>
      <c r="K43" s="72">
        <v>0.0</v>
      </c>
      <c r="L43" s="72"/>
      <c r="M43" s="66"/>
      <c r="N43" s="68" t="s">
        <v>105</v>
      </c>
      <c r="O43" s="68" t="s">
        <v>106</v>
      </c>
      <c r="P43" s="68" t="s">
        <v>105</v>
      </c>
      <c r="Q43" s="73">
        <v>6.0</v>
      </c>
      <c r="R43" s="73">
        <v>20.0</v>
      </c>
      <c r="S43" s="66">
        <f t="array" ref="S43">IFERROR(XLOOKUP(P43,MedalImport!G:G,MedalImport!C:C,0),0)</f>
        <v>0</v>
      </c>
      <c r="T43" s="66">
        <f t="array" ref="T43">IFERROR(XLOOKUP(P43,MedalImport!G:G,MedalImport!D:D,0),0)</f>
        <v>1</v>
      </c>
      <c r="U43" s="66">
        <f t="array" ref="U43">IFERROR(XLOOKUP(P43,MedalImport!G:G,MedalImport!E:E,0),0)</f>
        <v>0</v>
      </c>
      <c r="V43" s="66">
        <f t="shared" si="1"/>
        <v>1</v>
      </c>
      <c r="W43" s="66">
        <f t="shared" si="2"/>
        <v>40</v>
      </c>
      <c r="X43" s="66" t="str">
        <f t="shared" si="3"/>
        <v/>
      </c>
      <c r="Y43" s="29" t="str">
        <f t="shared" si="4"/>
        <v>ee</v>
      </c>
      <c r="Z43" s="66"/>
      <c r="AA43" s="66"/>
      <c r="AB43" s="66"/>
      <c r="AC43" s="66"/>
      <c r="AD43" s="66"/>
      <c r="AE43" s="66"/>
    </row>
    <row r="44" ht="22.5" customHeight="1">
      <c r="A44" s="68"/>
      <c r="B44" s="69" t="s">
        <v>129</v>
      </c>
      <c r="C44" s="69" t="s">
        <v>130</v>
      </c>
      <c r="D44" s="69" t="s">
        <v>129</v>
      </c>
      <c r="E44" s="70">
        <v>6.0</v>
      </c>
      <c r="F44" s="70">
        <v>20.0</v>
      </c>
      <c r="G44" s="71">
        <v>0.0</v>
      </c>
      <c r="H44" s="71">
        <v>0.0</v>
      </c>
      <c r="I44" s="71">
        <v>0.0</v>
      </c>
      <c r="J44" s="71">
        <v>0.0</v>
      </c>
      <c r="K44" s="72">
        <v>0.0</v>
      </c>
      <c r="L44" s="72"/>
      <c r="M44" s="66"/>
      <c r="N44" s="68" t="s">
        <v>109</v>
      </c>
      <c r="O44" s="68" t="s">
        <v>110</v>
      </c>
      <c r="P44" s="68" t="s">
        <v>109</v>
      </c>
      <c r="Q44" s="73">
        <v>6.0</v>
      </c>
      <c r="R44" s="73">
        <v>20.0</v>
      </c>
      <c r="S44" s="66">
        <f t="array" ref="S44">IFERROR(XLOOKUP(P44,MedalImport!G:G,MedalImport!C:C,0),0)</f>
        <v>0</v>
      </c>
      <c r="T44" s="66">
        <f t="array" ref="T44">IFERROR(XLOOKUP(P44,MedalImport!G:G,MedalImport!D:D,0),0)</f>
        <v>1</v>
      </c>
      <c r="U44" s="66">
        <f t="array" ref="U44">IFERROR(XLOOKUP(P44,MedalImport!G:G,MedalImport!E:E,0),0)</f>
        <v>0</v>
      </c>
      <c r="V44" s="66">
        <f t="shared" si="1"/>
        <v>1</v>
      </c>
      <c r="W44" s="66">
        <f t="shared" si="2"/>
        <v>40</v>
      </c>
      <c r="X44" s="66" t="str">
        <f t="shared" si="3"/>
        <v/>
      </c>
      <c r="Y44" s="29" t="str">
        <f t="shared" si="4"/>
        <v>ge</v>
      </c>
      <c r="Z44" s="66"/>
      <c r="AA44" s="66"/>
      <c r="AB44" s="66"/>
      <c r="AC44" s="66"/>
      <c r="AD44" s="66"/>
      <c r="AE44" s="66"/>
    </row>
    <row r="45" ht="22.5" customHeight="1">
      <c r="A45" s="68"/>
      <c r="B45" s="69" t="s">
        <v>131</v>
      </c>
      <c r="C45" s="69" t="s">
        <v>132</v>
      </c>
      <c r="D45" s="69" t="s">
        <v>131</v>
      </c>
      <c r="E45" s="70">
        <v>6.0</v>
      </c>
      <c r="F45" s="70">
        <v>20.0</v>
      </c>
      <c r="G45" s="71">
        <v>0.0</v>
      </c>
      <c r="H45" s="71">
        <v>0.0</v>
      </c>
      <c r="I45" s="71">
        <v>0.0</v>
      </c>
      <c r="J45" s="71">
        <v>0.0</v>
      </c>
      <c r="K45" s="72">
        <v>0.0</v>
      </c>
      <c r="L45" s="72"/>
      <c r="M45" s="66"/>
      <c r="N45" s="68" t="s">
        <v>137</v>
      </c>
      <c r="O45" s="68" t="s">
        <v>138</v>
      </c>
      <c r="P45" s="68" t="s">
        <v>137</v>
      </c>
      <c r="Q45" s="73">
        <v>6.0</v>
      </c>
      <c r="R45" s="73">
        <v>20.0</v>
      </c>
      <c r="S45" s="66">
        <f t="array" ref="S45">IFERROR(XLOOKUP(P45,MedalImport!G:G,MedalImport!C:C,0),0)</f>
        <v>0</v>
      </c>
      <c r="T45" s="66">
        <f t="array" ref="T45">IFERROR(XLOOKUP(P45,MedalImport!G:G,MedalImport!D:D,0),0)</f>
        <v>0</v>
      </c>
      <c r="U45" s="66">
        <f t="array" ref="U45">IFERROR(XLOOKUP(P45,MedalImport!G:G,MedalImport!E:E,0),0)</f>
        <v>0</v>
      </c>
      <c r="V45" s="66">
        <f t="shared" si="1"/>
        <v>0</v>
      </c>
      <c r="W45" s="66">
        <f t="shared" si="2"/>
        <v>0</v>
      </c>
      <c r="X45" s="66" t="str">
        <f t="shared" si="3"/>
        <v/>
      </c>
      <c r="Y45" s="29" t="str">
        <f t="shared" si="4"/>
        <v>gr</v>
      </c>
      <c r="Z45" s="66"/>
      <c r="AA45" s="66"/>
      <c r="AB45" s="66"/>
      <c r="AC45" s="66"/>
      <c r="AD45" s="66"/>
      <c r="AE45" s="66"/>
    </row>
    <row r="46" ht="22.5" customHeight="1">
      <c r="A46" s="68"/>
      <c r="B46" s="69" t="s">
        <v>133</v>
      </c>
      <c r="C46" s="69" t="s">
        <v>134</v>
      </c>
      <c r="D46" s="69" t="s">
        <v>133</v>
      </c>
      <c r="E46" s="70">
        <v>6.0</v>
      </c>
      <c r="F46" s="70">
        <v>20.0</v>
      </c>
      <c r="G46" s="71">
        <v>0.0</v>
      </c>
      <c r="H46" s="71">
        <v>0.0</v>
      </c>
      <c r="I46" s="71">
        <v>0.0</v>
      </c>
      <c r="J46" s="71">
        <v>0.0</v>
      </c>
      <c r="K46" s="72">
        <v>0.0</v>
      </c>
      <c r="L46" s="72"/>
      <c r="M46" s="66"/>
      <c r="N46" s="68" t="s">
        <v>139</v>
      </c>
      <c r="O46" s="68" t="s">
        <v>140</v>
      </c>
      <c r="P46" s="68" t="s">
        <v>139</v>
      </c>
      <c r="Q46" s="73">
        <v>6.0</v>
      </c>
      <c r="R46" s="73">
        <v>20.0</v>
      </c>
      <c r="S46" s="66">
        <f t="array" ref="S46">IFERROR(XLOOKUP(P46,MedalImport!G:G,MedalImport!C:C,0),0)</f>
        <v>0</v>
      </c>
      <c r="T46" s="66">
        <f t="array" ref="T46">IFERROR(XLOOKUP(P46,MedalImport!G:G,MedalImport!D:D,0),0)</f>
        <v>0</v>
      </c>
      <c r="U46" s="66">
        <f t="array" ref="U46">IFERROR(XLOOKUP(P46,MedalImport!G:G,MedalImport!E:E,0),0)</f>
        <v>0</v>
      </c>
      <c r="V46" s="66">
        <f t="shared" si="1"/>
        <v>0</v>
      </c>
      <c r="W46" s="66">
        <f t="shared" si="2"/>
        <v>0</v>
      </c>
      <c r="X46" s="66" t="str">
        <f t="shared" si="3"/>
        <v/>
      </c>
      <c r="Y46" s="29" t="str">
        <f t="shared" si="4"/>
        <v>gw</v>
      </c>
      <c r="Z46" s="66"/>
      <c r="AA46" s="66"/>
      <c r="AB46" s="66"/>
      <c r="AC46" s="66"/>
      <c r="AD46" s="66"/>
      <c r="AE46" s="66"/>
    </row>
    <row r="47" ht="22.5" customHeight="1">
      <c r="A47" s="68"/>
      <c r="B47" s="69" t="s">
        <v>135</v>
      </c>
      <c r="C47" s="69" t="s">
        <v>136</v>
      </c>
      <c r="D47" s="69" t="s">
        <v>135</v>
      </c>
      <c r="E47" s="70">
        <v>6.0</v>
      </c>
      <c r="F47" s="70">
        <v>20.0</v>
      </c>
      <c r="G47" s="71">
        <v>0.0</v>
      </c>
      <c r="H47" s="71">
        <v>0.0</v>
      </c>
      <c r="I47" s="71">
        <v>0.0</v>
      </c>
      <c r="J47" s="71">
        <v>0.0</v>
      </c>
      <c r="K47" s="72">
        <v>0.0</v>
      </c>
      <c r="L47" s="72"/>
      <c r="M47" s="66"/>
      <c r="N47" s="68" t="s">
        <v>141</v>
      </c>
      <c r="O47" s="68" t="s">
        <v>142</v>
      </c>
      <c r="P47" s="68" t="s">
        <v>141</v>
      </c>
      <c r="Q47" s="73">
        <v>6.0</v>
      </c>
      <c r="R47" s="73">
        <v>20.0</v>
      </c>
      <c r="S47" s="66">
        <f t="array" ref="S47">IFERROR(XLOOKUP(P47,MedalImport!G:G,MedalImport!C:C,0),0)</f>
        <v>0</v>
      </c>
      <c r="T47" s="66">
        <f t="array" ref="T47">IFERROR(XLOOKUP(P47,MedalImport!G:G,MedalImport!D:D,0),0)</f>
        <v>0</v>
      </c>
      <c r="U47" s="66">
        <f t="array" ref="U47">IFERROR(XLOOKUP(P47,MedalImport!G:G,MedalImport!E:E,0),0)</f>
        <v>0</v>
      </c>
      <c r="V47" s="66">
        <f t="shared" si="1"/>
        <v>0</v>
      </c>
      <c r="W47" s="66">
        <f t="shared" si="2"/>
        <v>0</v>
      </c>
      <c r="X47" s="66" t="str">
        <f t="shared" si="3"/>
        <v/>
      </c>
      <c r="Y47" s="29" t="str">
        <f t="shared" si="4"/>
        <v>ht</v>
      </c>
      <c r="Z47" s="66"/>
      <c r="AA47" s="66"/>
      <c r="AB47" s="66"/>
      <c r="AC47" s="66"/>
      <c r="AD47" s="66"/>
      <c r="AE47" s="66"/>
    </row>
    <row r="48" ht="22.5" customHeight="1">
      <c r="A48" s="68"/>
      <c r="B48" s="69" t="s">
        <v>137</v>
      </c>
      <c r="C48" s="69" t="s">
        <v>138</v>
      </c>
      <c r="D48" s="69" t="s">
        <v>137</v>
      </c>
      <c r="E48" s="70">
        <v>6.0</v>
      </c>
      <c r="F48" s="70">
        <v>20.0</v>
      </c>
      <c r="G48" s="71">
        <v>0.0</v>
      </c>
      <c r="H48" s="71">
        <v>0.0</v>
      </c>
      <c r="I48" s="71">
        <v>0.0</v>
      </c>
      <c r="J48" s="71">
        <v>0.0</v>
      </c>
      <c r="K48" s="72">
        <v>0.0</v>
      </c>
      <c r="L48" s="72"/>
      <c r="M48" s="66"/>
      <c r="N48" s="68" t="s">
        <v>143</v>
      </c>
      <c r="O48" s="68" t="s">
        <v>144</v>
      </c>
      <c r="P48" s="68" t="s">
        <v>143</v>
      </c>
      <c r="Q48" s="73">
        <v>6.0</v>
      </c>
      <c r="R48" s="73">
        <v>20.0</v>
      </c>
      <c r="S48" s="66">
        <f t="array" ref="S48">IFERROR(XLOOKUP(P48,MedalImport!G:G,MedalImport!C:C,0),0)</f>
        <v>0</v>
      </c>
      <c r="T48" s="66">
        <f t="array" ref="T48">IFERROR(XLOOKUP(P48,MedalImport!G:G,MedalImport!D:D,0),0)</f>
        <v>0</v>
      </c>
      <c r="U48" s="66">
        <f t="array" ref="U48">IFERROR(XLOOKUP(P48,MedalImport!G:G,MedalImport!E:E,0),0)</f>
        <v>0</v>
      </c>
      <c r="V48" s="66">
        <f t="shared" si="1"/>
        <v>0</v>
      </c>
      <c r="W48" s="66">
        <f t="shared" si="2"/>
        <v>0</v>
      </c>
      <c r="X48" s="66" t="str">
        <f t="shared" si="3"/>
        <v/>
      </c>
      <c r="Y48" s="29" t="str">
        <f t="shared" si="4"/>
        <v>hk</v>
      </c>
      <c r="Z48" s="66"/>
      <c r="AA48" s="66"/>
      <c r="AB48" s="66"/>
      <c r="AC48" s="66"/>
      <c r="AD48" s="66"/>
      <c r="AE48" s="66"/>
    </row>
    <row r="49" ht="22.5" customHeight="1">
      <c r="A49" s="68"/>
      <c r="B49" s="69" t="s">
        <v>139</v>
      </c>
      <c r="C49" s="69" t="s">
        <v>140</v>
      </c>
      <c r="D49" s="69" t="s">
        <v>139</v>
      </c>
      <c r="E49" s="70">
        <v>6.0</v>
      </c>
      <c r="F49" s="70">
        <v>20.0</v>
      </c>
      <c r="G49" s="71">
        <v>0.0</v>
      </c>
      <c r="H49" s="71">
        <v>0.0</v>
      </c>
      <c r="I49" s="71">
        <v>0.0</v>
      </c>
      <c r="J49" s="71">
        <v>0.0</v>
      </c>
      <c r="K49" s="72">
        <v>0.0</v>
      </c>
      <c r="L49" s="72"/>
      <c r="M49" s="66"/>
      <c r="N49" s="68" t="s">
        <v>145</v>
      </c>
      <c r="O49" s="68" t="s">
        <v>146</v>
      </c>
      <c r="P49" s="68" t="s">
        <v>145</v>
      </c>
      <c r="Q49" s="73">
        <v>6.0</v>
      </c>
      <c r="R49" s="73">
        <v>20.0</v>
      </c>
      <c r="S49" s="66">
        <f t="array" ref="S49">IFERROR(XLOOKUP(P49,MedalImport!G:G,MedalImport!C:C,0),0)</f>
        <v>0</v>
      </c>
      <c r="T49" s="66">
        <f t="array" ref="T49">IFERROR(XLOOKUP(P49,MedalImport!G:G,MedalImport!D:D,0),0)</f>
        <v>0</v>
      </c>
      <c r="U49" s="66">
        <f t="array" ref="U49">IFERROR(XLOOKUP(P49,MedalImport!G:G,MedalImport!E:E,0),0)</f>
        <v>0</v>
      </c>
      <c r="V49" s="66">
        <f t="shared" si="1"/>
        <v>0</v>
      </c>
      <c r="W49" s="66">
        <f t="shared" si="2"/>
        <v>0</v>
      </c>
      <c r="X49" s="66" t="str">
        <f t="shared" si="3"/>
        <v/>
      </c>
      <c r="Y49" s="29" t="str">
        <f t="shared" si="4"/>
        <v>is</v>
      </c>
      <c r="Z49" s="66"/>
      <c r="AA49" s="66"/>
      <c r="AB49" s="66"/>
      <c r="AC49" s="66"/>
      <c r="AD49" s="66"/>
      <c r="AE49" s="66"/>
    </row>
    <row r="50" ht="22.5" customHeight="1">
      <c r="A50" s="68"/>
      <c r="B50" s="69" t="s">
        <v>141</v>
      </c>
      <c r="C50" s="69" t="s">
        <v>142</v>
      </c>
      <c r="D50" s="69" t="s">
        <v>141</v>
      </c>
      <c r="E50" s="70">
        <v>6.0</v>
      </c>
      <c r="F50" s="70">
        <v>20.0</v>
      </c>
      <c r="G50" s="71">
        <v>0.0</v>
      </c>
      <c r="H50" s="71">
        <v>0.0</v>
      </c>
      <c r="I50" s="71">
        <v>0.0</v>
      </c>
      <c r="J50" s="71">
        <v>0.0</v>
      </c>
      <c r="K50" s="72">
        <v>0.0</v>
      </c>
      <c r="L50" s="72"/>
      <c r="M50" s="66"/>
      <c r="N50" s="68" t="s">
        <v>147</v>
      </c>
      <c r="O50" s="68" t="s">
        <v>148</v>
      </c>
      <c r="P50" s="68" t="s">
        <v>147</v>
      </c>
      <c r="Q50" s="73">
        <v>6.0</v>
      </c>
      <c r="R50" s="73">
        <v>20.0</v>
      </c>
      <c r="S50" s="66">
        <f t="array" ref="S50">IFERROR(XLOOKUP(P50,MedalImport!G:G,MedalImport!C:C,0),0)</f>
        <v>0</v>
      </c>
      <c r="T50" s="66">
        <f t="array" ref="T50">IFERROR(XLOOKUP(P50,MedalImport!G:G,MedalImport!D:D,0),0)</f>
        <v>0</v>
      </c>
      <c r="U50" s="66">
        <f t="array" ref="U50">IFERROR(XLOOKUP(P50,MedalImport!G:G,MedalImport!E:E,0),0)</f>
        <v>0</v>
      </c>
      <c r="V50" s="66">
        <f t="shared" si="1"/>
        <v>0</v>
      </c>
      <c r="W50" s="66">
        <f t="shared" si="2"/>
        <v>0</v>
      </c>
      <c r="X50" s="66" t="str">
        <f t="shared" si="3"/>
        <v/>
      </c>
      <c r="Y50" s="29" t="str">
        <f t="shared" si="4"/>
        <v>in</v>
      </c>
      <c r="Z50" s="66"/>
      <c r="AA50" s="66"/>
      <c r="AB50" s="66"/>
      <c r="AC50" s="66"/>
      <c r="AD50" s="66"/>
      <c r="AE50" s="66"/>
    </row>
    <row r="51" ht="22.5" customHeight="1">
      <c r="A51" s="68"/>
      <c r="B51" s="69" t="s">
        <v>143</v>
      </c>
      <c r="C51" s="69" t="s">
        <v>144</v>
      </c>
      <c r="D51" s="69" t="s">
        <v>143</v>
      </c>
      <c r="E51" s="70">
        <v>6.0</v>
      </c>
      <c r="F51" s="70">
        <v>20.0</v>
      </c>
      <c r="G51" s="71">
        <v>0.0</v>
      </c>
      <c r="H51" s="71">
        <v>0.0</v>
      </c>
      <c r="I51" s="71">
        <v>0.0</v>
      </c>
      <c r="J51" s="71">
        <v>0.0</v>
      </c>
      <c r="K51" s="72">
        <v>0.0</v>
      </c>
      <c r="L51" s="72"/>
      <c r="M51" s="66"/>
      <c r="N51" s="68" t="s">
        <v>149</v>
      </c>
      <c r="O51" s="68" t="s">
        <v>150</v>
      </c>
      <c r="P51" s="68" t="s">
        <v>149</v>
      </c>
      <c r="Q51" s="73">
        <v>6.0</v>
      </c>
      <c r="R51" s="73">
        <v>20.0</v>
      </c>
      <c r="S51" s="66">
        <f t="array" ref="S51">IFERROR(XLOOKUP(P51,MedalImport!G:G,MedalImport!C:C,0),0)</f>
        <v>0</v>
      </c>
      <c r="T51" s="66">
        <f t="array" ref="T51">IFERROR(XLOOKUP(P51,MedalImport!G:G,MedalImport!D:D,0),0)</f>
        <v>0</v>
      </c>
      <c r="U51" s="66">
        <f t="array" ref="U51">IFERROR(XLOOKUP(P51,MedalImport!G:G,MedalImport!E:E,0),0)</f>
        <v>0</v>
      </c>
      <c r="V51" s="66">
        <f t="shared" si="1"/>
        <v>0</v>
      </c>
      <c r="W51" s="66">
        <f t="shared" si="2"/>
        <v>0</v>
      </c>
      <c r="X51" s="66" t="str">
        <f t="shared" si="3"/>
        <v/>
      </c>
      <c r="Y51" s="29" t="str">
        <f t="shared" si="4"/>
        <v>ir</v>
      </c>
      <c r="Z51" s="66"/>
      <c r="AA51" s="66"/>
      <c r="AB51" s="66"/>
      <c r="AC51" s="66"/>
      <c r="AD51" s="66"/>
      <c r="AE51" s="66"/>
    </row>
    <row r="52" ht="22.5" customHeight="1">
      <c r="A52" s="68"/>
      <c r="B52" s="69" t="s">
        <v>145</v>
      </c>
      <c r="C52" s="69" t="s">
        <v>146</v>
      </c>
      <c r="D52" s="69" t="s">
        <v>145</v>
      </c>
      <c r="E52" s="70">
        <v>6.0</v>
      </c>
      <c r="F52" s="70">
        <v>20.0</v>
      </c>
      <c r="G52" s="71">
        <v>0.0</v>
      </c>
      <c r="H52" s="71">
        <v>0.0</v>
      </c>
      <c r="I52" s="71">
        <v>0.0</v>
      </c>
      <c r="J52" s="71">
        <v>0.0</v>
      </c>
      <c r="K52" s="72">
        <v>0.0</v>
      </c>
      <c r="L52" s="72"/>
      <c r="M52" s="66"/>
      <c r="N52" s="68" t="s">
        <v>151</v>
      </c>
      <c r="O52" s="68" t="s">
        <v>152</v>
      </c>
      <c r="P52" s="68" t="s">
        <v>151</v>
      </c>
      <c r="Q52" s="73">
        <v>6.0</v>
      </c>
      <c r="R52" s="73">
        <v>20.0</v>
      </c>
      <c r="S52" s="66">
        <f t="array" ref="S52">IFERROR(XLOOKUP(P52,MedalImport!G:G,MedalImport!C:C,0),0)</f>
        <v>0</v>
      </c>
      <c r="T52" s="66">
        <f t="array" ref="T52">IFERROR(XLOOKUP(P52,MedalImport!G:G,MedalImport!D:D,0),0)</f>
        <v>0</v>
      </c>
      <c r="U52" s="66">
        <f t="array" ref="U52">IFERROR(XLOOKUP(P52,MedalImport!G:G,MedalImport!E:E,0),0)</f>
        <v>0</v>
      </c>
      <c r="V52" s="66">
        <f t="shared" si="1"/>
        <v>0</v>
      </c>
      <c r="W52" s="66">
        <f t="shared" si="2"/>
        <v>0</v>
      </c>
      <c r="X52" s="66" t="str">
        <f t="shared" si="3"/>
        <v/>
      </c>
      <c r="Y52" s="29" t="str">
        <f t="shared" si="4"/>
        <v>ie</v>
      </c>
      <c r="Z52" s="66"/>
      <c r="AA52" s="66"/>
      <c r="AB52" s="66"/>
      <c r="AC52" s="66"/>
      <c r="AD52" s="66"/>
      <c r="AE52" s="66"/>
    </row>
    <row r="53" ht="22.5" customHeight="1">
      <c r="A53" s="68"/>
      <c r="B53" s="69" t="s">
        <v>147</v>
      </c>
      <c r="C53" s="69" t="s">
        <v>148</v>
      </c>
      <c r="D53" s="69" t="s">
        <v>147</v>
      </c>
      <c r="E53" s="70">
        <v>6.0</v>
      </c>
      <c r="F53" s="70">
        <v>20.0</v>
      </c>
      <c r="G53" s="71">
        <v>0.0</v>
      </c>
      <c r="H53" s="71">
        <v>0.0</v>
      </c>
      <c r="I53" s="71">
        <v>0.0</v>
      </c>
      <c r="J53" s="71">
        <v>0.0</v>
      </c>
      <c r="K53" s="72">
        <v>0.0</v>
      </c>
      <c r="L53" s="72"/>
      <c r="M53" s="66"/>
      <c r="N53" s="68" t="s">
        <v>153</v>
      </c>
      <c r="O53" s="68" t="s">
        <v>154</v>
      </c>
      <c r="P53" s="68" t="s">
        <v>153</v>
      </c>
      <c r="Q53" s="73">
        <v>6.0</v>
      </c>
      <c r="R53" s="73">
        <v>20.0</v>
      </c>
      <c r="S53" s="66">
        <f t="array" ref="S53">IFERROR(XLOOKUP(P53,MedalImport!G:G,MedalImport!C:C,0),0)</f>
        <v>0</v>
      </c>
      <c r="T53" s="66">
        <f t="array" ref="T53">IFERROR(XLOOKUP(P53,MedalImport!G:G,MedalImport!D:D,0),0)</f>
        <v>0</v>
      </c>
      <c r="U53" s="66">
        <f t="array" ref="U53">IFERROR(XLOOKUP(P53,MedalImport!G:G,MedalImport!E:E,0),0)</f>
        <v>0</v>
      </c>
      <c r="V53" s="66">
        <f t="shared" si="1"/>
        <v>0</v>
      </c>
      <c r="W53" s="66">
        <f t="shared" si="2"/>
        <v>0</v>
      </c>
      <c r="X53" s="66" t="str">
        <f t="shared" si="3"/>
        <v/>
      </c>
      <c r="Y53" s="29" t="str">
        <f t="shared" si="4"/>
        <v>il</v>
      </c>
      <c r="Z53" s="66"/>
      <c r="AA53" s="66"/>
      <c r="AB53" s="66"/>
      <c r="AC53" s="66"/>
      <c r="AD53" s="66"/>
      <c r="AE53" s="66"/>
    </row>
    <row r="54" ht="22.5" customHeight="1">
      <c r="A54" s="68"/>
      <c r="B54" s="69" t="s">
        <v>149</v>
      </c>
      <c r="C54" s="69" t="s">
        <v>150</v>
      </c>
      <c r="D54" s="69" t="s">
        <v>149</v>
      </c>
      <c r="E54" s="70">
        <v>6.0</v>
      </c>
      <c r="F54" s="70">
        <v>20.0</v>
      </c>
      <c r="G54" s="71">
        <v>0.0</v>
      </c>
      <c r="H54" s="71">
        <v>0.0</v>
      </c>
      <c r="I54" s="71">
        <v>0.0</v>
      </c>
      <c r="J54" s="71">
        <v>0.0</v>
      </c>
      <c r="K54" s="72">
        <v>0.0</v>
      </c>
      <c r="L54" s="72"/>
      <c r="M54" s="66"/>
      <c r="N54" s="68" t="s">
        <v>155</v>
      </c>
      <c r="O54" s="68" t="s">
        <v>156</v>
      </c>
      <c r="P54" s="68" t="s">
        <v>155</v>
      </c>
      <c r="Q54" s="73">
        <v>6.0</v>
      </c>
      <c r="R54" s="73">
        <v>20.0</v>
      </c>
      <c r="S54" s="66">
        <f t="array" ref="S54">IFERROR(XLOOKUP(P54,MedalImport!G:G,MedalImport!C:C,0),0)</f>
        <v>0</v>
      </c>
      <c r="T54" s="66">
        <f t="array" ref="T54">IFERROR(XLOOKUP(P54,MedalImport!G:G,MedalImport!D:D,0),0)</f>
        <v>0</v>
      </c>
      <c r="U54" s="66">
        <f t="array" ref="U54">IFERROR(XLOOKUP(P54,MedalImport!G:G,MedalImport!E:E,0),0)</f>
        <v>0</v>
      </c>
      <c r="V54" s="66">
        <f t="shared" si="1"/>
        <v>0</v>
      </c>
      <c r="W54" s="66">
        <f t="shared" si="2"/>
        <v>0</v>
      </c>
      <c r="X54" s="66" t="str">
        <f t="shared" si="3"/>
        <v/>
      </c>
      <c r="Y54" s="29" t="str">
        <f t="shared" si="4"/>
        <v>jm</v>
      </c>
      <c r="Z54" s="66"/>
      <c r="AA54" s="66"/>
      <c r="AB54" s="66"/>
      <c r="AC54" s="66"/>
      <c r="AD54" s="66"/>
      <c r="AE54" s="66"/>
    </row>
    <row r="55" ht="22.5" customHeight="1">
      <c r="A55" s="68"/>
      <c r="B55" s="69" t="s">
        <v>151</v>
      </c>
      <c r="C55" s="69" t="s">
        <v>152</v>
      </c>
      <c r="D55" s="69" t="s">
        <v>151</v>
      </c>
      <c r="E55" s="70">
        <v>6.0</v>
      </c>
      <c r="F55" s="70">
        <v>20.0</v>
      </c>
      <c r="G55" s="71">
        <v>0.0</v>
      </c>
      <c r="H55" s="71">
        <v>0.0</v>
      </c>
      <c r="I55" s="71">
        <v>0.0</v>
      </c>
      <c r="J55" s="71">
        <v>0.0</v>
      </c>
      <c r="K55" s="72">
        <v>0.0</v>
      </c>
      <c r="L55" s="72"/>
      <c r="M55" s="66"/>
      <c r="N55" s="68" t="s">
        <v>89</v>
      </c>
      <c r="O55" s="68" t="s">
        <v>90</v>
      </c>
      <c r="P55" s="68" t="s">
        <v>89</v>
      </c>
      <c r="Q55" s="73">
        <v>6.0</v>
      </c>
      <c r="R55" s="73">
        <v>20.0</v>
      </c>
      <c r="S55" s="66">
        <f t="array" ref="S55">IFERROR(XLOOKUP(P55,MedalImport!G:G,MedalImport!C:C,0),0)</f>
        <v>1</v>
      </c>
      <c r="T55" s="66">
        <f t="array" ref="T55">IFERROR(XLOOKUP(P55,MedalImport!G:G,MedalImport!D:D,0),0)</f>
        <v>0</v>
      </c>
      <c r="U55" s="66">
        <f t="array" ref="U55">IFERROR(XLOOKUP(P55,MedalImport!G:G,MedalImport!E:E,0),0)</f>
        <v>0</v>
      </c>
      <c r="V55" s="66">
        <f t="shared" si="1"/>
        <v>1</v>
      </c>
      <c r="W55" s="66">
        <f t="shared" si="2"/>
        <v>60</v>
      </c>
      <c r="X55" s="66" t="str">
        <f t="shared" si="3"/>
        <v/>
      </c>
      <c r="Y55" s="29" t="str">
        <f t="shared" si="4"/>
        <v>kz</v>
      </c>
      <c r="Z55" s="66"/>
      <c r="AA55" s="66"/>
      <c r="AB55" s="66"/>
      <c r="AC55" s="66"/>
      <c r="AD55" s="66"/>
      <c r="AE55" s="66"/>
    </row>
    <row r="56" ht="22.5" customHeight="1">
      <c r="A56" s="68"/>
      <c r="B56" s="69" t="s">
        <v>153</v>
      </c>
      <c r="C56" s="69" t="s">
        <v>154</v>
      </c>
      <c r="D56" s="69" t="s">
        <v>153</v>
      </c>
      <c r="E56" s="70">
        <v>6.0</v>
      </c>
      <c r="F56" s="70">
        <v>20.0</v>
      </c>
      <c r="G56" s="71">
        <v>0.0</v>
      </c>
      <c r="H56" s="71">
        <v>0.0</v>
      </c>
      <c r="I56" s="71">
        <v>0.0</v>
      </c>
      <c r="J56" s="71">
        <v>0.0</v>
      </c>
      <c r="K56" s="72">
        <v>0.0</v>
      </c>
      <c r="L56" s="72"/>
      <c r="M56" s="66"/>
      <c r="N56" s="68" t="s">
        <v>157</v>
      </c>
      <c r="O56" s="68" t="s">
        <v>158</v>
      </c>
      <c r="P56" s="68" t="s">
        <v>157</v>
      </c>
      <c r="Q56" s="73">
        <v>6.0</v>
      </c>
      <c r="R56" s="73">
        <v>20.0</v>
      </c>
      <c r="S56" s="66">
        <f t="array" ref="S56">IFERROR(XLOOKUP(P56,MedalImport!G:G,MedalImport!C:C,0),0)</f>
        <v>0</v>
      </c>
      <c r="T56" s="66">
        <f t="array" ref="T56">IFERROR(XLOOKUP(P56,MedalImport!G:G,MedalImport!D:D,0),0)</f>
        <v>0</v>
      </c>
      <c r="U56" s="66">
        <f t="array" ref="U56">IFERROR(XLOOKUP(P56,MedalImport!G:G,MedalImport!E:E,0),0)</f>
        <v>0</v>
      </c>
      <c r="V56" s="66">
        <f t="shared" si="1"/>
        <v>0</v>
      </c>
      <c r="W56" s="66">
        <f t="shared" si="2"/>
        <v>0</v>
      </c>
      <c r="X56" s="66" t="str">
        <f t="shared" si="3"/>
        <v/>
      </c>
      <c r="Y56" s="29" t="str">
        <f t="shared" si="4"/>
        <v>ke</v>
      </c>
      <c r="Z56" s="66"/>
      <c r="AA56" s="66"/>
      <c r="AB56" s="66"/>
      <c r="AC56" s="66"/>
      <c r="AD56" s="66"/>
      <c r="AE56" s="66"/>
    </row>
    <row r="57" ht="22.5" customHeight="1">
      <c r="A57" s="68"/>
      <c r="B57" s="69" t="s">
        <v>155</v>
      </c>
      <c r="C57" s="69" t="s">
        <v>156</v>
      </c>
      <c r="D57" s="69" t="s">
        <v>155</v>
      </c>
      <c r="E57" s="70">
        <v>6.0</v>
      </c>
      <c r="F57" s="70">
        <v>20.0</v>
      </c>
      <c r="G57" s="71">
        <v>0.0</v>
      </c>
      <c r="H57" s="71">
        <v>0.0</v>
      </c>
      <c r="I57" s="71">
        <v>0.0</v>
      </c>
      <c r="J57" s="71">
        <v>0.0</v>
      </c>
      <c r="K57" s="72">
        <v>0.0</v>
      </c>
      <c r="L57" s="72"/>
      <c r="M57" s="66"/>
      <c r="N57" s="68" t="s">
        <v>159</v>
      </c>
      <c r="O57" s="68" t="s">
        <v>160</v>
      </c>
      <c r="P57" s="68" t="s">
        <v>159</v>
      </c>
      <c r="Q57" s="73">
        <v>6.0</v>
      </c>
      <c r="R57" s="73">
        <v>20.0</v>
      </c>
      <c r="S57" s="66">
        <f t="array" ref="S57">IFERROR(XLOOKUP(P57,MedalImport!G:G,MedalImport!C:C,0),0)</f>
        <v>0</v>
      </c>
      <c r="T57" s="66">
        <f t="array" ref="T57">IFERROR(XLOOKUP(P57,MedalImport!G:G,MedalImport!D:D,0),0)</f>
        <v>0</v>
      </c>
      <c r="U57" s="66">
        <f t="array" ref="U57">IFERROR(XLOOKUP(P57,MedalImport!G:G,MedalImport!E:E,0),0)</f>
        <v>0</v>
      </c>
      <c r="V57" s="66">
        <f t="shared" si="1"/>
        <v>0</v>
      </c>
      <c r="W57" s="66">
        <f t="shared" si="2"/>
        <v>0</v>
      </c>
      <c r="X57" s="66" t="str">
        <f t="shared" si="3"/>
        <v/>
      </c>
      <c r="Y57" s="29" t="str">
        <f t="shared" si="4"/>
        <v>xk</v>
      </c>
      <c r="Z57" s="66"/>
      <c r="AA57" s="66"/>
      <c r="AB57" s="66"/>
      <c r="AC57" s="66"/>
      <c r="AD57" s="66"/>
      <c r="AE57" s="66"/>
    </row>
    <row r="58" ht="22.5" customHeight="1">
      <c r="A58" s="68"/>
      <c r="B58" s="69" t="s">
        <v>157</v>
      </c>
      <c r="C58" s="69" t="s">
        <v>158</v>
      </c>
      <c r="D58" s="69" t="s">
        <v>157</v>
      </c>
      <c r="E58" s="70">
        <v>6.0</v>
      </c>
      <c r="F58" s="70">
        <v>20.0</v>
      </c>
      <c r="G58" s="71">
        <v>0.0</v>
      </c>
      <c r="H58" s="71">
        <v>0.0</v>
      </c>
      <c r="I58" s="71">
        <v>0.0</v>
      </c>
      <c r="J58" s="71">
        <v>0.0</v>
      </c>
      <c r="K58" s="72">
        <v>0.0</v>
      </c>
      <c r="L58" s="72"/>
      <c r="M58" s="66"/>
      <c r="N58" s="68" t="s">
        <v>161</v>
      </c>
      <c r="O58" s="68" t="s">
        <v>162</v>
      </c>
      <c r="P58" s="68" t="s">
        <v>161</v>
      </c>
      <c r="Q58" s="73">
        <v>6.0</v>
      </c>
      <c r="R58" s="73">
        <v>20.0</v>
      </c>
      <c r="S58" s="66">
        <f t="array" ref="S58">IFERROR(XLOOKUP(P58,MedalImport!G:G,MedalImport!C:C,0),0)</f>
        <v>0</v>
      </c>
      <c r="T58" s="66">
        <f t="array" ref="T58">IFERROR(XLOOKUP(P58,MedalImport!G:G,MedalImport!D:D,0),0)</f>
        <v>0</v>
      </c>
      <c r="U58" s="66">
        <f t="array" ref="U58">IFERROR(XLOOKUP(P58,MedalImport!G:G,MedalImport!E:E,0),0)</f>
        <v>0</v>
      </c>
      <c r="V58" s="66">
        <f t="shared" si="1"/>
        <v>0</v>
      </c>
      <c r="W58" s="66">
        <f t="shared" si="2"/>
        <v>0</v>
      </c>
      <c r="X58" s="66" t="str">
        <f t="shared" si="3"/>
        <v/>
      </c>
      <c r="Y58" s="29" t="str">
        <f t="shared" si="4"/>
        <v>kg</v>
      </c>
      <c r="Z58" s="66"/>
      <c r="AA58" s="66"/>
      <c r="AB58" s="66"/>
      <c r="AC58" s="66"/>
      <c r="AD58" s="66"/>
      <c r="AE58" s="66"/>
    </row>
    <row r="59" ht="22.5" customHeight="1">
      <c r="A59" s="68"/>
      <c r="B59" s="69" t="s">
        <v>159</v>
      </c>
      <c r="C59" s="69" t="s">
        <v>160</v>
      </c>
      <c r="D59" s="69" t="s">
        <v>159</v>
      </c>
      <c r="E59" s="70">
        <v>6.0</v>
      </c>
      <c r="F59" s="70">
        <v>20.0</v>
      </c>
      <c r="G59" s="71">
        <v>0.0</v>
      </c>
      <c r="H59" s="71">
        <v>0.0</v>
      </c>
      <c r="I59" s="71">
        <v>0.0</v>
      </c>
      <c r="J59" s="71">
        <v>0.0</v>
      </c>
      <c r="K59" s="72">
        <v>0.0</v>
      </c>
      <c r="L59" s="72"/>
      <c r="M59" s="66"/>
      <c r="N59" s="68" t="s">
        <v>163</v>
      </c>
      <c r="O59" s="68" t="s">
        <v>164</v>
      </c>
      <c r="P59" s="68" t="s">
        <v>163</v>
      </c>
      <c r="Q59" s="73">
        <v>6.0</v>
      </c>
      <c r="R59" s="73">
        <v>20.0</v>
      </c>
      <c r="S59" s="66">
        <f t="array" ref="S59">IFERROR(XLOOKUP(P59,MedalImport!G:G,MedalImport!C:C,0),0)</f>
        <v>0</v>
      </c>
      <c r="T59" s="66">
        <f t="array" ref="T59">IFERROR(XLOOKUP(P59,MedalImport!G:G,MedalImport!D:D,0),0)</f>
        <v>0</v>
      </c>
      <c r="U59" s="66">
        <f t="array" ref="U59">IFERROR(XLOOKUP(P59,MedalImport!G:G,MedalImport!E:E,0),0)</f>
        <v>0</v>
      </c>
      <c r="V59" s="66">
        <f t="shared" si="1"/>
        <v>0</v>
      </c>
      <c r="W59" s="66">
        <f t="shared" si="2"/>
        <v>0</v>
      </c>
      <c r="X59" s="66" t="str">
        <f t="shared" si="3"/>
        <v/>
      </c>
      <c r="Y59" s="29" t="str">
        <f t="shared" si="4"/>
        <v>lb</v>
      </c>
      <c r="Z59" s="66"/>
      <c r="AA59" s="66"/>
      <c r="AB59" s="66"/>
      <c r="AC59" s="66"/>
      <c r="AD59" s="66"/>
      <c r="AE59" s="66"/>
    </row>
    <row r="60" ht="22.5" customHeight="1">
      <c r="A60" s="68"/>
      <c r="B60" s="69" t="s">
        <v>161</v>
      </c>
      <c r="C60" s="69" t="s">
        <v>162</v>
      </c>
      <c r="D60" s="69" t="s">
        <v>161</v>
      </c>
      <c r="E60" s="70">
        <v>6.0</v>
      </c>
      <c r="F60" s="70">
        <v>20.0</v>
      </c>
      <c r="G60" s="71">
        <v>0.0</v>
      </c>
      <c r="H60" s="71">
        <v>0.0</v>
      </c>
      <c r="I60" s="71">
        <v>0.0</v>
      </c>
      <c r="J60" s="71">
        <v>0.0</v>
      </c>
      <c r="K60" s="72">
        <v>0.0</v>
      </c>
      <c r="L60" s="72"/>
      <c r="M60" s="66"/>
      <c r="N60" s="68" t="s">
        <v>165</v>
      </c>
      <c r="O60" s="68" t="s">
        <v>166</v>
      </c>
      <c r="P60" s="68" t="s">
        <v>165</v>
      </c>
      <c r="Q60" s="73">
        <v>6.0</v>
      </c>
      <c r="R60" s="73">
        <v>20.0</v>
      </c>
      <c r="S60" s="66">
        <f t="array" ref="S60">IFERROR(XLOOKUP(P60,MedalImport!G:G,MedalImport!C:C,0),0)</f>
        <v>0</v>
      </c>
      <c r="T60" s="66">
        <f t="array" ref="T60">IFERROR(XLOOKUP(P60,MedalImport!G:G,MedalImport!D:D,0),0)</f>
        <v>0</v>
      </c>
      <c r="U60" s="66">
        <f t="array" ref="U60">IFERROR(XLOOKUP(P60,MedalImport!G:G,MedalImport!E:E,0),0)</f>
        <v>0</v>
      </c>
      <c r="V60" s="66">
        <f t="shared" si="1"/>
        <v>0</v>
      </c>
      <c r="W60" s="66">
        <f t="shared" si="2"/>
        <v>0</v>
      </c>
      <c r="X60" s="66" t="str">
        <f t="shared" si="3"/>
        <v/>
      </c>
      <c r="Y60" s="29" t="str">
        <f t="shared" si="4"/>
        <v>li</v>
      </c>
      <c r="Z60" s="66"/>
      <c r="AA60" s="66"/>
      <c r="AB60" s="66"/>
      <c r="AC60" s="66"/>
      <c r="AD60" s="66"/>
      <c r="AE60" s="66"/>
    </row>
    <row r="61" ht="22.5" customHeight="1">
      <c r="A61" s="68"/>
      <c r="B61" s="69" t="s">
        <v>163</v>
      </c>
      <c r="C61" s="69" t="s">
        <v>164</v>
      </c>
      <c r="D61" s="69" t="s">
        <v>163</v>
      </c>
      <c r="E61" s="70">
        <v>6.0</v>
      </c>
      <c r="F61" s="70">
        <v>20.0</v>
      </c>
      <c r="G61" s="71">
        <v>0.0</v>
      </c>
      <c r="H61" s="71">
        <v>0.0</v>
      </c>
      <c r="I61" s="71">
        <v>0.0</v>
      </c>
      <c r="J61" s="71">
        <v>0.0</v>
      </c>
      <c r="K61" s="72">
        <v>0.0</v>
      </c>
      <c r="L61" s="72"/>
      <c r="M61" s="66"/>
      <c r="N61" s="68" t="s">
        <v>167</v>
      </c>
      <c r="O61" s="68" t="s">
        <v>168</v>
      </c>
      <c r="P61" s="68" t="s">
        <v>167</v>
      </c>
      <c r="Q61" s="73">
        <v>6.0</v>
      </c>
      <c r="R61" s="73">
        <v>20.0</v>
      </c>
      <c r="S61" s="66">
        <f t="array" ref="S61">IFERROR(XLOOKUP(P61,MedalImport!G:G,MedalImport!C:C,0),0)</f>
        <v>0</v>
      </c>
      <c r="T61" s="66">
        <f t="array" ref="T61">IFERROR(XLOOKUP(P61,MedalImport!G:G,MedalImport!D:D,0),0)</f>
        <v>0</v>
      </c>
      <c r="U61" s="66">
        <f t="array" ref="U61">IFERROR(XLOOKUP(P61,MedalImport!G:G,MedalImport!E:E,0),0)</f>
        <v>0</v>
      </c>
      <c r="V61" s="66">
        <f t="shared" si="1"/>
        <v>0</v>
      </c>
      <c r="W61" s="66">
        <f t="shared" si="2"/>
        <v>0</v>
      </c>
      <c r="X61" s="66" t="str">
        <f t="shared" si="3"/>
        <v/>
      </c>
      <c r="Y61" s="29" t="str">
        <f t="shared" si="4"/>
        <v>lt</v>
      </c>
      <c r="Z61" s="66"/>
      <c r="AA61" s="66"/>
      <c r="AB61" s="66"/>
      <c r="AC61" s="66"/>
      <c r="AD61" s="66"/>
      <c r="AE61" s="66"/>
    </row>
    <row r="62" ht="22.5" customHeight="1">
      <c r="A62" s="68"/>
      <c r="B62" s="69" t="s">
        <v>165</v>
      </c>
      <c r="C62" s="69" t="s">
        <v>166</v>
      </c>
      <c r="D62" s="69" t="s">
        <v>165</v>
      </c>
      <c r="E62" s="70">
        <v>6.0</v>
      </c>
      <c r="F62" s="70">
        <v>20.0</v>
      </c>
      <c r="G62" s="71">
        <v>0.0</v>
      </c>
      <c r="H62" s="71">
        <v>0.0</v>
      </c>
      <c r="I62" s="71">
        <v>0.0</v>
      </c>
      <c r="J62" s="71">
        <v>0.0</v>
      </c>
      <c r="K62" s="72">
        <v>0.0</v>
      </c>
      <c r="L62" s="72"/>
      <c r="M62" s="66"/>
      <c r="N62" s="68" t="s">
        <v>169</v>
      </c>
      <c r="O62" s="68" t="s">
        <v>170</v>
      </c>
      <c r="P62" s="68" t="s">
        <v>169</v>
      </c>
      <c r="Q62" s="73">
        <v>6.0</v>
      </c>
      <c r="R62" s="73">
        <v>20.0</v>
      </c>
      <c r="S62" s="66">
        <f t="array" ref="S62">IFERROR(XLOOKUP(P62,MedalImport!G:G,MedalImport!C:C,0),0)</f>
        <v>0</v>
      </c>
      <c r="T62" s="66">
        <f t="array" ref="T62">IFERROR(XLOOKUP(P62,MedalImport!G:G,MedalImport!D:D,0),0)</f>
        <v>0</v>
      </c>
      <c r="U62" s="66">
        <f t="array" ref="U62">IFERROR(XLOOKUP(P62,MedalImport!G:G,MedalImport!E:E,0),0)</f>
        <v>0</v>
      </c>
      <c r="V62" s="66">
        <f t="shared" si="1"/>
        <v>0</v>
      </c>
      <c r="W62" s="66">
        <f t="shared" si="2"/>
        <v>0</v>
      </c>
      <c r="X62" s="66" t="str">
        <f t="shared" si="3"/>
        <v/>
      </c>
      <c r="Y62" s="29" t="str">
        <f t="shared" si="4"/>
        <v>lu</v>
      </c>
      <c r="Z62" s="66"/>
      <c r="AA62" s="66"/>
      <c r="AB62" s="66"/>
      <c r="AC62" s="66"/>
      <c r="AD62" s="66"/>
      <c r="AE62" s="66"/>
    </row>
    <row r="63" ht="22.5" customHeight="1">
      <c r="A63" s="68"/>
      <c r="B63" s="69" t="s">
        <v>167</v>
      </c>
      <c r="C63" s="69" t="s">
        <v>168</v>
      </c>
      <c r="D63" s="69" t="s">
        <v>167</v>
      </c>
      <c r="E63" s="70">
        <v>6.0</v>
      </c>
      <c r="F63" s="70">
        <v>20.0</v>
      </c>
      <c r="G63" s="71">
        <v>0.0</v>
      </c>
      <c r="H63" s="71">
        <v>0.0</v>
      </c>
      <c r="I63" s="71">
        <v>0.0</v>
      </c>
      <c r="J63" s="71">
        <v>0.0</v>
      </c>
      <c r="K63" s="72">
        <v>0.0</v>
      </c>
      <c r="L63" s="72"/>
      <c r="M63" s="66"/>
      <c r="N63" s="68" t="s">
        <v>171</v>
      </c>
      <c r="O63" s="68" t="s">
        <v>172</v>
      </c>
      <c r="P63" s="68" t="s">
        <v>171</v>
      </c>
      <c r="Q63" s="73">
        <v>6.0</v>
      </c>
      <c r="R63" s="73">
        <v>20.0</v>
      </c>
      <c r="S63" s="66">
        <f t="array" ref="S63">IFERROR(XLOOKUP(P63,MedalImport!G:G,MedalImport!C:C,0),0)</f>
        <v>0</v>
      </c>
      <c r="T63" s="66">
        <f t="array" ref="T63">IFERROR(XLOOKUP(P63,MedalImport!G:G,MedalImport!D:D,0),0)</f>
        <v>0</v>
      </c>
      <c r="U63" s="66">
        <f t="array" ref="U63">IFERROR(XLOOKUP(P63,MedalImport!G:G,MedalImport!E:E,0),0)</f>
        <v>0</v>
      </c>
      <c r="V63" s="66">
        <f t="shared" si="1"/>
        <v>0</v>
      </c>
      <c r="W63" s="66">
        <f t="shared" si="2"/>
        <v>0</v>
      </c>
      <c r="X63" s="66" t="str">
        <f t="shared" si="3"/>
        <v/>
      </c>
      <c r="Y63" s="29" t="str">
        <f t="shared" si="4"/>
        <v>mg</v>
      </c>
      <c r="Z63" s="66"/>
      <c r="AA63" s="66"/>
      <c r="AB63" s="66"/>
      <c r="AC63" s="66"/>
      <c r="AD63" s="66"/>
      <c r="AE63" s="66"/>
    </row>
    <row r="64" ht="22.5" customHeight="1">
      <c r="A64" s="68"/>
      <c r="B64" s="69" t="s">
        <v>169</v>
      </c>
      <c r="C64" s="69" t="s">
        <v>170</v>
      </c>
      <c r="D64" s="69" t="s">
        <v>169</v>
      </c>
      <c r="E64" s="70">
        <v>6.0</v>
      </c>
      <c r="F64" s="70">
        <v>20.0</v>
      </c>
      <c r="G64" s="71">
        <v>0.0</v>
      </c>
      <c r="H64" s="71">
        <v>0.0</v>
      </c>
      <c r="I64" s="71">
        <v>0.0</v>
      </c>
      <c r="J64" s="71">
        <v>0.0</v>
      </c>
      <c r="K64" s="72">
        <v>0.0</v>
      </c>
      <c r="L64" s="72"/>
      <c r="M64" s="66"/>
      <c r="N64" s="68" t="s">
        <v>173</v>
      </c>
      <c r="O64" s="68" t="s">
        <v>174</v>
      </c>
      <c r="P64" s="68" t="s">
        <v>173</v>
      </c>
      <c r="Q64" s="73">
        <v>6.0</v>
      </c>
      <c r="R64" s="73">
        <v>20.0</v>
      </c>
      <c r="S64" s="66">
        <f t="array" ref="S64">IFERROR(XLOOKUP(P64,MedalImport!G:G,MedalImport!C:C,0),0)</f>
        <v>0</v>
      </c>
      <c r="T64" s="66">
        <f t="array" ref="T64">IFERROR(XLOOKUP(P64,MedalImport!G:G,MedalImport!D:D,0),0)</f>
        <v>0</v>
      </c>
      <c r="U64" s="66">
        <f t="array" ref="U64">IFERROR(XLOOKUP(P64,MedalImport!G:G,MedalImport!E:E,0),0)</f>
        <v>0</v>
      </c>
      <c r="V64" s="66">
        <f t="shared" si="1"/>
        <v>0</v>
      </c>
      <c r="W64" s="66">
        <f t="shared" si="2"/>
        <v>0</v>
      </c>
      <c r="X64" s="66" t="str">
        <f t="shared" si="3"/>
        <v/>
      </c>
      <c r="Y64" s="29" t="str">
        <f t="shared" si="4"/>
        <v>my</v>
      </c>
      <c r="Z64" s="66"/>
      <c r="AA64" s="66"/>
      <c r="AB64" s="66"/>
      <c r="AC64" s="66"/>
      <c r="AD64" s="66"/>
      <c r="AE64" s="66"/>
    </row>
    <row r="65" ht="22.5" customHeight="1">
      <c r="A65" s="68"/>
      <c r="B65" s="69" t="s">
        <v>171</v>
      </c>
      <c r="C65" s="69" t="s">
        <v>172</v>
      </c>
      <c r="D65" s="69" t="s">
        <v>171</v>
      </c>
      <c r="E65" s="70">
        <v>6.0</v>
      </c>
      <c r="F65" s="70">
        <v>20.0</v>
      </c>
      <c r="G65" s="71">
        <v>0.0</v>
      </c>
      <c r="H65" s="71">
        <v>0.0</v>
      </c>
      <c r="I65" s="71">
        <v>0.0</v>
      </c>
      <c r="J65" s="71">
        <v>0.0</v>
      </c>
      <c r="K65" s="72">
        <v>0.0</v>
      </c>
      <c r="L65" s="72"/>
      <c r="M65" s="66"/>
      <c r="N65" s="68" t="s">
        <v>175</v>
      </c>
      <c r="O65" s="68" t="s">
        <v>176</v>
      </c>
      <c r="P65" s="68" t="s">
        <v>175</v>
      </c>
      <c r="Q65" s="73">
        <v>6.0</v>
      </c>
      <c r="R65" s="73">
        <v>20.0</v>
      </c>
      <c r="S65" s="66">
        <f t="array" ref="S65">IFERROR(XLOOKUP(P65,MedalImport!G:G,MedalImport!C:C,0),0)</f>
        <v>0</v>
      </c>
      <c r="T65" s="66">
        <f t="array" ref="T65">IFERROR(XLOOKUP(P65,MedalImport!G:G,MedalImport!D:D,0),0)</f>
        <v>0</v>
      </c>
      <c r="U65" s="66">
        <f t="array" ref="U65">IFERROR(XLOOKUP(P65,MedalImport!G:G,MedalImport!E:E,0),0)</f>
        <v>0</v>
      </c>
      <c r="V65" s="66">
        <f t="shared" si="1"/>
        <v>0</v>
      </c>
      <c r="W65" s="66">
        <f t="shared" si="2"/>
        <v>0</v>
      </c>
      <c r="X65" s="66" t="str">
        <f t="shared" si="3"/>
        <v/>
      </c>
      <c r="Y65" s="29" t="str">
        <f t="shared" si="4"/>
        <v>mt</v>
      </c>
      <c r="Z65" s="66"/>
      <c r="AA65" s="66"/>
      <c r="AB65" s="66"/>
      <c r="AC65" s="66"/>
      <c r="AD65" s="66"/>
      <c r="AE65" s="66"/>
    </row>
    <row r="66" ht="22.5" customHeight="1">
      <c r="A66" s="68"/>
      <c r="B66" s="69" t="s">
        <v>173</v>
      </c>
      <c r="C66" s="69" t="s">
        <v>174</v>
      </c>
      <c r="D66" s="69" t="s">
        <v>173</v>
      </c>
      <c r="E66" s="70">
        <v>6.0</v>
      </c>
      <c r="F66" s="70">
        <v>20.0</v>
      </c>
      <c r="G66" s="71">
        <v>0.0</v>
      </c>
      <c r="H66" s="71">
        <v>0.0</v>
      </c>
      <c r="I66" s="71">
        <v>0.0</v>
      </c>
      <c r="J66" s="71">
        <v>0.0</v>
      </c>
      <c r="K66" s="72">
        <v>0.0</v>
      </c>
      <c r="L66" s="72"/>
      <c r="M66" s="66"/>
      <c r="N66" s="68" t="s">
        <v>177</v>
      </c>
      <c r="O66" s="68" t="s">
        <v>178</v>
      </c>
      <c r="P66" s="68" t="s">
        <v>177</v>
      </c>
      <c r="Q66" s="73">
        <v>6.0</v>
      </c>
      <c r="R66" s="73">
        <v>20.0</v>
      </c>
      <c r="S66" s="66">
        <f t="array" ref="S66">IFERROR(XLOOKUP(P66,MedalImport!G:G,MedalImport!C:C,0),0)</f>
        <v>0</v>
      </c>
      <c r="T66" s="66">
        <f t="array" ref="T66">IFERROR(XLOOKUP(P66,MedalImport!G:G,MedalImport!D:D,0),0)</f>
        <v>0</v>
      </c>
      <c r="U66" s="66">
        <f t="array" ref="U66">IFERROR(XLOOKUP(P66,MedalImport!G:G,MedalImport!E:E,0),0)</f>
        <v>0</v>
      </c>
      <c r="V66" s="66">
        <f t="shared" si="1"/>
        <v>0</v>
      </c>
      <c r="W66" s="66">
        <f t="shared" si="2"/>
        <v>0</v>
      </c>
      <c r="X66" s="66" t="str">
        <f t="shared" si="3"/>
        <v/>
      </c>
      <c r="Y66" s="29" t="str">
        <f t="shared" si="4"/>
        <v>mx</v>
      </c>
      <c r="Z66" s="66"/>
      <c r="AA66" s="66"/>
      <c r="AB66" s="66"/>
      <c r="AC66" s="66"/>
      <c r="AD66" s="66"/>
      <c r="AE66" s="66"/>
    </row>
    <row r="67" ht="22.5" customHeight="1">
      <c r="A67" s="68"/>
      <c r="B67" s="69" t="s">
        <v>175</v>
      </c>
      <c r="C67" s="69" t="s">
        <v>176</v>
      </c>
      <c r="D67" s="69" t="s">
        <v>175</v>
      </c>
      <c r="E67" s="70">
        <v>6.0</v>
      </c>
      <c r="F67" s="70">
        <v>20.0</v>
      </c>
      <c r="G67" s="71">
        <v>0.0</v>
      </c>
      <c r="H67" s="71">
        <v>0.0</v>
      </c>
      <c r="I67" s="71">
        <v>0.0</v>
      </c>
      <c r="J67" s="71">
        <v>0.0</v>
      </c>
      <c r="K67" s="72">
        <v>0.0</v>
      </c>
      <c r="L67" s="72"/>
      <c r="M67" s="66"/>
      <c r="N67" s="68" t="s">
        <v>179</v>
      </c>
      <c r="O67" s="68" t="s">
        <v>180</v>
      </c>
      <c r="P67" s="68" t="s">
        <v>179</v>
      </c>
      <c r="Q67" s="73">
        <v>6.0</v>
      </c>
      <c r="R67" s="73">
        <v>20.0</v>
      </c>
      <c r="S67" s="66">
        <f t="array" ref="S67">IFERROR(XLOOKUP(P67,MedalImport!G:G,MedalImport!C:C,0),0)</f>
        <v>0</v>
      </c>
      <c r="T67" s="66">
        <f t="array" ref="T67">IFERROR(XLOOKUP(P67,MedalImport!G:G,MedalImport!D:D,0),0)</f>
        <v>0</v>
      </c>
      <c r="U67" s="66">
        <f t="array" ref="U67">IFERROR(XLOOKUP(P67,MedalImport!G:G,MedalImport!E:E,0),0)</f>
        <v>0</v>
      </c>
      <c r="V67" s="66">
        <f t="shared" si="1"/>
        <v>0</v>
      </c>
      <c r="W67" s="66">
        <f t="shared" si="2"/>
        <v>0</v>
      </c>
      <c r="X67" s="66" t="str">
        <f t="shared" si="3"/>
        <v/>
      </c>
      <c r="Y67" s="29" t="str">
        <f t="shared" si="4"/>
        <v>md</v>
      </c>
      <c r="Z67" s="66"/>
      <c r="AA67" s="66"/>
      <c r="AB67" s="66"/>
      <c r="AC67" s="66"/>
      <c r="AD67" s="66"/>
      <c r="AE67" s="66"/>
    </row>
    <row r="68" ht="22.5" customHeight="1">
      <c r="A68" s="68"/>
      <c r="B68" s="69" t="s">
        <v>177</v>
      </c>
      <c r="C68" s="69" t="s">
        <v>178</v>
      </c>
      <c r="D68" s="69" t="s">
        <v>177</v>
      </c>
      <c r="E68" s="70">
        <v>6.0</v>
      </c>
      <c r="F68" s="70">
        <v>20.0</v>
      </c>
      <c r="G68" s="71">
        <v>0.0</v>
      </c>
      <c r="H68" s="71">
        <v>0.0</v>
      </c>
      <c r="I68" s="71">
        <v>0.0</v>
      </c>
      <c r="J68" s="71">
        <v>0.0</v>
      </c>
      <c r="K68" s="72">
        <v>0.0</v>
      </c>
      <c r="L68" s="72"/>
      <c r="M68" s="66"/>
      <c r="N68" s="68" t="s">
        <v>181</v>
      </c>
      <c r="O68" s="68" t="s">
        <v>182</v>
      </c>
      <c r="P68" s="68" t="s">
        <v>181</v>
      </c>
      <c r="Q68" s="73">
        <v>6.0</v>
      </c>
      <c r="R68" s="73">
        <v>20.0</v>
      </c>
      <c r="S68" s="66">
        <f t="array" ref="S68">IFERROR(XLOOKUP(P68,MedalImport!G:G,MedalImport!C:C,0),0)</f>
        <v>0</v>
      </c>
      <c r="T68" s="66">
        <f t="array" ref="T68">IFERROR(XLOOKUP(P68,MedalImport!G:G,MedalImport!D:D,0),0)</f>
        <v>0</v>
      </c>
      <c r="U68" s="66">
        <f t="array" ref="U68">IFERROR(XLOOKUP(P68,MedalImport!G:G,MedalImport!E:E,0),0)</f>
        <v>0</v>
      </c>
      <c r="V68" s="66">
        <f t="shared" si="1"/>
        <v>0</v>
      </c>
      <c r="W68" s="66">
        <f t="shared" si="2"/>
        <v>0</v>
      </c>
      <c r="X68" s="66" t="str">
        <f t="shared" si="3"/>
        <v/>
      </c>
      <c r="Y68" s="29" t="str">
        <f t="shared" si="4"/>
        <v>mc</v>
      </c>
      <c r="Z68" s="66"/>
      <c r="AA68" s="66"/>
      <c r="AB68" s="66"/>
      <c r="AC68" s="66"/>
      <c r="AD68" s="66"/>
      <c r="AE68" s="66"/>
    </row>
    <row r="69" ht="22.5" customHeight="1">
      <c r="A69" s="68"/>
      <c r="B69" s="69" t="s">
        <v>179</v>
      </c>
      <c r="C69" s="69" t="s">
        <v>180</v>
      </c>
      <c r="D69" s="69" t="s">
        <v>179</v>
      </c>
      <c r="E69" s="70">
        <v>6.0</v>
      </c>
      <c r="F69" s="70">
        <v>20.0</v>
      </c>
      <c r="G69" s="71">
        <v>0.0</v>
      </c>
      <c r="H69" s="71">
        <v>0.0</v>
      </c>
      <c r="I69" s="71">
        <v>0.0</v>
      </c>
      <c r="J69" s="71">
        <v>0.0</v>
      </c>
      <c r="K69" s="72">
        <v>0.0</v>
      </c>
      <c r="L69" s="72"/>
      <c r="M69" s="66"/>
      <c r="N69" s="68" t="s">
        <v>183</v>
      </c>
      <c r="O69" s="68" t="s">
        <v>184</v>
      </c>
      <c r="P69" s="68" t="s">
        <v>183</v>
      </c>
      <c r="Q69" s="73">
        <v>6.0</v>
      </c>
      <c r="R69" s="73">
        <v>20.0</v>
      </c>
      <c r="S69" s="66">
        <f t="array" ref="S69">IFERROR(XLOOKUP(P69,MedalImport!G:G,MedalImport!C:C,0),0)</f>
        <v>0</v>
      </c>
      <c r="T69" s="66">
        <f t="array" ref="T69">IFERROR(XLOOKUP(P69,MedalImport!G:G,MedalImport!D:D,0),0)</f>
        <v>0</v>
      </c>
      <c r="U69" s="66">
        <f t="array" ref="U69">IFERROR(XLOOKUP(P69,MedalImport!G:G,MedalImport!E:E,0),0)</f>
        <v>0</v>
      </c>
      <c r="V69" s="66">
        <f t="shared" si="1"/>
        <v>0</v>
      </c>
      <c r="W69" s="66">
        <f t="shared" si="2"/>
        <v>0</v>
      </c>
      <c r="X69" s="66" t="str">
        <f t="shared" si="3"/>
        <v/>
      </c>
      <c r="Y69" s="29" t="str">
        <f t="shared" si="4"/>
        <v>mn</v>
      </c>
      <c r="Z69" s="66"/>
      <c r="AA69" s="66"/>
      <c r="AB69" s="66"/>
      <c r="AC69" s="66"/>
      <c r="AD69" s="66"/>
      <c r="AE69" s="66"/>
    </row>
    <row r="70" ht="22.5" customHeight="1">
      <c r="A70" s="68"/>
      <c r="B70" s="69" t="s">
        <v>181</v>
      </c>
      <c r="C70" s="69" t="s">
        <v>182</v>
      </c>
      <c r="D70" s="69" t="s">
        <v>181</v>
      </c>
      <c r="E70" s="70">
        <v>6.0</v>
      </c>
      <c r="F70" s="70">
        <v>20.0</v>
      </c>
      <c r="G70" s="71">
        <v>0.0</v>
      </c>
      <c r="H70" s="71">
        <v>0.0</v>
      </c>
      <c r="I70" s="71">
        <v>0.0</v>
      </c>
      <c r="J70" s="71">
        <v>0.0</v>
      </c>
      <c r="K70" s="72">
        <v>0.0</v>
      </c>
      <c r="L70" s="72"/>
      <c r="M70" s="66"/>
      <c r="N70" s="68" t="s">
        <v>185</v>
      </c>
      <c r="O70" s="68" t="s">
        <v>186</v>
      </c>
      <c r="P70" s="68" t="s">
        <v>185</v>
      </c>
      <c r="Q70" s="73">
        <v>6.0</v>
      </c>
      <c r="R70" s="73">
        <v>20.0</v>
      </c>
      <c r="S70" s="66">
        <f t="array" ref="S70">IFERROR(XLOOKUP(P70,MedalImport!G:G,MedalImport!C:C,0),0)</f>
        <v>0</v>
      </c>
      <c r="T70" s="66">
        <f t="array" ref="T70">IFERROR(XLOOKUP(P70,MedalImport!G:G,MedalImport!D:D,0),0)</f>
        <v>0</v>
      </c>
      <c r="U70" s="66">
        <f t="array" ref="U70">IFERROR(XLOOKUP(P70,MedalImport!G:G,MedalImport!E:E,0),0)</f>
        <v>0</v>
      </c>
      <c r="V70" s="66">
        <f t="shared" si="1"/>
        <v>0</v>
      </c>
      <c r="W70" s="66">
        <f t="shared" si="2"/>
        <v>0</v>
      </c>
      <c r="X70" s="66" t="str">
        <f t="shared" si="3"/>
        <v/>
      </c>
      <c r="Y70" s="29" t="str">
        <f t="shared" si="4"/>
        <v>me</v>
      </c>
      <c r="Z70" s="66"/>
      <c r="AA70" s="66"/>
      <c r="AB70" s="66"/>
      <c r="AC70" s="66"/>
      <c r="AD70" s="66"/>
      <c r="AE70" s="66"/>
    </row>
    <row r="71" ht="22.5" customHeight="1">
      <c r="A71" s="68"/>
      <c r="B71" s="69" t="s">
        <v>183</v>
      </c>
      <c r="C71" s="69" t="s">
        <v>184</v>
      </c>
      <c r="D71" s="69" t="s">
        <v>183</v>
      </c>
      <c r="E71" s="70">
        <v>6.0</v>
      </c>
      <c r="F71" s="70">
        <v>20.0</v>
      </c>
      <c r="G71" s="71">
        <v>0.0</v>
      </c>
      <c r="H71" s="71">
        <v>0.0</v>
      </c>
      <c r="I71" s="71">
        <v>0.0</v>
      </c>
      <c r="J71" s="71">
        <v>0.0</v>
      </c>
      <c r="K71" s="72">
        <v>0.0</v>
      </c>
      <c r="L71" s="72"/>
      <c r="M71" s="66"/>
      <c r="N71" s="68" t="s">
        <v>187</v>
      </c>
      <c r="O71" s="68" t="s">
        <v>188</v>
      </c>
      <c r="P71" s="68" t="s">
        <v>187</v>
      </c>
      <c r="Q71" s="73">
        <v>6.0</v>
      </c>
      <c r="R71" s="73">
        <v>20.0</v>
      </c>
      <c r="S71" s="66">
        <f t="array" ref="S71">IFERROR(XLOOKUP(P71,MedalImport!G:G,MedalImport!C:C,0),0)</f>
        <v>0</v>
      </c>
      <c r="T71" s="66">
        <f t="array" ref="T71">IFERROR(XLOOKUP(P71,MedalImport!G:G,MedalImport!D:D,0),0)</f>
        <v>0</v>
      </c>
      <c r="U71" s="66">
        <f t="array" ref="U71">IFERROR(XLOOKUP(P71,MedalImport!G:G,MedalImport!E:E,0),0)</f>
        <v>0</v>
      </c>
      <c r="V71" s="66">
        <f t="shared" si="1"/>
        <v>0</v>
      </c>
      <c r="W71" s="66">
        <f t="shared" si="2"/>
        <v>0</v>
      </c>
      <c r="X71" s="66" t="str">
        <f t="shared" si="3"/>
        <v/>
      </c>
      <c r="Y71" s="29" t="str">
        <f t="shared" si="4"/>
        <v>ma</v>
      </c>
      <c r="Z71" s="66"/>
      <c r="AA71" s="66"/>
      <c r="AB71" s="66"/>
      <c r="AC71" s="66"/>
      <c r="AD71" s="66"/>
      <c r="AE71" s="66"/>
    </row>
    <row r="72" ht="22.5" customHeight="1">
      <c r="A72" s="68"/>
      <c r="B72" s="69" t="s">
        <v>185</v>
      </c>
      <c r="C72" s="69" t="s">
        <v>186</v>
      </c>
      <c r="D72" s="69" t="s">
        <v>185</v>
      </c>
      <c r="E72" s="70">
        <v>6.0</v>
      </c>
      <c r="F72" s="70">
        <v>20.0</v>
      </c>
      <c r="G72" s="71">
        <v>0.0</v>
      </c>
      <c r="H72" s="71">
        <v>0.0</v>
      </c>
      <c r="I72" s="71">
        <v>0.0</v>
      </c>
      <c r="J72" s="71">
        <v>0.0</v>
      </c>
      <c r="K72" s="72">
        <v>0.0</v>
      </c>
      <c r="L72" s="72"/>
      <c r="M72" s="66"/>
      <c r="N72" s="68" t="s">
        <v>61</v>
      </c>
      <c r="O72" s="68" t="s">
        <v>62</v>
      </c>
      <c r="P72" s="68" t="s">
        <v>61</v>
      </c>
      <c r="Q72" s="73">
        <v>6.0</v>
      </c>
      <c r="R72" s="73">
        <v>20.0</v>
      </c>
      <c r="S72" s="66">
        <f t="array" ref="S72">IFERROR(XLOOKUP(P72,MedalImport!G:G,MedalImport!C:C,0),0)</f>
        <v>0</v>
      </c>
      <c r="T72" s="66">
        <f t="array" ref="T72">IFERROR(XLOOKUP(P72,MedalImport!G:G,MedalImport!D:D,0),0)</f>
        <v>2</v>
      </c>
      <c r="U72" s="66">
        <f t="array" ref="U72">IFERROR(XLOOKUP(P72,MedalImport!G:G,MedalImport!E:E,0),0)</f>
        <v>1</v>
      </c>
      <c r="V72" s="66">
        <f t="shared" si="1"/>
        <v>3</v>
      </c>
      <c r="W72" s="66">
        <f t="shared" si="2"/>
        <v>100</v>
      </c>
      <c r="X72" s="66" t="str">
        <f t="shared" si="3"/>
        <v/>
      </c>
      <c r="Y72" s="29" t="str">
        <f t="shared" si="4"/>
        <v>nz</v>
      </c>
      <c r="Z72" s="66"/>
      <c r="AA72" s="66"/>
      <c r="AB72" s="66"/>
      <c r="AC72" s="66"/>
      <c r="AD72" s="66"/>
      <c r="AE72" s="66"/>
    </row>
    <row r="73" ht="22.5" customHeight="1">
      <c r="A73" s="68"/>
      <c r="B73" s="69" t="s">
        <v>187</v>
      </c>
      <c r="C73" s="69" t="s">
        <v>188</v>
      </c>
      <c r="D73" s="69" t="s">
        <v>187</v>
      </c>
      <c r="E73" s="70">
        <v>6.0</v>
      </c>
      <c r="F73" s="70">
        <v>20.0</v>
      </c>
      <c r="G73" s="71">
        <v>0.0</v>
      </c>
      <c r="H73" s="71">
        <v>0.0</v>
      </c>
      <c r="I73" s="71">
        <v>0.0</v>
      </c>
      <c r="J73" s="71">
        <v>0.0</v>
      </c>
      <c r="K73" s="72">
        <v>0.0</v>
      </c>
      <c r="L73" s="72"/>
      <c r="M73" s="66"/>
      <c r="N73" s="68" t="s">
        <v>189</v>
      </c>
      <c r="O73" s="68" t="s">
        <v>190</v>
      </c>
      <c r="P73" s="68" t="s">
        <v>189</v>
      </c>
      <c r="Q73" s="73">
        <v>6.0</v>
      </c>
      <c r="R73" s="73">
        <v>20.0</v>
      </c>
      <c r="S73" s="66">
        <f t="array" ref="S73">IFERROR(XLOOKUP(P73,MedalImport!G:G,MedalImport!C:C,0),0)</f>
        <v>0</v>
      </c>
      <c r="T73" s="66">
        <f t="array" ref="T73">IFERROR(XLOOKUP(P73,MedalImport!G:G,MedalImport!D:D,0),0)</f>
        <v>0</v>
      </c>
      <c r="U73" s="66">
        <f t="array" ref="U73">IFERROR(XLOOKUP(P73,MedalImport!G:G,MedalImport!E:E,0),0)</f>
        <v>0</v>
      </c>
      <c r="V73" s="66">
        <f t="shared" si="1"/>
        <v>0</v>
      </c>
      <c r="W73" s="66">
        <f t="shared" si="2"/>
        <v>0</v>
      </c>
      <c r="X73" s="66" t="str">
        <f t="shared" si="3"/>
        <v/>
      </c>
      <c r="Y73" s="29" t="str">
        <f t="shared" si="4"/>
        <v>ng</v>
      </c>
      <c r="Z73" s="66"/>
      <c r="AA73" s="66"/>
      <c r="AB73" s="66"/>
      <c r="AC73" s="66"/>
      <c r="AD73" s="66"/>
      <c r="AE73" s="66"/>
    </row>
    <row r="74" ht="22.5" customHeight="1">
      <c r="A74" s="68"/>
      <c r="B74" s="69" t="s">
        <v>189</v>
      </c>
      <c r="C74" s="69" t="s">
        <v>190</v>
      </c>
      <c r="D74" s="69" t="s">
        <v>189</v>
      </c>
      <c r="E74" s="70">
        <v>6.0</v>
      </c>
      <c r="F74" s="70">
        <v>20.0</v>
      </c>
      <c r="G74" s="71">
        <v>0.0</v>
      </c>
      <c r="H74" s="71">
        <v>0.0</v>
      </c>
      <c r="I74" s="71">
        <v>0.0</v>
      </c>
      <c r="J74" s="71">
        <v>0.0</v>
      </c>
      <c r="K74" s="72">
        <v>0.0</v>
      </c>
      <c r="L74" s="72"/>
      <c r="M74" s="66"/>
      <c r="N74" s="68" t="s">
        <v>191</v>
      </c>
      <c r="O74" s="68" t="s">
        <v>192</v>
      </c>
      <c r="P74" s="68" t="s">
        <v>191</v>
      </c>
      <c r="Q74" s="73">
        <v>6.0</v>
      </c>
      <c r="R74" s="73">
        <v>20.0</v>
      </c>
      <c r="S74" s="66">
        <f t="array" ref="S74">IFERROR(XLOOKUP(P74,MedalImport!G:G,MedalImport!C:C,0),0)</f>
        <v>0</v>
      </c>
      <c r="T74" s="66">
        <f t="array" ref="T74">IFERROR(XLOOKUP(P74,MedalImport!G:G,MedalImport!D:D,0),0)</f>
        <v>0</v>
      </c>
      <c r="U74" s="66">
        <f t="array" ref="U74">IFERROR(XLOOKUP(P74,MedalImport!G:G,MedalImport!E:E,0),0)</f>
        <v>0</v>
      </c>
      <c r="V74" s="66">
        <f t="shared" si="1"/>
        <v>0</v>
      </c>
      <c r="W74" s="66">
        <f t="shared" si="2"/>
        <v>0</v>
      </c>
      <c r="X74" s="66" t="str">
        <f t="shared" si="3"/>
        <v/>
      </c>
      <c r="Y74" s="29" t="str">
        <f t="shared" si="4"/>
        <v>mk</v>
      </c>
      <c r="Z74" s="66"/>
      <c r="AA74" s="66"/>
      <c r="AB74" s="66"/>
      <c r="AC74" s="66"/>
      <c r="AD74" s="66"/>
      <c r="AE74" s="66"/>
    </row>
    <row r="75" ht="22.5" customHeight="1">
      <c r="A75" s="68"/>
      <c r="B75" s="69" t="s">
        <v>191</v>
      </c>
      <c r="C75" s="69" t="s">
        <v>192</v>
      </c>
      <c r="D75" s="69" t="s">
        <v>191</v>
      </c>
      <c r="E75" s="70">
        <v>6.0</v>
      </c>
      <c r="F75" s="70">
        <v>20.0</v>
      </c>
      <c r="G75" s="71">
        <v>0.0</v>
      </c>
      <c r="H75" s="71">
        <v>0.0</v>
      </c>
      <c r="I75" s="71">
        <v>0.0</v>
      </c>
      <c r="J75" s="71">
        <v>0.0</v>
      </c>
      <c r="K75" s="72">
        <v>0.0</v>
      </c>
      <c r="L75" s="72"/>
      <c r="M75" s="66"/>
      <c r="N75" s="68" t="s">
        <v>193</v>
      </c>
      <c r="O75" s="68" t="s">
        <v>194</v>
      </c>
      <c r="P75" s="68" t="s">
        <v>193</v>
      </c>
      <c r="Q75" s="73">
        <v>6.0</v>
      </c>
      <c r="R75" s="73">
        <v>20.0</v>
      </c>
      <c r="S75" s="66">
        <f t="array" ref="S75">IFERROR(XLOOKUP(P75,MedalImport!G:G,MedalImport!C:C,0),0)</f>
        <v>0</v>
      </c>
      <c r="T75" s="66">
        <f t="array" ref="T75">IFERROR(XLOOKUP(P75,MedalImport!G:G,MedalImport!D:D,0),0)</f>
        <v>0</v>
      </c>
      <c r="U75" s="66">
        <f t="array" ref="U75">IFERROR(XLOOKUP(P75,MedalImport!G:G,MedalImport!E:E,0),0)</f>
        <v>0</v>
      </c>
      <c r="V75" s="66">
        <f t="shared" si="1"/>
        <v>0</v>
      </c>
      <c r="W75" s="66">
        <f t="shared" si="2"/>
        <v>0</v>
      </c>
      <c r="X75" s="66" t="str">
        <f t="shared" si="3"/>
        <v/>
      </c>
      <c r="Y75" s="29" t="str">
        <f t="shared" si="4"/>
        <v>pk</v>
      </c>
      <c r="Z75" s="66"/>
      <c r="AA75" s="66"/>
      <c r="AB75" s="66"/>
      <c r="AC75" s="66"/>
      <c r="AD75" s="66"/>
      <c r="AE75" s="66"/>
    </row>
    <row r="76" ht="22.5" customHeight="1">
      <c r="A76" s="68"/>
      <c r="B76" s="69" t="s">
        <v>193</v>
      </c>
      <c r="C76" s="69" t="s">
        <v>194</v>
      </c>
      <c r="D76" s="69" t="s">
        <v>193</v>
      </c>
      <c r="E76" s="70">
        <v>6.0</v>
      </c>
      <c r="F76" s="70">
        <v>20.0</v>
      </c>
      <c r="G76" s="71">
        <v>0.0</v>
      </c>
      <c r="H76" s="71">
        <v>0.0</v>
      </c>
      <c r="I76" s="71">
        <v>0.0</v>
      </c>
      <c r="J76" s="71">
        <v>0.0</v>
      </c>
      <c r="K76" s="72">
        <v>0.0</v>
      </c>
      <c r="L76" s="72"/>
      <c r="M76" s="66"/>
      <c r="N76" s="68" t="s">
        <v>195</v>
      </c>
      <c r="O76" s="68" t="s">
        <v>196</v>
      </c>
      <c r="P76" s="68" t="s">
        <v>195</v>
      </c>
      <c r="Q76" s="73">
        <v>6.0</v>
      </c>
      <c r="R76" s="73">
        <v>20.0</v>
      </c>
      <c r="S76" s="66">
        <f t="array" ref="S76">IFERROR(XLOOKUP(P76,MedalImport!G:G,MedalImport!C:C,0),0)</f>
        <v>0</v>
      </c>
      <c r="T76" s="66">
        <f t="array" ref="T76">IFERROR(XLOOKUP(P76,MedalImport!G:G,MedalImport!D:D,0),0)</f>
        <v>0</v>
      </c>
      <c r="U76" s="66">
        <f t="array" ref="U76">IFERROR(XLOOKUP(P76,MedalImport!G:G,MedalImport!E:E,0),0)</f>
        <v>0</v>
      </c>
      <c r="V76" s="66">
        <f t="shared" si="1"/>
        <v>0</v>
      </c>
      <c r="W76" s="66">
        <f t="shared" si="2"/>
        <v>0</v>
      </c>
      <c r="X76" s="66" t="str">
        <f t="shared" si="3"/>
        <v/>
      </c>
      <c r="Y76" s="29" t="str">
        <f t="shared" si="4"/>
        <v>pe</v>
      </c>
      <c r="Z76" s="66"/>
      <c r="AA76" s="66"/>
      <c r="AB76" s="66"/>
      <c r="AC76" s="66"/>
      <c r="AD76" s="66"/>
      <c r="AE76" s="66"/>
    </row>
    <row r="77" ht="22.5" customHeight="1">
      <c r="A77" s="68"/>
      <c r="B77" s="69" t="s">
        <v>195</v>
      </c>
      <c r="C77" s="69" t="s">
        <v>196</v>
      </c>
      <c r="D77" s="69" t="s">
        <v>195</v>
      </c>
      <c r="E77" s="70">
        <v>6.0</v>
      </c>
      <c r="F77" s="70">
        <v>20.0</v>
      </c>
      <c r="G77" s="71">
        <v>0.0</v>
      </c>
      <c r="H77" s="71">
        <v>0.0</v>
      </c>
      <c r="I77" s="71">
        <v>0.0</v>
      </c>
      <c r="J77" s="71">
        <v>0.0</v>
      </c>
      <c r="K77" s="72">
        <v>0.0</v>
      </c>
      <c r="L77" s="72"/>
      <c r="M77" s="66"/>
      <c r="N77" s="68" t="s">
        <v>197</v>
      </c>
      <c r="O77" s="68" t="s">
        <v>198</v>
      </c>
      <c r="P77" s="68" t="s">
        <v>197</v>
      </c>
      <c r="Q77" s="73">
        <v>6.0</v>
      </c>
      <c r="R77" s="73">
        <v>20.0</v>
      </c>
      <c r="S77" s="66">
        <f t="array" ref="S77">IFERROR(XLOOKUP(P77,MedalImport!G:G,MedalImport!C:C,0),0)</f>
        <v>0</v>
      </c>
      <c r="T77" s="66">
        <f t="array" ref="T77">IFERROR(XLOOKUP(P77,MedalImport!G:G,MedalImport!D:D,0),0)</f>
        <v>0</v>
      </c>
      <c r="U77" s="66">
        <f t="array" ref="U77">IFERROR(XLOOKUP(P77,MedalImport!G:G,MedalImport!E:E,0),0)</f>
        <v>0</v>
      </c>
      <c r="V77" s="66">
        <f t="shared" si="1"/>
        <v>0</v>
      </c>
      <c r="W77" s="66">
        <f t="shared" si="2"/>
        <v>0</v>
      </c>
      <c r="X77" s="66" t="str">
        <f t="shared" si="3"/>
        <v/>
      </c>
      <c r="Y77" s="29" t="str">
        <f t="shared" si="4"/>
        <v>ph</v>
      </c>
      <c r="Z77" s="66"/>
      <c r="AA77" s="66"/>
      <c r="AB77" s="66"/>
      <c r="AC77" s="66"/>
      <c r="AD77" s="66"/>
      <c r="AE77" s="66"/>
    </row>
    <row r="78" ht="22.5" customHeight="1">
      <c r="A78" s="68"/>
      <c r="B78" s="69" t="s">
        <v>197</v>
      </c>
      <c r="C78" s="69" t="s">
        <v>198</v>
      </c>
      <c r="D78" s="69" t="s">
        <v>197</v>
      </c>
      <c r="E78" s="70">
        <v>6.0</v>
      </c>
      <c r="F78" s="70">
        <v>20.0</v>
      </c>
      <c r="G78" s="71">
        <v>0.0</v>
      </c>
      <c r="H78" s="71">
        <v>0.0</v>
      </c>
      <c r="I78" s="71">
        <v>0.0</v>
      </c>
      <c r="J78" s="71">
        <v>0.0</v>
      </c>
      <c r="K78" s="72">
        <v>0.0</v>
      </c>
      <c r="L78" s="72"/>
      <c r="M78" s="66"/>
      <c r="N78" s="68" t="s">
        <v>199</v>
      </c>
      <c r="O78" s="68" t="s">
        <v>200</v>
      </c>
      <c r="P78" s="68" t="s">
        <v>199</v>
      </c>
      <c r="Q78" s="73">
        <v>6.0</v>
      </c>
      <c r="R78" s="73">
        <v>20.0</v>
      </c>
      <c r="S78" s="66">
        <f t="array" ref="S78">IFERROR(XLOOKUP(P78,MedalImport!G:G,MedalImport!C:C,0),0)</f>
        <v>0</v>
      </c>
      <c r="T78" s="66">
        <f t="array" ref="T78">IFERROR(XLOOKUP(P78,MedalImport!G:G,MedalImport!D:D,0),0)</f>
        <v>0</v>
      </c>
      <c r="U78" s="66">
        <f t="array" ref="U78">IFERROR(XLOOKUP(P78,MedalImport!G:G,MedalImport!E:E,0),0)</f>
        <v>0</v>
      </c>
      <c r="V78" s="66">
        <f t="shared" si="1"/>
        <v>0</v>
      </c>
      <c r="W78" s="66">
        <f t="shared" si="2"/>
        <v>0</v>
      </c>
      <c r="X78" s="66" t="str">
        <f t="shared" si="3"/>
        <v/>
      </c>
      <c r="Y78" s="29" t="str">
        <f t="shared" si="4"/>
        <v>pt</v>
      </c>
      <c r="Z78" s="66"/>
      <c r="AA78" s="66"/>
      <c r="AB78" s="66"/>
      <c r="AC78" s="66"/>
      <c r="AD78" s="66"/>
      <c r="AE78" s="66"/>
    </row>
    <row r="79" ht="22.5" customHeight="1">
      <c r="A79" s="68"/>
      <c r="B79" s="69" t="s">
        <v>199</v>
      </c>
      <c r="C79" s="69" t="s">
        <v>200</v>
      </c>
      <c r="D79" s="69" t="s">
        <v>199</v>
      </c>
      <c r="E79" s="70">
        <v>6.0</v>
      </c>
      <c r="F79" s="70">
        <v>20.0</v>
      </c>
      <c r="G79" s="71">
        <v>0.0</v>
      </c>
      <c r="H79" s="71">
        <v>0.0</v>
      </c>
      <c r="I79" s="71">
        <v>0.0</v>
      </c>
      <c r="J79" s="71">
        <v>0.0</v>
      </c>
      <c r="K79" s="72">
        <v>0.0</v>
      </c>
      <c r="L79" s="72"/>
      <c r="M79" s="66"/>
      <c r="N79" s="68" t="s">
        <v>201</v>
      </c>
      <c r="O79" s="68" t="s">
        <v>202</v>
      </c>
      <c r="P79" s="68" t="s">
        <v>201</v>
      </c>
      <c r="Q79" s="73">
        <v>6.0</v>
      </c>
      <c r="R79" s="73">
        <v>20.0</v>
      </c>
      <c r="S79" s="66">
        <f t="array" ref="S79">IFERROR(XLOOKUP(P79,MedalImport!G:G,MedalImport!C:C,0),0)</f>
        <v>0</v>
      </c>
      <c r="T79" s="66">
        <f t="array" ref="T79">IFERROR(XLOOKUP(P79,MedalImport!G:G,MedalImport!D:D,0),0)</f>
        <v>0</v>
      </c>
      <c r="U79" s="66">
        <f t="array" ref="U79">IFERROR(XLOOKUP(P79,MedalImport!G:G,MedalImport!E:E,0),0)</f>
        <v>0</v>
      </c>
      <c r="V79" s="66">
        <f t="shared" si="1"/>
        <v>0</v>
      </c>
      <c r="W79" s="66">
        <f t="shared" si="2"/>
        <v>0</v>
      </c>
      <c r="X79" s="66" t="str">
        <f t="shared" si="3"/>
        <v/>
      </c>
      <c r="Y79" s="29" t="str">
        <f t="shared" si="4"/>
        <v>pr</v>
      </c>
      <c r="Z79" s="66"/>
      <c r="AA79" s="66"/>
      <c r="AB79" s="66"/>
      <c r="AC79" s="66"/>
      <c r="AD79" s="66"/>
      <c r="AE79" s="66"/>
    </row>
    <row r="80" ht="22.5" customHeight="1">
      <c r="A80" s="68"/>
      <c r="B80" s="69" t="s">
        <v>201</v>
      </c>
      <c r="C80" s="69" t="s">
        <v>202</v>
      </c>
      <c r="D80" s="69" t="s">
        <v>201</v>
      </c>
      <c r="E80" s="70">
        <v>6.0</v>
      </c>
      <c r="F80" s="70">
        <v>20.0</v>
      </c>
      <c r="G80" s="71">
        <v>0.0</v>
      </c>
      <c r="H80" s="71">
        <v>0.0</v>
      </c>
      <c r="I80" s="71">
        <v>0.0</v>
      </c>
      <c r="J80" s="71">
        <v>0.0</v>
      </c>
      <c r="K80" s="72">
        <v>0.0</v>
      </c>
      <c r="L80" s="72"/>
      <c r="M80" s="66"/>
      <c r="N80" s="68" t="s">
        <v>203</v>
      </c>
      <c r="O80" s="68" t="s">
        <v>204</v>
      </c>
      <c r="P80" s="68" t="s">
        <v>203</v>
      </c>
      <c r="Q80" s="73">
        <v>6.0</v>
      </c>
      <c r="R80" s="73">
        <v>20.0</v>
      </c>
      <c r="S80" s="66">
        <f t="array" ref="S80">IFERROR(XLOOKUP(P80,MedalImport!G:G,MedalImport!C:C,0),0)</f>
        <v>0</v>
      </c>
      <c r="T80" s="66">
        <f t="array" ref="T80">IFERROR(XLOOKUP(P80,MedalImport!G:G,MedalImport!D:D,0),0)</f>
        <v>0</v>
      </c>
      <c r="U80" s="66">
        <f t="array" ref="U80">IFERROR(XLOOKUP(P80,MedalImport!G:G,MedalImport!E:E,0),0)</f>
        <v>0</v>
      </c>
      <c r="V80" s="66">
        <f t="shared" si="1"/>
        <v>0</v>
      </c>
      <c r="W80" s="66">
        <f t="shared" si="2"/>
        <v>0</v>
      </c>
      <c r="X80" s="66" t="str">
        <f t="shared" si="3"/>
        <v/>
      </c>
      <c r="Y80" s="29" t="str">
        <f t="shared" si="4"/>
        <v>ro</v>
      </c>
      <c r="Z80" s="66"/>
      <c r="AA80" s="66"/>
      <c r="AB80" s="66"/>
      <c r="AC80" s="66"/>
      <c r="AD80" s="66"/>
      <c r="AE80" s="66"/>
    </row>
    <row r="81" ht="22.5" customHeight="1">
      <c r="A81" s="68"/>
      <c r="B81" s="69" t="s">
        <v>203</v>
      </c>
      <c r="C81" s="69" t="s">
        <v>204</v>
      </c>
      <c r="D81" s="69" t="s">
        <v>203</v>
      </c>
      <c r="E81" s="70">
        <v>6.0</v>
      </c>
      <c r="F81" s="70">
        <v>20.0</v>
      </c>
      <c r="G81" s="71">
        <v>0.0</v>
      </c>
      <c r="H81" s="71">
        <v>0.0</v>
      </c>
      <c r="I81" s="71">
        <v>0.0</v>
      </c>
      <c r="J81" s="71">
        <v>0.0</v>
      </c>
      <c r="K81" s="72">
        <v>0.0</v>
      </c>
      <c r="L81" s="72"/>
      <c r="M81" s="66"/>
      <c r="N81" s="68" t="s">
        <v>205</v>
      </c>
      <c r="O81" s="68" t="s">
        <v>206</v>
      </c>
      <c r="P81" s="68" t="s">
        <v>205</v>
      </c>
      <c r="Q81" s="73">
        <v>6.0</v>
      </c>
      <c r="R81" s="73">
        <v>20.0</v>
      </c>
      <c r="S81" s="66">
        <f t="array" ref="S81">IFERROR(XLOOKUP(P81,MedalImport!G:G,MedalImport!C:C,0),0)</f>
        <v>0</v>
      </c>
      <c r="T81" s="66">
        <f t="array" ref="T81">IFERROR(XLOOKUP(P81,MedalImport!G:G,MedalImport!D:D,0),0)</f>
        <v>0</v>
      </c>
      <c r="U81" s="66">
        <f t="array" ref="U81">IFERROR(XLOOKUP(P81,MedalImport!G:G,MedalImport!E:E,0),0)</f>
        <v>0</v>
      </c>
      <c r="V81" s="66">
        <f t="shared" si="1"/>
        <v>0</v>
      </c>
      <c r="W81" s="66">
        <f t="shared" si="2"/>
        <v>0</v>
      </c>
      <c r="X81" s="66" t="str">
        <f t="shared" si="3"/>
        <v/>
      </c>
      <c r="Y81" s="29" t="str">
        <f t="shared" si="4"/>
        <v>sm</v>
      </c>
      <c r="Z81" s="66"/>
      <c r="AA81" s="66"/>
      <c r="AB81" s="66"/>
      <c r="AC81" s="66"/>
      <c r="AD81" s="66"/>
      <c r="AE81" s="66"/>
    </row>
    <row r="82" ht="22.5" customHeight="1">
      <c r="A82" s="68"/>
      <c r="B82" s="69" t="s">
        <v>205</v>
      </c>
      <c r="C82" s="69" t="s">
        <v>206</v>
      </c>
      <c r="D82" s="69" t="s">
        <v>205</v>
      </c>
      <c r="E82" s="70">
        <v>6.0</v>
      </c>
      <c r="F82" s="70">
        <v>20.0</v>
      </c>
      <c r="G82" s="71">
        <v>0.0</v>
      </c>
      <c r="H82" s="71">
        <v>0.0</v>
      </c>
      <c r="I82" s="71">
        <v>0.0</v>
      </c>
      <c r="J82" s="71">
        <v>0.0</v>
      </c>
      <c r="K82" s="72">
        <v>0.0</v>
      </c>
      <c r="L82" s="72"/>
      <c r="M82" s="66"/>
      <c r="N82" s="68" t="s">
        <v>207</v>
      </c>
      <c r="O82" s="68" t="s">
        <v>208</v>
      </c>
      <c r="P82" s="68" t="s">
        <v>207</v>
      </c>
      <c r="Q82" s="73">
        <v>6.0</v>
      </c>
      <c r="R82" s="73">
        <v>20.0</v>
      </c>
      <c r="S82" s="66">
        <f t="array" ref="S82">IFERROR(XLOOKUP(P82,MedalImport!G:G,MedalImport!C:C,0),0)</f>
        <v>0</v>
      </c>
      <c r="T82" s="66">
        <f t="array" ref="T82">IFERROR(XLOOKUP(P82,MedalImport!G:G,MedalImport!D:D,0),0)</f>
        <v>0</v>
      </c>
      <c r="U82" s="66">
        <f t="array" ref="U82">IFERROR(XLOOKUP(P82,MedalImport!G:G,MedalImport!E:E,0),0)</f>
        <v>0</v>
      </c>
      <c r="V82" s="66">
        <f t="shared" si="1"/>
        <v>0</v>
      </c>
      <c r="W82" s="66">
        <f t="shared" si="2"/>
        <v>0</v>
      </c>
      <c r="X82" s="66" t="str">
        <f t="shared" si="3"/>
        <v/>
      </c>
      <c r="Y82" s="29" t="str">
        <f t="shared" si="4"/>
        <v>sa</v>
      </c>
      <c r="Z82" s="66"/>
      <c r="AA82" s="66"/>
      <c r="AB82" s="66"/>
      <c r="AC82" s="66"/>
      <c r="AD82" s="66"/>
      <c r="AE82" s="66"/>
    </row>
    <row r="83" ht="22.5" customHeight="1">
      <c r="A83" s="68"/>
      <c r="B83" s="69" t="s">
        <v>207</v>
      </c>
      <c r="C83" s="69" t="s">
        <v>208</v>
      </c>
      <c r="D83" s="69" t="s">
        <v>207</v>
      </c>
      <c r="E83" s="70">
        <v>6.0</v>
      </c>
      <c r="F83" s="70">
        <v>20.0</v>
      </c>
      <c r="G83" s="71">
        <v>0.0</v>
      </c>
      <c r="H83" s="71">
        <v>0.0</v>
      </c>
      <c r="I83" s="71">
        <v>0.0</v>
      </c>
      <c r="J83" s="71">
        <v>0.0</v>
      </c>
      <c r="K83" s="72">
        <v>0.0</v>
      </c>
      <c r="L83" s="72"/>
      <c r="M83" s="66"/>
      <c r="N83" s="68" t="s">
        <v>209</v>
      </c>
      <c r="O83" s="68" t="s">
        <v>210</v>
      </c>
      <c r="P83" s="68" t="s">
        <v>209</v>
      </c>
      <c r="Q83" s="73">
        <v>6.0</v>
      </c>
      <c r="R83" s="73">
        <v>20.0</v>
      </c>
      <c r="S83" s="66">
        <f t="array" ref="S83">IFERROR(XLOOKUP(P83,MedalImport!G:G,MedalImport!C:C,0),0)</f>
        <v>0</v>
      </c>
      <c r="T83" s="66">
        <f t="array" ref="T83">IFERROR(XLOOKUP(P83,MedalImport!G:G,MedalImport!D:D,0),0)</f>
        <v>0</v>
      </c>
      <c r="U83" s="66">
        <f t="array" ref="U83">IFERROR(XLOOKUP(P83,MedalImport!G:G,MedalImport!E:E,0),0)</f>
        <v>0</v>
      </c>
      <c r="V83" s="66">
        <f t="shared" si="1"/>
        <v>0</v>
      </c>
      <c r="W83" s="66">
        <f t="shared" si="2"/>
        <v>0</v>
      </c>
      <c r="X83" s="66" t="str">
        <f t="shared" si="3"/>
        <v/>
      </c>
      <c r="Y83" s="29" t="str">
        <f t="shared" si="4"/>
        <v>rs</v>
      </c>
      <c r="Z83" s="66"/>
      <c r="AA83" s="66"/>
      <c r="AB83" s="66"/>
      <c r="AC83" s="66"/>
      <c r="AD83" s="66"/>
      <c r="AE83" s="66"/>
    </row>
    <row r="84" ht="22.5" customHeight="1">
      <c r="A84" s="68"/>
      <c r="B84" s="69" t="s">
        <v>209</v>
      </c>
      <c r="C84" s="69" t="s">
        <v>210</v>
      </c>
      <c r="D84" s="69" t="s">
        <v>209</v>
      </c>
      <c r="E84" s="70">
        <v>6.0</v>
      </c>
      <c r="F84" s="70">
        <v>20.0</v>
      </c>
      <c r="G84" s="71">
        <v>0.0</v>
      </c>
      <c r="H84" s="71">
        <v>0.0</v>
      </c>
      <c r="I84" s="71">
        <v>0.0</v>
      </c>
      <c r="J84" s="71">
        <v>0.0</v>
      </c>
      <c r="K84" s="72">
        <v>0.0</v>
      </c>
      <c r="L84" s="72"/>
      <c r="M84" s="66"/>
      <c r="N84" s="68" t="s">
        <v>211</v>
      </c>
      <c r="O84" s="68" t="s">
        <v>212</v>
      </c>
      <c r="P84" s="68" t="s">
        <v>211</v>
      </c>
      <c r="Q84" s="73">
        <v>6.0</v>
      </c>
      <c r="R84" s="73">
        <v>20.0</v>
      </c>
      <c r="S84" s="66">
        <f t="array" ref="S84">IFERROR(XLOOKUP(P84,MedalImport!G:G,MedalImport!C:C,0),0)</f>
        <v>0</v>
      </c>
      <c r="T84" s="66">
        <f t="array" ref="T84">IFERROR(XLOOKUP(P84,MedalImport!G:G,MedalImport!D:D,0),0)</f>
        <v>0</v>
      </c>
      <c r="U84" s="66">
        <f t="array" ref="U84">IFERROR(XLOOKUP(P84,MedalImport!G:G,MedalImport!E:E,0),0)</f>
        <v>0</v>
      </c>
      <c r="V84" s="66">
        <f t="shared" si="1"/>
        <v>0</v>
      </c>
      <c r="W84" s="66">
        <f t="shared" si="2"/>
        <v>0</v>
      </c>
      <c r="X84" s="66" t="str">
        <f t="shared" si="3"/>
        <v/>
      </c>
      <c r="Y84" s="29" t="str">
        <f t="shared" si="4"/>
        <v>sg</v>
      </c>
      <c r="Z84" s="66"/>
      <c r="AA84" s="66"/>
      <c r="AB84" s="66"/>
      <c r="AC84" s="66"/>
      <c r="AD84" s="66"/>
      <c r="AE84" s="66"/>
    </row>
    <row r="85" ht="22.5" customHeight="1">
      <c r="A85" s="68"/>
      <c r="B85" s="69" t="s">
        <v>211</v>
      </c>
      <c r="C85" s="69" t="s">
        <v>212</v>
      </c>
      <c r="D85" s="69" t="s">
        <v>211</v>
      </c>
      <c r="E85" s="70">
        <v>6.0</v>
      </c>
      <c r="F85" s="70">
        <v>20.0</v>
      </c>
      <c r="G85" s="71">
        <v>0.0</v>
      </c>
      <c r="H85" s="71">
        <v>0.0</v>
      </c>
      <c r="I85" s="71">
        <v>0.0</v>
      </c>
      <c r="J85" s="71">
        <v>0.0</v>
      </c>
      <c r="K85" s="72">
        <v>0.0</v>
      </c>
      <c r="L85" s="72"/>
      <c r="M85" s="66"/>
      <c r="N85" s="68" t="s">
        <v>213</v>
      </c>
      <c r="O85" s="68" t="s">
        <v>214</v>
      </c>
      <c r="P85" s="68" t="s">
        <v>213</v>
      </c>
      <c r="Q85" s="73">
        <v>6.0</v>
      </c>
      <c r="R85" s="73">
        <v>20.0</v>
      </c>
      <c r="S85" s="66">
        <f t="array" ref="S85">IFERROR(XLOOKUP(P85,MedalImport!G:G,MedalImport!C:C,0),0)</f>
        <v>0</v>
      </c>
      <c r="T85" s="66">
        <f t="array" ref="T85">IFERROR(XLOOKUP(P85,MedalImport!G:G,MedalImport!D:D,0),0)</f>
        <v>0</v>
      </c>
      <c r="U85" s="66">
        <f t="array" ref="U85">IFERROR(XLOOKUP(P85,MedalImport!G:G,MedalImport!E:E,0),0)</f>
        <v>0</v>
      </c>
      <c r="V85" s="66">
        <f t="shared" si="1"/>
        <v>0</v>
      </c>
      <c r="W85" s="66">
        <f t="shared" si="2"/>
        <v>0</v>
      </c>
      <c r="X85" s="66" t="str">
        <f t="shared" si="3"/>
        <v/>
      </c>
      <c r="Y85" s="29" t="str">
        <f t="shared" si="4"/>
        <v>za</v>
      </c>
      <c r="Z85" s="66"/>
      <c r="AA85" s="66"/>
      <c r="AB85" s="66"/>
      <c r="AC85" s="66"/>
      <c r="AD85" s="66"/>
      <c r="AE85" s="66"/>
    </row>
    <row r="86" ht="22.5" customHeight="1">
      <c r="A86" s="68"/>
      <c r="B86" s="69" t="s">
        <v>213</v>
      </c>
      <c r="C86" s="69" t="s">
        <v>214</v>
      </c>
      <c r="D86" s="69" t="s">
        <v>213</v>
      </c>
      <c r="E86" s="70">
        <v>6.0</v>
      </c>
      <c r="F86" s="70">
        <v>20.0</v>
      </c>
      <c r="G86" s="71">
        <v>0.0</v>
      </c>
      <c r="H86" s="71">
        <v>0.0</v>
      </c>
      <c r="I86" s="71">
        <v>0.0</v>
      </c>
      <c r="J86" s="71">
        <v>0.0</v>
      </c>
      <c r="K86" s="72">
        <v>0.0</v>
      </c>
      <c r="L86" s="72"/>
      <c r="M86" s="66"/>
      <c r="N86" s="68" t="s">
        <v>65</v>
      </c>
      <c r="O86" s="68" t="s">
        <v>66</v>
      </c>
      <c r="P86" s="68" t="s">
        <v>65</v>
      </c>
      <c r="Q86" s="73">
        <v>6.0</v>
      </c>
      <c r="R86" s="73">
        <v>20.0</v>
      </c>
      <c r="S86" s="66">
        <f t="array" ref="S86">IFERROR(XLOOKUP(P86,MedalImport!G:G,MedalImport!C:C,0),0)</f>
        <v>1</v>
      </c>
      <c r="T86" s="66">
        <f t="array" ref="T86">IFERROR(XLOOKUP(P86,MedalImport!G:G,MedalImport!D:D,0),0)</f>
        <v>0</v>
      </c>
      <c r="U86" s="66">
        <f t="array" ref="U86">IFERROR(XLOOKUP(P86,MedalImport!G:G,MedalImport!E:E,0),0)</f>
        <v>2</v>
      </c>
      <c r="V86" s="66">
        <f t="shared" si="1"/>
        <v>3</v>
      </c>
      <c r="W86" s="66">
        <f t="shared" si="2"/>
        <v>100</v>
      </c>
      <c r="X86" s="66" t="str">
        <f t="shared" si="3"/>
        <v/>
      </c>
      <c r="Y86" s="29" t="str">
        <f t="shared" si="4"/>
        <v>es</v>
      </c>
      <c r="Z86" s="66"/>
      <c r="AA86" s="66"/>
      <c r="AB86" s="66"/>
      <c r="AC86" s="66"/>
      <c r="AD86" s="66"/>
      <c r="AE86" s="66"/>
    </row>
    <row r="87" ht="22.5" customHeight="1">
      <c r="A87" s="68"/>
      <c r="B87" s="69" t="s">
        <v>215</v>
      </c>
      <c r="C87" s="69" t="s">
        <v>216</v>
      </c>
      <c r="D87" s="69" t="s">
        <v>215</v>
      </c>
      <c r="E87" s="70">
        <v>6.0</v>
      </c>
      <c r="F87" s="70">
        <v>20.0</v>
      </c>
      <c r="G87" s="71">
        <v>0.0</v>
      </c>
      <c r="H87" s="71">
        <v>0.0</v>
      </c>
      <c r="I87" s="71">
        <v>0.0</v>
      </c>
      <c r="J87" s="71">
        <v>0.0</v>
      </c>
      <c r="K87" s="72">
        <v>0.0</v>
      </c>
      <c r="L87" s="72"/>
      <c r="M87" s="66"/>
      <c r="N87" s="68" t="s">
        <v>215</v>
      </c>
      <c r="O87" s="68" t="s">
        <v>216</v>
      </c>
      <c r="P87" s="68" t="s">
        <v>215</v>
      </c>
      <c r="Q87" s="73">
        <v>6.0</v>
      </c>
      <c r="R87" s="73">
        <v>20.0</v>
      </c>
      <c r="S87" s="66">
        <f t="array" ref="S87">IFERROR(XLOOKUP(P87,MedalImport!G:G,MedalImport!C:C,0),0)</f>
        <v>0</v>
      </c>
      <c r="T87" s="66">
        <f t="array" ref="T87">IFERROR(XLOOKUP(P87,MedalImport!G:G,MedalImport!D:D,0),0)</f>
        <v>0</v>
      </c>
      <c r="U87" s="66">
        <f t="array" ref="U87">IFERROR(XLOOKUP(P87,MedalImport!G:G,MedalImport!E:E,0),0)</f>
        <v>0</v>
      </c>
      <c r="V87" s="66">
        <f t="shared" si="1"/>
        <v>0</v>
      </c>
      <c r="W87" s="66">
        <f t="shared" si="2"/>
        <v>0</v>
      </c>
      <c r="X87" s="66" t="str">
        <f t="shared" si="3"/>
        <v/>
      </c>
      <c r="Y87" s="29" t="str">
        <f t="shared" si="4"/>
        <v>tw</v>
      </c>
      <c r="Z87" s="66"/>
      <c r="AA87" s="66"/>
      <c r="AB87" s="66"/>
      <c r="AC87" s="66"/>
      <c r="AD87" s="66"/>
      <c r="AE87" s="66"/>
    </row>
    <row r="88" ht="22.5" customHeight="1">
      <c r="A88" s="68"/>
      <c r="B88" s="69" t="s">
        <v>217</v>
      </c>
      <c r="C88" s="69" t="s">
        <v>218</v>
      </c>
      <c r="D88" s="69" t="s">
        <v>217</v>
      </c>
      <c r="E88" s="70">
        <v>6.0</v>
      </c>
      <c r="F88" s="70">
        <v>20.0</v>
      </c>
      <c r="G88" s="71">
        <v>0.0</v>
      </c>
      <c r="H88" s="71">
        <v>0.0</v>
      </c>
      <c r="I88" s="71">
        <v>0.0</v>
      </c>
      <c r="J88" s="71">
        <v>0.0</v>
      </c>
      <c r="K88" s="72">
        <v>0.0</v>
      </c>
      <c r="L88" s="72"/>
      <c r="M88" s="66"/>
      <c r="N88" s="68" t="s">
        <v>217</v>
      </c>
      <c r="O88" s="68" t="s">
        <v>218</v>
      </c>
      <c r="P88" s="68" t="s">
        <v>217</v>
      </c>
      <c r="Q88" s="73">
        <v>6.0</v>
      </c>
      <c r="R88" s="73">
        <v>20.0</v>
      </c>
      <c r="S88" s="66">
        <f t="array" ref="S88">IFERROR(XLOOKUP(P88,MedalImport!G:G,MedalImport!C:C,0),0)</f>
        <v>0</v>
      </c>
      <c r="T88" s="66">
        <f t="array" ref="T88">IFERROR(XLOOKUP(P88,MedalImport!G:G,MedalImport!D:D,0),0)</f>
        <v>0</v>
      </c>
      <c r="U88" s="66">
        <f t="array" ref="U88">IFERROR(XLOOKUP(P88,MedalImport!G:G,MedalImport!E:E,0),0)</f>
        <v>0</v>
      </c>
      <c r="V88" s="66">
        <f t="shared" si="1"/>
        <v>0</v>
      </c>
      <c r="W88" s="66">
        <f t="shared" si="2"/>
        <v>0</v>
      </c>
      <c r="X88" s="66" t="str">
        <f t="shared" si="3"/>
        <v/>
      </c>
      <c r="Y88" s="29" t="str">
        <f t="shared" si="4"/>
        <v>th</v>
      </c>
      <c r="Z88" s="66"/>
      <c r="AA88" s="66"/>
      <c r="AB88" s="66"/>
      <c r="AC88" s="66"/>
      <c r="AD88" s="66"/>
      <c r="AE88" s="66"/>
    </row>
    <row r="89" ht="22.5" customHeight="1">
      <c r="A89" s="68"/>
      <c r="B89" s="69" t="s">
        <v>219</v>
      </c>
      <c r="C89" s="69" t="s">
        <v>220</v>
      </c>
      <c r="D89" s="69" t="s">
        <v>219</v>
      </c>
      <c r="E89" s="70">
        <v>6.0</v>
      </c>
      <c r="F89" s="70">
        <v>20.0</v>
      </c>
      <c r="G89" s="71">
        <v>0.0</v>
      </c>
      <c r="H89" s="71">
        <v>0.0</v>
      </c>
      <c r="I89" s="71">
        <v>0.0</v>
      </c>
      <c r="J89" s="71">
        <v>0.0</v>
      </c>
      <c r="K89" s="72">
        <v>0.0</v>
      </c>
      <c r="L89" s="72"/>
      <c r="M89" s="66"/>
      <c r="N89" s="68" t="s">
        <v>219</v>
      </c>
      <c r="O89" s="68" t="s">
        <v>220</v>
      </c>
      <c r="P89" s="68" t="s">
        <v>219</v>
      </c>
      <c r="Q89" s="73">
        <v>6.0</v>
      </c>
      <c r="R89" s="73">
        <v>20.0</v>
      </c>
      <c r="S89" s="66">
        <f t="array" ref="S89">IFERROR(XLOOKUP(P89,MedalImport!G:G,MedalImport!C:C,0),0)</f>
        <v>0</v>
      </c>
      <c r="T89" s="66">
        <f t="array" ref="T89">IFERROR(XLOOKUP(P89,MedalImport!G:G,MedalImport!D:D,0),0)</f>
        <v>0</v>
      </c>
      <c r="U89" s="66">
        <f t="array" ref="U89">IFERROR(XLOOKUP(P89,MedalImport!G:G,MedalImport!E:E,0),0)</f>
        <v>0</v>
      </c>
      <c r="V89" s="66">
        <f t="shared" si="1"/>
        <v>0</v>
      </c>
      <c r="W89" s="66">
        <f t="shared" si="2"/>
        <v>0</v>
      </c>
      <c r="X89" s="66" t="str">
        <f t="shared" si="3"/>
        <v/>
      </c>
      <c r="Y89" s="29" t="str">
        <f t="shared" si="4"/>
        <v>tt</v>
      </c>
      <c r="Z89" s="66"/>
      <c r="AA89" s="66"/>
      <c r="AB89" s="66"/>
      <c r="AC89" s="66"/>
      <c r="AD89" s="66"/>
      <c r="AE89" s="66"/>
    </row>
    <row r="90" ht="22.5" customHeight="1">
      <c r="A90" s="68"/>
      <c r="B90" s="69" t="s">
        <v>221</v>
      </c>
      <c r="C90" s="69" t="s">
        <v>222</v>
      </c>
      <c r="D90" s="69" t="s">
        <v>221</v>
      </c>
      <c r="E90" s="70">
        <v>6.0</v>
      </c>
      <c r="F90" s="70">
        <v>20.0</v>
      </c>
      <c r="G90" s="71">
        <v>0.0</v>
      </c>
      <c r="H90" s="71">
        <v>0.0</v>
      </c>
      <c r="I90" s="71">
        <v>0.0</v>
      </c>
      <c r="J90" s="71">
        <v>0.0</v>
      </c>
      <c r="K90" s="72">
        <v>0.0</v>
      </c>
      <c r="L90" s="72"/>
      <c r="M90" s="66"/>
      <c r="N90" s="68" t="s">
        <v>221</v>
      </c>
      <c r="O90" s="68" t="s">
        <v>222</v>
      </c>
      <c r="P90" s="68" t="s">
        <v>221</v>
      </c>
      <c r="Q90" s="73">
        <v>6.0</v>
      </c>
      <c r="R90" s="73">
        <v>20.0</v>
      </c>
      <c r="S90" s="66">
        <f t="array" ref="S90">IFERROR(XLOOKUP(P90,MedalImport!G:G,MedalImport!C:C,0),0)</f>
        <v>0</v>
      </c>
      <c r="T90" s="66">
        <f t="array" ref="T90">IFERROR(XLOOKUP(P90,MedalImport!G:G,MedalImport!D:D,0),0)</f>
        <v>0</v>
      </c>
      <c r="U90" s="66">
        <f t="array" ref="U90">IFERROR(XLOOKUP(P90,MedalImport!G:G,MedalImport!E:E,0),0)</f>
        <v>0</v>
      </c>
      <c r="V90" s="66">
        <f t="shared" si="1"/>
        <v>0</v>
      </c>
      <c r="W90" s="66">
        <f t="shared" si="2"/>
        <v>0</v>
      </c>
      <c r="X90" s="66" t="str">
        <f t="shared" si="3"/>
        <v/>
      </c>
      <c r="Y90" s="29" t="str">
        <f t="shared" si="4"/>
        <v>tr</v>
      </c>
      <c r="Z90" s="66"/>
      <c r="AA90" s="66"/>
      <c r="AB90" s="66"/>
      <c r="AC90" s="66"/>
      <c r="AD90" s="66"/>
      <c r="AE90" s="66"/>
    </row>
    <row r="91" ht="22.5" customHeight="1">
      <c r="A91" s="68"/>
      <c r="B91" s="69" t="s">
        <v>223</v>
      </c>
      <c r="C91" s="69" t="s">
        <v>224</v>
      </c>
      <c r="D91" s="69" t="s">
        <v>223</v>
      </c>
      <c r="E91" s="70">
        <v>6.0</v>
      </c>
      <c r="F91" s="70">
        <v>20.0</v>
      </c>
      <c r="G91" s="71">
        <v>0.0</v>
      </c>
      <c r="H91" s="71">
        <v>0.0</v>
      </c>
      <c r="I91" s="71">
        <v>0.0</v>
      </c>
      <c r="J91" s="71">
        <v>0.0</v>
      </c>
      <c r="K91" s="72">
        <v>0.0</v>
      </c>
      <c r="L91" s="72"/>
      <c r="M91" s="66"/>
      <c r="N91" s="68" t="s">
        <v>223</v>
      </c>
      <c r="O91" s="68" t="s">
        <v>224</v>
      </c>
      <c r="P91" s="68" t="s">
        <v>223</v>
      </c>
      <c r="Q91" s="73">
        <v>6.0</v>
      </c>
      <c r="R91" s="73">
        <v>20.0</v>
      </c>
      <c r="S91" s="66">
        <f t="array" ref="S91">IFERROR(XLOOKUP(P91,MedalImport!G:G,MedalImport!C:C,0),0)</f>
        <v>0</v>
      </c>
      <c r="T91" s="66">
        <f t="array" ref="T91">IFERROR(XLOOKUP(P91,MedalImport!G:G,MedalImport!D:D,0),0)</f>
        <v>0</v>
      </c>
      <c r="U91" s="66">
        <f t="array" ref="U91">IFERROR(XLOOKUP(P91,MedalImport!G:G,MedalImport!E:E,0),0)</f>
        <v>0</v>
      </c>
      <c r="V91" s="66">
        <f t="shared" si="1"/>
        <v>0</v>
      </c>
      <c r="W91" s="66">
        <f t="shared" si="2"/>
        <v>0</v>
      </c>
      <c r="X91" s="66" t="str">
        <f t="shared" si="3"/>
        <v/>
      </c>
      <c r="Y91" s="29" t="str">
        <f t="shared" si="4"/>
        <v>ae</v>
      </c>
      <c r="Z91" s="66"/>
      <c r="AA91" s="66"/>
      <c r="AB91" s="66"/>
      <c r="AC91" s="66"/>
      <c r="AD91" s="66"/>
      <c r="AE91" s="66"/>
    </row>
    <row r="92" ht="22.5" customHeight="1">
      <c r="A92" s="68"/>
      <c r="B92" s="69" t="s">
        <v>225</v>
      </c>
      <c r="C92" s="69" t="s">
        <v>226</v>
      </c>
      <c r="D92" s="69" t="s">
        <v>225</v>
      </c>
      <c r="E92" s="70">
        <v>6.0</v>
      </c>
      <c r="F92" s="70">
        <v>20.0</v>
      </c>
      <c r="G92" s="71">
        <v>0.0</v>
      </c>
      <c r="H92" s="71">
        <v>0.0</v>
      </c>
      <c r="I92" s="71">
        <v>0.0</v>
      </c>
      <c r="J92" s="71">
        <v>0.0</v>
      </c>
      <c r="K92" s="72">
        <v>0.0</v>
      </c>
      <c r="L92" s="72"/>
      <c r="M92" s="66"/>
      <c r="N92" s="68" t="s">
        <v>225</v>
      </c>
      <c r="O92" s="68" t="s">
        <v>226</v>
      </c>
      <c r="P92" s="68" t="s">
        <v>225</v>
      </c>
      <c r="Q92" s="73">
        <v>6.0</v>
      </c>
      <c r="R92" s="73">
        <v>20.0</v>
      </c>
      <c r="S92" s="66">
        <f t="array" ref="S92">IFERROR(XLOOKUP(P92,MedalImport!G:G,MedalImport!C:C,0),0)</f>
        <v>0</v>
      </c>
      <c r="T92" s="66">
        <f t="array" ref="T92">IFERROR(XLOOKUP(P92,MedalImport!G:G,MedalImport!D:D,0),0)</f>
        <v>0</v>
      </c>
      <c r="U92" s="66">
        <f t="array" ref="U92">IFERROR(XLOOKUP(P92,MedalImport!G:G,MedalImport!E:E,0),0)</f>
        <v>0</v>
      </c>
      <c r="V92" s="66">
        <f t="shared" si="1"/>
        <v>0</v>
      </c>
      <c r="W92" s="66">
        <f t="shared" si="2"/>
        <v>0</v>
      </c>
      <c r="X92" s="66" t="str">
        <f t="shared" si="3"/>
        <v/>
      </c>
      <c r="Y92" s="29" t="str">
        <f t="shared" si="4"/>
        <v>uy</v>
      </c>
      <c r="Z92" s="66"/>
      <c r="AA92" s="66"/>
      <c r="AB92" s="66"/>
      <c r="AC92" s="66"/>
      <c r="AD92" s="66"/>
      <c r="AE92" s="66"/>
    </row>
    <row r="93" ht="22.5" customHeight="1">
      <c r="A93" s="68"/>
      <c r="B93" s="69" t="s">
        <v>227</v>
      </c>
      <c r="C93" s="69" t="s">
        <v>228</v>
      </c>
      <c r="D93" s="69" t="s">
        <v>227</v>
      </c>
      <c r="E93" s="70">
        <v>6.0</v>
      </c>
      <c r="F93" s="70">
        <v>20.0</v>
      </c>
      <c r="G93" s="71">
        <v>0.0</v>
      </c>
      <c r="H93" s="71">
        <v>0.0</v>
      </c>
      <c r="I93" s="71">
        <v>0.0</v>
      </c>
      <c r="J93" s="71">
        <v>0.0</v>
      </c>
      <c r="K93" s="72">
        <v>0.0</v>
      </c>
      <c r="L93" s="72"/>
      <c r="M93" s="66"/>
      <c r="N93" s="68" t="s">
        <v>227</v>
      </c>
      <c r="O93" s="68" t="s">
        <v>228</v>
      </c>
      <c r="P93" s="68" t="s">
        <v>227</v>
      </c>
      <c r="Q93" s="73">
        <v>6.0</v>
      </c>
      <c r="R93" s="73">
        <v>20.0</v>
      </c>
      <c r="S93" s="66">
        <f t="array" ref="S93">IFERROR(XLOOKUP(P93,MedalImport!G:G,MedalImport!C:C,0),0)</f>
        <v>0</v>
      </c>
      <c r="T93" s="66">
        <f t="array" ref="T93">IFERROR(XLOOKUP(P93,MedalImport!G:G,MedalImport!D:D,0),0)</f>
        <v>0</v>
      </c>
      <c r="U93" s="66">
        <f t="array" ref="U93">IFERROR(XLOOKUP(P93,MedalImport!G:G,MedalImport!E:E,0),0)</f>
        <v>0</v>
      </c>
      <c r="V93" s="66">
        <f t="shared" si="1"/>
        <v>0</v>
      </c>
      <c r="W93" s="66">
        <f t="shared" si="2"/>
        <v>0</v>
      </c>
      <c r="X93" s="66" t="str">
        <f t="shared" si="3"/>
        <v/>
      </c>
      <c r="Y93" s="29" t="str">
        <f t="shared" si="4"/>
        <v>uz</v>
      </c>
      <c r="Z93" s="66"/>
      <c r="AA93" s="66"/>
      <c r="AB93" s="66"/>
      <c r="AC93" s="66"/>
      <c r="AD93" s="66"/>
      <c r="AE93" s="66"/>
    </row>
    <row r="94" ht="22.5" customHeight="1">
      <c r="A94" s="68"/>
      <c r="B94" s="69" t="s">
        <v>229</v>
      </c>
      <c r="C94" s="69" t="s">
        <v>230</v>
      </c>
      <c r="D94" s="69" t="s">
        <v>229</v>
      </c>
      <c r="E94" s="70">
        <v>6.0</v>
      </c>
      <c r="F94" s="70">
        <v>20.0</v>
      </c>
      <c r="G94" s="71">
        <v>0.0</v>
      </c>
      <c r="H94" s="71">
        <v>0.0</v>
      </c>
      <c r="I94" s="71">
        <v>0.0</v>
      </c>
      <c r="J94" s="71">
        <v>0.0</v>
      </c>
      <c r="K94" s="72">
        <v>0.0</v>
      </c>
      <c r="L94" s="72"/>
      <c r="M94" s="66"/>
      <c r="N94" s="68" t="s">
        <v>229</v>
      </c>
      <c r="O94" s="68" t="s">
        <v>230</v>
      </c>
      <c r="P94" s="68" t="s">
        <v>229</v>
      </c>
      <c r="Q94" s="73">
        <v>6.0</v>
      </c>
      <c r="R94" s="73">
        <v>20.0</v>
      </c>
      <c r="S94" s="66">
        <f t="array" ref="S94">IFERROR(XLOOKUP(P94,MedalImport!G:G,MedalImport!C:C,0),0)</f>
        <v>0</v>
      </c>
      <c r="T94" s="66">
        <f t="array" ref="T94">IFERROR(XLOOKUP(P94,MedalImport!G:G,MedalImport!D:D,0),0)</f>
        <v>0</v>
      </c>
      <c r="U94" s="66">
        <f t="array" ref="U94">IFERROR(XLOOKUP(P94,MedalImport!G:G,MedalImport!E:E,0),0)</f>
        <v>0</v>
      </c>
      <c r="V94" s="66">
        <f t="shared" si="1"/>
        <v>0</v>
      </c>
      <c r="W94" s="66">
        <f t="shared" si="2"/>
        <v>0</v>
      </c>
      <c r="X94" s="66" t="str">
        <f t="shared" si="3"/>
        <v/>
      </c>
      <c r="Y94" s="29" t="str">
        <f t="shared" si="4"/>
        <v>ve</v>
      </c>
      <c r="Z94" s="66"/>
      <c r="AA94" s="66"/>
      <c r="AB94" s="66"/>
      <c r="AC94" s="66"/>
      <c r="AD94" s="66"/>
      <c r="AE94" s="66"/>
    </row>
    <row r="95">
      <c r="A95" s="75"/>
      <c r="B95" s="75"/>
      <c r="C95" s="75"/>
      <c r="D95" s="75"/>
      <c r="E95" s="76"/>
      <c r="F95" s="76"/>
      <c r="G95" s="76"/>
      <c r="H95" s="76"/>
      <c r="I95" s="76"/>
      <c r="J95" s="76"/>
      <c r="K95" s="77"/>
      <c r="L95" s="77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</row>
    <row r="96">
      <c r="A96" s="75"/>
      <c r="B96" s="75"/>
      <c r="C96" s="75"/>
      <c r="D96" s="75"/>
      <c r="E96" s="76"/>
      <c r="F96" s="76"/>
      <c r="G96" s="76"/>
      <c r="H96" s="76"/>
      <c r="I96" s="76"/>
      <c r="J96" s="76"/>
      <c r="K96" s="77"/>
      <c r="L96" s="77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</row>
    <row r="97">
      <c r="A97" s="75"/>
      <c r="B97" s="75"/>
      <c r="C97" s="75"/>
      <c r="D97" s="75"/>
      <c r="E97" s="76"/>
      <c r="F97" s="76"/>
      <c r="G97" s="76"/>
      <c r="H97" s="76"/>
      <c r="I97" s="76"/>
      <c r="J97" s="76"/>
      <c r="K97" s="77"/>
      <c r="L97" s="77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</row>
    <row r="98">
      <c r="A98" s="75"/>
      <c r="B98" s="75"/>
      <c r="C98" s="75"/>
      <c r="D98" s="75"/>
      <c r="E98" s="76"/>
      <c r="F98" s="76"/>
      <c r="G98" s="76"/>
      <c r="H98" s="76"/>
      <c r="I98" s="76"/>
      <c r="J98" s="76"/>
      <c r="K98" s="77"/>
      <c r="L98" s="77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</row>
    <row r="99">
      <c r="A99" s="75"/>
      <c r="B99" s="75"/>
      <c r="C99" s="75"/>
      <c r="D99" s="75"/>
      <c r="E99" s="76"/>
      <c r="F99" s="76"/>
      <c r="G99" s="76"/>
      <c r="H99" s="76"/>
      <c r="I99" s="76"/>
      <c r="J99" s="76"/>
      <c r="K99" s="77"/>
      <c r="L99" s="77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</row>
    <row r="100">
      <c r="A100" s="75"/>
      <c r="B100" s="75"/>
      <c r="C100" s="75"/>
      <c r="D100" s="75"/>
      <c r="E100" s="76"/>
      <c r="F100" s="76"/>
      <c r="G100" s="76"/>
      <c r="H100" s="76"/>
      <c r="I100" s="76"/>
      <c r="J100" s="76"/>
      <c r="K100" s="77"/>
      <c r="L100" s="77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</row>
    <row r="101">
      <c r="A101" s="75"/>
      <c r="B101" s="75"/>
      <c r="C101" s="75"/>
      <c r="D101" s="75"/>
      <c r="E101" s="76"/>
      <c r="F101" s="76"/>
      <c r="G101" s="76"/>
      <c r="H101" s="76"/>
      <c r="I101" s="76"/>
      <c r="J101" s="76"/>
      <c r="K101" s="77"/>
      <c r="L101" s="77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</row>
    <row r="102">
      <c r="A102" s="75"/>
      <c r="B102" s="75"/>
      <c r="C102" s="75"/>
      <c r="D102" s="75"/>
      <c r="E102" s="76"/>
      <c r="F102" s="76"/>
      <c r="G102" s="76"/>
      <c r="H102" s="76"/>
      <c r="I102" s="76"/>
      <c r="J102" s="76"/>
      <c r="K102" s="77"/>
      <c r="L102" s="77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</row>
    <row r="103">
      <c r="A103" s="75"/>
      <c r="B103" s="75"/>
      <c r="C103" s="75"/>
      <c r="D103" s="75"/>
      <c r="E103" s="76"/>
      <c r="F103" s="76"/>
      <c r="G103" s="76"/>
      <c r="H103" s="76"/>
      <c r="I103" s="76"/>
      <c r="J103" s="76"/>
      <c r="K103" s="77"/>
      <c r="L103" s="77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</row>
    <row r="104">
      <c r="A104" s="75"/>
      <c r="B104" s="75"/>
      <c r="C104" s="75"/>
      <c r="D104" s="75"/>
      <c r="E104" s="76"/>
      <c r="F104" s="76"/>
      <c r="G104" s="76"/>
      <c r="H104" s="76"/>
      <c r="I104" s="76"/>
      <c r="J104" s="76"/>
      <c r="K104" s="77"/>
      <c r="L104" s="77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</row>
    <row r="105">
      <c r="A105" s="75"/>
      <c r="B105" s="75"/>
      <c r="C105" s="75"/>
      <c r="D105" s="75"/>
      <c r="E105" s="76"/>
      <c r="F105" s="76"/>
      <c r="G105" s="76"/>
      <c r="H105" s="76"/>
      <c r="I105" s="76"/>
      <c r="J105" s="76"/>
      <c r="K105" s="77"/>
      <c r="L105" s="77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</row>
    <row r="106">
      <c r="A106" s="75"/>
      <c r="B106" s="75"/>
      <c r="C106" s="75"/>
      <c r="D106" s="75"/>
      <c r="E106" s="76"/>
      <c r="F106" s="76"/>
      <c r="G106" s="76"/>
      <c r="H106" s="76"/>
      <c r="I106" s="76"/>
      <c r="J106" s="76"/>
      <c r="K106" s="77"/>
      <c r="L106" s="77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</row>
    <row r="107">
      <c r="A107" s="75"/>
      <c r="B107" s="75"/>
      <c r="C107" s="75"/>
      <c r="D107" s="75"/>
      <c r="E107" s="76"/>
      <c r="F107" s="76"/>
      <c r="G107" s="76"/>
      <c r="H107" s="76"/>
      <c r="I107" s="76"/>
      <c r="J107" s="76"/>
      <c r="K107" s="77"/>
      <c r="L107" s="77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</row>
    <row r="108">
      <c r="A108" s="75"/>
      <c r="B108" s="75"/>
      <c r="C108" s="75"/>
      <c r="D108" s="75"/>
      <c r="E108" s="76"/>
      <c r="F108" s="76"/>
      <c r="G108" s="76"/>
      <c r="H108" s="76"/>
      <c r="I108" s="76"/>
      <c r="J108" s="76"/>
      <c r="K108" s="77"/>
      <c r="L108" s="77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</row>
    <row r="109">
      <c r="A109" s="75"/>
      <c r="B109" s="75"/>
      <c r="C109" s="75"/>
      <c r="D109" s="75"/>
      <c r="E109" s="76"/>
      <c r="F109" s="76"/>
      <c r="G109" s="76"/>
      <c r="H109" s="76"/>
      <c r="I109" s="76"/>
      <c r="J109" s="76"/>
      <c r="K109" s="77"/>
      <c r="L109" s="77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</row>
    <row r="110">
      <c r="A110" s="75"/>
      <c r="B110" s="75"/>
      <c r="C110" s="75"/>
      <c r="D110" s="75"/>
      <c r="E110" s="76"/>
      <c r="F110" s="76"/>
      <c r="G110" s="76"/>
      <c r="H110" s="76"/>
      <c r="I110" s="76"/>
      <c r="J110" s="76"/>
      <c r="K110" s="77"/>
      <c r="L110" s="77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</row>
    <row r="111">
      <c r="A111" s="75"/>
      <c r="B111" s="75"/>
      <c r="C111" s="75"/>
      <c r="D111" s="75"/>
      <c r="E111" s="76"/>
      <c r="F111" s="76"/>
      <c r="G111" s="76"/>
      <c r="H111" s="76"/>
      <c r="I111" s="76"/>
      <c r="J111" s="76"/>
      <c r="K111" s="77"/>
      <c r="L111" s="77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</row>
    <row r="112">
      <c r="A112" s="75"/>
      <c r="B112" s="75"/>
      <c r="C112" s="75"/>
      <c r="D112" s="75"/>
      <c r="E112" s="76"/>
      <c r="F112" s="76"/>
      <c r="G112" s="76"/>
      <c r="H112" s="76"/>
      <c r="I112" s="76"/>
      <c r="J112" s="76"/>
      <c r="K112" s="77"/>
      <c r="L112" s="77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</row>
    <row r="113">
      <c r="A113" s="75"/>
      <c r="B113" s="75"/>
      <c r="C113" s="75"/>
      <c r="D113" s="75"/>
      <c r="E113" s="76"/>
      <c r="F113" s="76"/>
      <c r="G113" s="76"/>
      <c r="H113" s="76"/>
      <c r="I113" s="76"/>
      <c r="J113" s="76"/>
      <c r="K113" s="77"/>
      <c r="L113" s="77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</row>
    <row r="114">
      <c r="A114" s="75"/>
      <c r="B114" s="75"/>
      <c r="C114" s="75"/>
      <c r="D114" s="75"/>
      <c r="E114" s="76"/>
      <c r="F114" s="76"/>
      <c r="G114" s="76"/>
      <c r="H114" s="76"/>
      <c r="I114" s="76"/>
      <c r="J114" s="76"/>
      <c r="K114" s="77"/>
      <c r="L114" s="77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</row>
    <row r="115">
      <c r="A115" s="75"/>
      <c r="B115" s="75"/>
      <c r="C115" s="75"/>
      <c r="D115" s="75"/>
      <c r="E115" s="76"/>
      <c r="F115" s="76"/>
      <c r="G115" s="76"/>
      <c r="H115" s="76"/>
      <c r="I115" s="76"/>
      <c r="J115" s="76"/>
      <c r="K115" s="77"/>
      <c r="L115" s="77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</row>
    <row r="116">
      <c r="A116" s="75"/>
      <c r="B116" s="75"/>
      <c r="C116" s="75"/>
      <c r="D116" s="75"/>
      <c r="E116" s="76"/>
      <c r="F116" s="76"/>
      <c r="G116" s="76"/>
      <c r="H116" s="76"/>
      <c r="I116" s="76"/>
      <c r="J116" s="76"/>
      <c r="K116" s="77"/>
      <c r="L116" s="77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</row>
    <row r="117">
      <c r="A117" s="75"/>
      <c r="B117" s="75"/>
      <c r="C117" s="75"/>
      <c r="D117" s="75"/>
      <c r="E117" s="76"/>
      <c r="F117" s="76"/>
      <c r="G117" s="76"/>
      <c r="H117" s="76"/>
      <c r="I117" s="76"/>
      <c r="J117" s="76"/>
      <c r="K117" s="77"/>
      <c r="L117" s="77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</row>
    <row r="118">
      <c r="A118" s="75"/>
      <c r="B118" s="75"/>
      <c r="C118" s="75"/>
      <c r="D118" s="75"/>
      <c r="E118" s="76"/>
      <c r="F118" s="76"/>
      <c r="G118" s="76"/>
      <c r="H118" s="76"/>
      <c r="I118" s="76"/>
      <c r="J118" s="76"/>
      <c r="K118" s="77"/>
      <c r="L118" s="77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</row>
    <row r="119">
      <c r="A119" s="75"/>
      <c r="B119" s="75"/>
      <c r="C119" s="75"/>
      <c r="D119" s="75"/>
      <c r="E119" s="76"/>
      <c r="F119" s="76"/>
      <c r="G119" s="76"/>
      <c r="H119" s="76"/>
      <c r="I119" s="76"/>
      <c r="J119" s="76"/>
      <c r="K119" s="77"/>
      <c r="L119" s="77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</row>
    <row r="120">
      <c r="A120" s="75"/>
      <c r="B120" s="75"/>
      <c r="C120" s="75"/>
      <c r="D120" s="75"/>
      <c r="E120" s="76"/>
      <c r="F120" s="76"/>
      <c r="G120" s="76"/>
      <c r="H120" s="76"/>
      <c r="I120" s="76"/>
      <c r="J120" s="76"/>
      <c r="K120" s="77"/>
      <c r="L120" s="77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</row>
    <row r="121">
      <c r="A121" s="75"/>
      <c r="B121" s="75"/>
      <c r="C121" s="75"/>
      <c r="D121" s="75"/>
      <c r="E121" s="76"/>
      <c r="F121" s="76"/>
      <c r="G121" s="76"/>
      <c r="H121" s="76"/>
      <c r="I121" s="76"/>
      <c r="J121" s="76"/>
      <c r="K121" s="77"/>
      <c r="L121" s="77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</row>
    <row r="122">
      <c r="A122" s="75"/>
      <c r="B122" s="75"/>
      <c r="C122" s="75"/>
      <c r="D122" s="75"/>
      <c r="E122" s="76"/>
      <c r="F122" s="76"/>
      <c r="G122" s="76"/>
      <c r="H122" s="76"/>
      <c r="I122" s="76"/>
      <c r="J122" s="76"/>
      <c r="K122" s="77"/>
      <c r="L122" s="77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</row>
    <row r="123">
      <c r="A123" s="75"/>
      <c r="B123" s="75"/>
      <c r="C123" s="75"/>
      <c r="D123" s="75"/>
      <c r="E123" s="76"/>
      <c r="F123" s="76"/>
      <c r="G123" s="76"/>
      <c r="H123" s="76"/>
      <c r="I123" s="76"/>
      <c r="J123" s="76"/>
      <c r="K123" s="77"/>
      <c r="L123" s="77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</row>
    <row r="124">
      <c r="A124" s="75"/>
      <c r="B124" s="75"/>
      <c r="C124" s="75"/>
      <c r="D124" s="75"/>
      <c r="E124" s="76"/>
      <c r="F124" s="76"/>
      <c r="G124" s="76"/>
      <c r="H124" s="76"/>
      <c r="I124" s="76"/>
      <c r="J124" s="76"/>
      <c r="K124" s="77"/>
      <c r="L124" s="77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</row>
    <row r="125">
      <c r="A125" s="75"/>
      <c r="B125" s="75"/>
      <c r="C125" s="75"/>
      <c r="D125" s="75"/>
      <c r="E125" s="76"/>
      <c r="F125" s="76"/>
      <c r="G125" s="76"/>
      <c r="H125" s="76"/>
      <c r="I125" s="76"/>
      <c r="J125" s="76"/>
      <c r="K125" s="77"/>
      <c r="L125" s="77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</row>
    <row r="126">
      <c r="A126" s="75"/>
      <c r="B126" s="75"/>
      <c r="C126" s="75"/>
      <c r="D126" s="75"/>
      <c r="E126" s="76"/>
      <c r="F126" s="76"/>
      <c r="G126" s="76"/>
      <c r="H126" s="76"/>
      <c r="I126" s="76"/>
      <c r="J126" s="76"/>
      <c r="K126" s="77"/>
      <c r="L126" s="77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</row>
    <row r="127">
      <c r="A127" s="75"/>
      <c r="B127" s="75"/>
      <c r="C127" s="75"/>
      <c r="D127" s="75"/>
      <c r="E127" s="76"/>
      <c r="F127" s="76"/>
      <c r="G127" s="76"/>
      <c r="H127" s="76"/>
      <c r="I127" s="76"/>
      <c r="J127" s="76"/>
      <c r="K127" s="77"/>
      <c r="L127" s="77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</row>
    <row r="128">
      <c r="A128" s="75"/>
      <c r="B128" s="75"/>
      <c r="C128" s="75"/>
      <c r="D128" s="75"/>
      <c r="E128" s="76"/>
      <c r="F128" s="76"/>
      <c r="G128" s="76"/>
      <c r="H128" s="76"/>
      <c r="I128" s="76"/>
      <c r="J128" s="76"/>
      <c r="K128" s="77"/>
      <c r="L128" s="77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</row>
    <row r="129">
      <c r="A129" s="75"/>
      <c r="B129" s="75"/>
      <c r="C129" s="75"/>
      <c r="D129" s="75"/>
      <c r="E129" s="76"/>
      <c r="F129" s="76"/>
      <c r="G129" s="76"/>
      <c r="H129" s="76"/>
      <c r="I129" s="76"/>
      <c r="J129" s="76"/>
      <c r="K129" s="77"/>
      <c r="L129" s="77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</row>
    <row r="130">
      <c r="A130" s="75"/>
      <c r="B130" s="75"/>
      <c r="C130" s="75"/>
      <c r="D130" s="75"/>
      <c r="E130" s="76"/>
      <c r="F130" s="76"/>
      <c r="G130" s="76"/>
      <c r="H130" s="76"/>
      <c r="I130" s="76"/>
      <c r="J130" s="76"/>
      <c r="K130" s="77"/>
      <c r="L130" s="77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</row>
    <row r="131">
      <c r="A131" s="75"/>
      <c r="B131" s="75"/>
      <c r="C131" s="75"/>
      <c r="D131" s="75"/>
      <c r="E131" s="76"/>
      <c r="F131" s="76"/>
      <c r="G131" s="76"/>
      <c r="H131" s="76"/>
      <c r="I131" s="76"/>
      <c r="J131" s="76"/>
      <c r="K131" s="77"/>
      <c r="L131" s="77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</row>
    <row r="132">
      <c r="A132" s="75"/>
      <c r="B132" s="75"/>
      <c r="C132" s="75"/>
      <c r="D132" s="75"/>
      <c r="E132" s="76"/>
      <c r="F132" s="76"/>
      <c r="G132" s="76"/>
      <c r="H132" s="76"/>
      <c r="I132" s="76"/>
      <c r="J132" s="76"/>
      <c r="K132" s="77"/>
      <c r="L132" s="77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</row>
    <row r="133">
      <c r="A133" s="75"/>
      <c r="B133" s="75"/>
      <c r="C133" s="75"/>
      <c r="D133" s="75"/>
      <c r="E133" s="76"/>
      <c r="F133" s="76"/>
      <c r="G133" s="76"/>
      <c r="H133" s="76"/>
      <c r="I133" s="76"/>
      <c r="J133" s="76"/>
      <c r="K133" s="77"/>
      <c r="L133" s="77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</row>
    <row r="134">
      <c r="A134" s="75"/>
      <c r="B134" s="75"/>
      <c r="C134" s="75"/>
      <c r="D134" s="75"/>
      <c r="E134" s="76"/>
      <c r="F134" s="76"/>
      <c r="G134" s="76"/>
      <c r="H134" s="76"/>
      <c r="I134" s="76"/>
      <c r="J134" s="76"/>
      <c r="K134" s="77"/>
      <c r="L134" s="77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</row>
    <row r="135">
      <c r="A135" s="75"/>
      <c r="B135" s="75"/>
      <c r="C135" s="75"/>
      <c r="D135" s="75"/>
      <c r="E135" s="76"/>
      <c r="F135" s="76"/>
      <c r="G135" s="76"/>
      <c r="H135" s="76"/>
      <c r="I135" s="76"/>
      <c r="J135" s="76"/>
      <c r="K135" s="77"/>
      <c r="L135" s="77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</row>
    <row r="136">
      <c r="A136" s="75"/>
      <c r="B136" s="75"/>
      <c r="C136" s="75"/>
      <c r="D136" s="75"/>
      <c r="E136" s="76"/>
      <c r="F136" s="76"/>
      <c r="G136" s="76"/>
      <c r="H136" s="76"/>
      <c r="I136" s="76"/>
      <c r="J136" s="76"/>
      <c r="K136" s="77"/>
      <c r="L136" s="77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</row>
    <row r="137">
      <c r="A137" s="75"/>
      <c r="B137" s="75"/>
      <c r="C137" s="75"/>
      <c r="D137" s="75"/>
      <c r="E137" s="76"/>
      <c r="F137" s="76"/>
      <c r="G137" s="76"/>
      <c r="H137" s="76"/>
      <c r="I137" s="76"/>
      <c r="J137" s="76"/>
      <c r="K137" s="77"/>
      <c r="L137" s="77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</row>
    <row r="138">
      <c r="A138" s="75"/>
      <c r="B138" s="75"/>
      <c r="C138" s="75"/>
      <c r="D138" s="75"/>
      <c r="E138" s="76"/>
      <c r="F138" s="76"/>
      <c r="G138" s="76"/>
      <c r="H138" s="76"/>
      <c r="I138" s="76"/>
      <c r="J138" s="76"/>
      <c r="K138" s="77"/>
      <c r="L138" s="77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</row>
    <row r="139">
      <c r="A139" s="75"/>
      <c r="B139" s="75"/>
      <c r="C139" s="75"/>
      <c r="D139" s="75"/>
      <c r="E139" s="76"/>
      <c r="F139" s="76"/>
      <c r="G139" s="76"/>
      <c r="H139" s="76"/>
      <c r="I139" s="76"/>
      <c r="J139" s="76"/>
      <c r="K139" s="77"/>
      <c r="L139" s="77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</row>
    <row r="140">
      <c r="A140" s="75"/>
      <c r="B140" s="75"/>
      <c r="C140" s="75"/>
      <c r="D140" s="75"/>
      <c r="E140" s="76"/>
      <c r="F140" s="76"/>
      <c r="G140" s="76"/>
      <c r="H140" s="76"/>
      <c r="I140" s="76"/>
      <c r="J140" s="76"/>
      <c r="K140" s="77"/>
      <c r="L140" s="77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</row>
    <row r="141">
      <c r="A141" s="75"/>
      <c r="B141" s="75"/>
      <c r="C141" s="75"/>
      <c r="D141" s="75"/>
      <c r="E141" s="76"/>
      <c r="F141" s="76"/>
      <c r="G141" s="76"/>
      <c r="H141" s="76"/>
      <c r="I141" s="76"/>
      <c r="J141" s="76"/>
      <c r="K141" s="77"/>
      <c r="L141" s="77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</row>
    <row r="142">
      <c r="A142" s="75"/>
      <c r="B142" s="75"/>
      <c r="C142" s="75"/>
      <c r="D142" s="75"/>
      <c r="E142" s="76"/>
      <c r="F142" s="76"/>
      <c r="G142" s="76"/>
      <c r="H142" s="76"/>
      <c r="I142" s="76"/>
      <c r="J142" s="76"/>
      <c r="K142" s="77"/>
      <c r="L142" s="77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</row>
    <row r="143">
      <c r="A143" s="75"/>
      <c r="B143" s="75"/>
      <c r="C143" s="75"/>
      <c r="D143" s="75"/>
      <c r="E143" s="76"/>
      <c r="F143" s="76"/>
      <c r="G143" s="76"/>
      <c r="H143" s="76"/>
      <c r="I143" s="76"/>
      <c r="J143" s="76"/>
      <c r="K143" s="77"/>
      <c r="L143" s="77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</row>
    <row r="144">
      <c r="A144" s="75"/>
      <c r="B144" s="75"/>
      <c r="C144" s="75"/>
      <c r="D144" s="75"/>
      <c r="E144" s="76"/>
      <c r="F144" s="76"/>
      <c r="G144" s="76"/>
      <c r="H144" s="76"/>
      <c r="I144" s="76"/>
      <c r="J144" s="76"/>
      <c r="K144" s="77"/>
      <c r="L144" s="77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</row>
    <row r="145">
      <c r="A145" s="75"/>
      <c r="B145" s="75"/>
      <c r="C145" s="75"/>
      <c r="D145" s="75"/>
      <c r="E145" s="76"/>
      <c r="F145" s="76"/>
      <c r="G145" s="76"/>
      <c r="H145" s="76"/>
      <c r="I145" s="76"/>
      <c r="J145" s="76"/>
      <c r="K145" s="77"/>
      <c r="L145" s="77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</row>
    <row r="146">
      <c r="A146" s="75"/>
      <c r="B146" s="75"/>
      <c r="C146" s="75"/>
      <c r="D146" s="75"/>
      <c r="E146" s="76"/>
      <c r="F146" s="76"/>
      <c r="G146" s="76"/>
      <c r="H146" s="76"/>
      <c r="I146" s="76"/>
      <c r="J146" s="76"/>
      <c r="K146" s="77"/>
      <c r="L146" s="77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</row>
    <row r="147">
      <c r="A147" s="75"/>
      <c r="B147" s="75"/>
      <c r="C147" s="75"/>
      <c r="D147" s="75"/>
      <c r="E147" s="76"/>
      <c r="F147" s="76"/>
      <c r="G147" s="76"/>
      <c r="H147" s="76"/>
      <c r="I147" s="76"/>
      <c r="J147" s="76"/>
      <c r="K147" s="77"/>
      <c r="L147" s="77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</row>
    <row r="148">
      <c r="A148" s="75"/>
      <c r="B148" s="75"/>
      <c r="C148" s="75"/>
      <c r="D148" s="75"/>
      <c r="E148" s="76"/>
      <c r="F148" s="76"/>
      <c r="G148" s="76"/>
      <c r="H148" s="76"/>
      <c r="I148" s="76"/>
      <c r="J148" s="76"/>
      <c r="K148" s="77"/>
      <c r="L148" s="77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</row>
    <row r="149">
      <c r="A149" s="75"/>
      <c r="B149" s="75"/>
      <c r="C149" s="75"/>
      <c r="D149" s="75"/>
      <c r="E149" s="76"/>
      <c r="F149" s="76"/>
      <c r="G149" s="76"/>
      <c r="H149" s="76"/>
      <c r="I149" s="76"/>
      <c r="J149" s="76"/>
      <c r="K149" s="77"/>
      <c r="L149" s="77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</row>
    <row r="150">
      <c r="A150" s="75"/>
      <c r="B150" s="75"/>
      <c r="C150" s="75"/>
      <c r="D150" s="75"/>
      <c r="E150" s="76"/>
      <c r="F150" s="76"/>
      <c r="G150" s="76"/>
      <c r="H150" s="76"/>
      <c r="I150" s="76"/>
      <c r="J150" s="76"/>
      <c r="K150" s="77"/>
      <c r="L150" s="77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</row>
    <row r="151">
      <c r="A151" s="75"/>
      <c r="B151" s="75"/>
      <c r="C151" s="75"/>
      <c r="D151" s="75"/>
      <c r="E151" s="76"/>
      <c r="F151" s="76"/>
      <c r="G151" s="76"/>
      <c r="H151" s="76"/>
      <c r="I151" s="76"/>
      <c r="J151" s="76"/>
      <c r="K151" s="77"/>
      <c r="L151" s="77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</row>
    <row r="152">
      <c r="A152" s="75"/>
      <c r="B152" s="75"/>
      <c r="C152" s="75"/>
      <c r="D152" s="75"/>
      <c r="E152" s="76"/>
      <c r="F152" s="76"/>
      <c r="G152" s="76"/>
      <c r="H152" s="76"/>
      <c r="I152" s="76"/>
      <c r="J152" s="76"/>
      <c r="K152" s="77"/>
      <c r="L152" s="77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</row>
    <row r="153">
      <c r="A153" s="75"/>
      <c r="B153" s="75"/>
      <c r="C153" s="75"/>
      <c r="D153" s="75"/>
      <c r="E153" s="76"/>
      <c r="F153" s="76"/>
      <c r="G153" s="76"/>
      <c r="H153" s="76"/>
      <c r="I153" s="76"/>
      <c r="J153" s="76"/>
      <c r="K153" s="77"/>
      <c r="L153" s="77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</row>
    <row r="154">
      <c r="A154" s="75"/>
      <c r="B154" s="75"/>
      <c r="C154" s="75"/>
      <c r="D154" s="75"/>
      <c r="E154" s="76"/>
      <c r="F154" s="76"/>
      <c r="G154" s="76"/>
      <c r="H154" s="76"/>
      <c r="I154" s="76"/>
      <c r="J154" s="76"/>
      <c r="K154" s="77"/>
      <c r="L154" s="77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</row>
    <row r="155">
      <c r="A155" s="75"/>
      <c r="B155" s="75"/>
      <c r="C155" s="75"/>
      <c r="D155" s="75"/>
      <c r="E155" s="76"/>
      <c r="F155" s="76"/>
      <c r="G155" s="76"/>
      <c r="H155" s="76"/>
      <c r="I155" s="76"/>
      <c r="J155" s="76"/>
      <c r="K155" s="77"/>
      <c r="L155" s="77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</row>
    <row r="156">
      <c r="A156" s="75"/>
      <c r="B156" s="75"/>
      <c r="C156" s="75"/>
      <c r="D156" s="75"/>
      <c r="E156" s="76"/>
      <c r="F156" s="76"/>
      <c r="G156" s="76"/>
      <c r="H156" s="76"/>
      <c r="I156" s="76"/>
      <c r="J156" s="76"/>
      <c r="K156" s="77"/>
      <c r="L156" s="77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</row>
    <row r="157">
      <c r="A157" s="75"/>
      <c r="B157" s="75"/>
      <c r="C157" s="75"/>
      <c r="D157" s="75"/>
      <c r="E157" s="76"/>
      <c r="F157" s="76"/>
      <c r="G157" s="76"/>
      <c r="H157" s="76"/>
      <c r="I157" s="76"/>
      <c r="J157" s="76"/>
      <c r="K157" s="77"/>
      <c r="L157" s="77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</row>
    <row r="158">
      <c r="A158" s="75"/>
      <c r="B158" s="75"/>
      <c r="C158" s="75"/>
      <c r="D158" s="75"/>
      <c r="E158" s="76"/>
      <c r="F158" s="76"/>
      <c r="G158" s="76"/>
      <c r="H158" s="76"/>
      <c r="I158" s="76"/>
      <c r="J158" s="76"/>
      <c r="K158" s="77"/>
      <c r="L158" s="77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</row>
    <row r="159">
      <c r="A159" s="75"/>
      <c r="B159" s="75"/>
      <c r="C159" s="75"/>
      <c r="D159" s="75"/>
      <c r="E159" s="76"/>
      <c r="F159" s="76"/>
      <c r="G159" s="76"/>
      <c r="H159" s="76"/>
      <c r="I159" s="76"/>
      <c r="J159" s="76"/>
      <c r="K159" s="77"/>
      <c r="L159" s="77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</row>
    <row r="160">
      <c r="A160" s="75"/>
      <c r="B160" s="75"/>
      <c r="C160" s="75"/>
      <c r="D160" s="75"/>
      <c r="E160" s="76"/>
      <c r="F160" s="76"/>
      <c r="G160" s="76"/>
      <c r="H160" s="76"/>
      <c r="I160" s="76"/>
      <c r="J160" s="76"/>
      <c r="K160" s="77"/>
      <c r="L160" s="77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</row>
    <row r="161">
      <c r="A161" s="75"/>
      <c r="B161" s="75"/>
      <c r="C161" s="75"/>
      <c r="D161" s="75"/>
      <c r="E161" s="76"/>
      <c r="F161" s="76"/>
      <c r="G161" s="76"/>
      <c r="H161" s="76"/>
      <c r="I161" s="76"/>
      <c r="J161" s="76"/>
      <c r="K161" s="77"/>
      <c r="L161" s="77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</row>
    <row r="162">
      <c r="A162" s="75"/>
      <c r="B162" s="75"/>
      <c r="C162" s="75"/>
      <c r="D162" s="75"/>
      <c r="E162" s="76"/>
      <c r="F162" s="76"/>
      <c r="G162" s="76"/>
      <c r="H162" s="76"/>
      <c r="I162" s="76"/>
      <c r="J162" s="76"/>
      <c r="K162" s="77"/>
      <c r="L162" s="77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</row>
    <row r="163">
      <c r="A163" s="75"/>
      <c r="B163" s="75"/>
      <c r="C163" s="75"/>
      <c r="D163" s="75"/>
      <c r="E163" s="76"/>
      <c r="F163" s="76"/>
      <c r="G163" s="76"/>
      <c r="H163" s="76"/>
      <c r="I163" s="76"/>
      <c r="J163" s="76"/>
      <c r="K163" s="77"/>
      <c r="L163" s="77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</row>
    <row r="164">
      <c r="A164" s="75"/>
      <c r="B164" s="75"/>
      <c r="C164" s="75"/>
      <c r="D164" s="75"/>
      <c r="E164" s="76"/>
      <c r="F164" s="76"/>
      <c r="G164" s="76"/>
      <c r="H164" s="76"/>
      <c r="I164" s="76"/>
      <c r="J164" s="76"/>
      <c r="K164" s="77"/>
      <c r="L164" s="77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</row>
    <row r="165">
      <c r="A165" s="75"/>
      <c r="B165" s="75"/>
      <c r="C165" s="75"/>
      <c r="D165" s="75"/>
      <c r="E165" s="76"/>
      <c r="F165" s="76"/>
      <c r="G165" s="76"/>
      <c r="H165" s="76"/>
      <c r="I165" s="76"/>
      <c r="J165" s="76"/>
      <c r="K165" s="77"/>
      <c r="L165" s="77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</row>
    <row r="166">
      <c r="A166" s="75"/>
      <c r="B166" s="75"/>
      <c r="C166" s="75"/>
      <c r="D166" s="75"/>
      <c r="E166" s="76"/>
      <c r="F166" s="76"/>
      <c r="G166" s="76"/>
      <c r="H166" s="76"/>
      <c r="I166" s="76"/>
      <c r="J166" s="76"/>
      <c r="K166" s="77"/>
      <c r="L166" s="77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</row>
    <row r="167">
      <c r="A167" s="75"/>
      <c r="B167" s="75"/>
      <c r="C167" s="75"/>
      <c r="D167" s="75"/>
      <c r="E167" s="76"/>
      <c r="F167" s="76"/>
      <c r="G167" s="76"/>
      <c r="H167" s="76"/>
      <c r="I167" s="76"/>
      <c r="J167" s="76"/>
      <c r="K167" s="77"/>
      <c r="L167" s="77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</row>
    <row r="168">
      <c r="A168" s="75"/>
      <c r="B168" s="75"/>
      <c r="C168" s="75"/>
      <c r="D168" s="75"/>
      <c r="E168" s="76"/>
      <c r="F168" s="76"/>
      <c r="G168" s="76"/>
      <c r="H168" s="76"/>
      <c r="I168" s="76"/>
      <c r="J168" s="76"/>
      <c r="K168" s="77"/>
      <c r="L168" s="77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</row>
    <row r="169">
      <c r="A169" s="75"/>
      <c r="B169" s="75"/>
      <c r="C169" s="75"/>
      <c r="D169" s="75"/>
      <c r="E169" s="76"/>
      <c r="F169" s="76"/>
      <c r="G169" s="76"/>
      <c r="H169" s="76"/>
      <c r="I169" s="76"/>
      <c r="J169" s="76"/>
      <c r="K169" s="77"/>
      <c r="L169" s="77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</row>
    <row r="170">
      <c r="A170" s="75"/>
      <c r="B170" s="75"/>
      <c r="C170" s="75"/>
      <c r="D170" s="75"/>
      <c r="E170" s="76"/>
      <c r="F170" s="76"/>
      <c r="G170" s="76"/>
      <c r="H170" s="76"/>
      <c r="I170" s="76"/>
      <c r="J170" s="76"/>
      <c r="K170" s="77"/>
      <c r="L170" s="77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</row>
    <row r="171">
      <c r="A171" s="75"/>
      <c r="B171" s="75"/>
      <c r="C171" s="75"/>
      <c r="D171" s="75"/>
      <c r="E171" s="76"/>
      <c r="F171" s="76"/>
      <c r="G171" s="76"/>
      <c r="H171" s="76"/>
      <c r="I171" s="76"/>
      <c r="J171" s="76"/>
      <c r="K171" s="77"/>
      <c r="L171" s="77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</row>
    <row r="172">
      <c r="A172" s="75"/>
      <c r="B172" s="75"/>
      <c r="C172" s="75"/>
      <c r="D172" s="75"/>
      <c r="E172" s="76"/>
      <c r="F172" s="76"/>
      <c r="G172" s="76"/>
      <c r="H172" s="76"/>
      <c r="I172" s="76"/>
      <c r="J172" s="76"/>
      <c r="K172" s="77"/>
      <c r="L172" s="77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</row>
    <row r="173">
      <c r="A173" s="75"/>
      <c r="B173" s="75"/>
      <c r="C173" s="75"/>
      <c r="D173" s="75"/>
      <c r="E173" s="76"/>
      <c r="F173" s="76"/>
      <c r="G173" s="76"/>
      <c r="H173" s="76"/>
      <c r="I173" s="76"/>
      <c r="J173" s="76"/>
      <c r="K173" s="77"/>
      <c r="L173" s="77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</row>
    <row r="174">
      <c r="A174" s="75"/>
      <c r="B174" s="75"/>
      <c r="C174" s="75"/>
      <c r="D174" s="75"/>
      <c r="E174" s="76"/>
      <c r="F174" s="76"/>
      <c r="G174" s="76"/>
      <c r="H174" s="76"/>
      <c r="I174" s="76"/>
      <c r="J174" s="76"/>
      <c r="K174" s="77"/>
      <c r="L174" s="77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</row>
    <row r="175">
      <c r="A175" s="75"/>
      <c r="B175" s="75"/>
      <c r="C175" s="75"/>
      <c r="D175" s="75"/>
      <c r="E175" s="76"/>
      <c r="F175" s="76"/>
      <c r="G175" s="76"/>
      <c r="H175" s="76"/>
      <c r="I175" s="76"/>
      <c r="J175" s="76"/>
      <c r="K175" s="77"/>
      <c r="L175" s="77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</row>
    <row r="176">
      <c r="A176" s="75"/>
      <c r="B176" s="75"/>
      <c r="C176" s="75"/>
      <c r="D176" s="75"/>
      <c r="E176" s="76"/>
      <c r="F176" s="76"/>
      <c r="G176" s="76"/>
      <c r="H176" s="76"/>
      <c r="I176" s="76"/>
      <c r="J176" s="76"/>
      <c r="K176" s="77"/>
      <c r="L176" s="77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</row>
    <row r="177">
      <c r="A177" s="75"/>
      <c r="B177" s="75"/>
      <c r="C177" s="75"/>
      <c r="D177" s="75"/>
      <c r="E177" s="76"/>
      <c r="F177" s="76"/>
      <c r="G177" s="76"/>
      <c r="H177" s="76"/>
      <c r="I177" s="76"/>
      <c r="J177" s="76"/>
      <c r="K177" s="77"/>
      <c r="L177" s="77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</row>
    <row r="178">
      <c r="A178" s="75"/>
      <c r="B178" s="75"/>
      <c r="C178" s="75"/>
      <c r="D178" s="75"/>
      <c r="E178" s="76"/>
      <c r="F178" s="76"/>
      <c r="G178" s="76"/>
      <c r="H178" s="76"/>
      <c r="I178" s="76"/>
      <c r="J178" s="76"/>
      <c r="K178" s="77"/>
      <c r="L178" s="77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</row>
    <row r="179">
      <c r="A179" s="75"/>
      <c r="B179" s="75"/>
      <c r="C179" s="75"/>
      <c r="D179" s="75"/>
      <c r="E179" s="76"/>
      <c r="F179" s="76"/>
      <c r="G179" s="76"/>
      <c r="H179" s="76"/>
      <c r="I179" s="76"/>
      <c r="J179" s="76"/>
      <c r="K179" s="77"/>
      <c r="L179" s="77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</row>
    <row r="180">
      <c r="A180" s="75"/>
      <c r="B180" s="75"/>
      <c r="C180" s="75"/>
      <c r="D180" s="75"/>
      <c r="E180" s="76"/>
      <c r="F180" s="76"/>
      <c r="G180" s="76"/>
      <c r="H180" s="76"/>
      <c r="I180" s="76"/>
      <c r="J180" s="76"/>
      <c r="K180" s="77"/>
      <c r="L180" s="77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</row>
    <row r="181">
      <c r="A181" s="75"/>
      <c r="B181" s="75"/>
      <c r="C181" s="75"/>
      <c r="D181" s="75"/>
      <c r="E181" s="76"/>
      <c r="F181" s="76"/>
      <c r="G181" s="76"/>
      <c r="H181" s="76"/>
      <c r="I181" s="76"/>
      <c r="J181" s="76"/>
      <c r="K181" s="77"/>
      <c r="L181" s="77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</row>
    <row r="182">
      <c r="A182" s="75"/>
      <c r="B182" s="75"/>
      <c r="C182" s="75"/>
      <c r="D182" s="75"/>
      <c r="E182" s="76"/>
      <c r="F182" s="76"/>
      <c r="G182" s="76"/>
      <c r="H182" s="76"/>
      <c r="I182" s="76"/>
      <c r="J182" s="76"/>
      <c r="K182" s="77"/>
      <c r="L182" s="77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</row>
    <row r="183">
      <c r="A183" s="75"/>
      <c r="B183" s="75"/>
      <c r="C183" s="75"/>
      <c r="D183" s="75"/>
      <c r="E183" s="76"/>
      <c r="F183" s="76"/>
      <c r="G183" s="76"/>
      <c r="H183" s="76"/>
      <c r="I183" s="76"/>
      <c r="J183" s="76"/>
      <c r="K183" s="77"/>
      <c r="L183" s="77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</row>
    <row r="184">
      <c r="A184" s="75"/>
      <c r="B184" s="75"/>
      <c r="C184" s="75"/>
      <c r="D184" s="75"/>
      <c r="E184" s="76"/>
      <c r="F184" s="76"/>
      <c r="G184" s="76"/>
      <c r="H184" s="76"/>
      <c r="I184" s="76"/>
      <c r="J184" s="76"/>
      <c r="K184" s="77"/>
      <c r="L184" s="77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</row>
    <row r="185">
      <c r="A185" s="75"/>
      <c r="B185" s="75"/>
      <c r="C185" s="75"/>
      <c r="D185" s="75"/>
      <c r="E185" s="76"/>
      <c r="F185" s="76"/>
      <c r="G185" s="76"/>
      <c r="H185" s="76"/>
      <c r="I185" s="76"/>
      <c r="J185" s="76"/>
      <c r="K185" s="77"/>
      <c r="L185" s="77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</row>
    <row r="186">
      <c r="A186" s="75"/>
      <c r="B186" s="75"/>
      <c r="C186" s="75"/>
      <c r="D186" s="75"/>
      <c r="E186" s="76"/>
      <c r="F186" s="76"/>
      <c r="G186" s="76"/>
      <c r="H186" s="76"/>
      <c r="I186" s="76"/>
      <c r="J186" s="76"/>
      <c r="K186" s="77"/>
      <c r="L186" s="77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</row>
    <row r="187">
      <c r="A187" s="75"/>
      <c r="B187" s="75"/>
      <c r="C187" s="75"/>
      <c r="D187" s="75"/>
      <c r="E187" s="76"/>
      <c r="F187" s="76"/>
      <c r="G187" s="76"/>
      <c r="H187" s="76"/>
      <c r="I187" s="76"/>
      <c r="J187" s="76"/>
      <c r="K187" s="77"/>
      <c r="L187" s="77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</row>
    <row r="188">
      <c r="A188" s="75"/>
      <c r="B188" s="75"/>
      <c r="C188" s="75"/>
      <c r="D188" s="75"/>
      <c r="E188" s="76"/>
      <c r="F188" s="76"/>
      <c r="G188" s="76"/>
      <c r="H188" s="76"/>
      <c r="I188" s="76"/>
      <c r="J188" s="76"/>
      <c r="K188" s="77"/>
      <c r="L188" s="77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</row>
    <row r="189">
      <c r="A189" s="75"/>
      <c r="B189" s="75"/>
      <c r="C189" s="75"/>
      <c r="D189" s="75"/>
      <c r="E189" s="76"/>
      <c r="F189" s="76"/>
      <c r="G189" s="76"/>
      <c r="H189" s="76"/>
      <c r="I189" s="76"/>
      <c r="J189" s="76"/>
      <c r="K189" s="77"/>
      <c r="L189" s="77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</row>
    <row r="190">
      <c r="A190" s="75"/>
      <c r="B190" s="75"/>
      <c r="C190" s="75"/>
      <c r="D190" s="75"/>
      <c r="E190" s="76"/>
      <c r="F190" s="76"/>
      <c r="G190" s="76"/>
      <c r="H190" s="76"/>
      <c r="I190" s="76"/>
      <c r="J190" s="76"/>
      <c r="K190" s="77"/>
      <c r="L190" s="77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</row>
    <row r="191">
      <c r="A191" s="75"/>
      <c r="B191" s="75"/>
      <c r="C191" s="75"/>
      <c r="D191" s="75"/>
      <c r="E191" s="76"/>
      <c r="F191" s="76"/>
      <c r="G191" s="76"/>
      <c r="H191" s="76"/>
      <c r="I191" s="76"/>
      <c r="J191" s="76"/>
      <c r="K191" s="77"/>
      <c r="L191" s="77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</row>
    <row r="192">
      <c r="A192" s="75"/>
      <c r="B192" s="75"/>
      <c r="C192" s="75"/>
      <c r="D192" s="75"/>
      <c r="E192" s="76"/>
      <c r="F192" s="76"/>
      <c r="G192" s="76"/>
      <c r="H192" s="76"/>
      <c r="I192" s="76"/>
      <c r="J192" s="76"/>
      <c r="K192" s="77"/>
      <c r="L192" s="77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</row>
    <row r="193">
      <c r="A193" s="75"/>
      <c r="B193" s="75"/>
      <c r="C193" s="75"/>
      <c r="D193" s="75"/>
      <c r="E193" s="76"/>
      <c r="F193" s="76"/>
      <c r="G193" s="76"/>
      <c r="H193" s="76"/>
      <c r="I193" s="76"/>
      <c r="J193" s="76"/>
      <c r="K193" s="77"/>
      <c r="L193" s="77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</row>
    <row r="194">
      <c r="A194" s="75"/>
      <c r="B194" s="75"/>
      <c r="C194" s="75"/>
      <c r="D194" s="75"/>
      <c r="E194" s="76"/>
      <c r="F194" s="76"/>
      <c r="G194" s="76"/>
      <c r="H194" s="76"/>
      <c r="I194" s="76"/>
      <c r="J194" s="76"/>
      <c r="K194" s="77"/>
      <c r="L194" s="77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</row>
    <row r="195">
      <c r="A195" s="75"/>
      <c r="B195" s="75"/>
      <c r="C195" s="75"/>
      <c r="D195" s="75"/>
      <c r="E195" s="76"/>
      <c r="F195" s="76"/>
      <c r="G195" s="76"/>
      <c r="H195" s="76"/>
      <c r="I195" s="76"/>
      <c r="J195" s="76"/>
      <c r="K195" s="77"/>
      <c r="L195" s="77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</row>
    <row r="196">
      <c r="A196" s="75"/>
      <c r="B196" s="75"/>
      <c r="C196" s="75"/>
      <c r="D196" s="75"/>
      <c r="E196" s="76"/>
      <c r="F196" s="76"/>
      <c r="G196" s="76"/>
      <c r="H196" s="76"/>
      <c r="I196" s="76"/>
      <c r="J196" s="76"/>
      <c r="K196" s="77"/>
      <c r="L196" s="77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</row>
    <row r="197">
      <c r="A197" s="75"/>
      <c r="B197" s="75"/>
      <c r="C197" s="75"/>
      <c r="D197" s="75"/>
      <c r="E197" s="76"/>
      <c r="F197" s="76"/>
      <c r="G197" s="76"/>
      <c r="H197" s="76"/>
      <c r="I197" s="76"/>
      <c r="J197" s="76"/>
      <c r="K197" s="77"/>
      <c r="L197" s="77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</row>
    <row r="198">
      <c r="A198" s="75"/>
      <c r="B198" s="75"/>
      <c r="C198" s="75"/>
      <c r="D198" s="75"/>
      <c r="E198" s="76"/>
      <c r="F198" s="76"/>
      <c r="G198" s="76"/>
      <c r="H198" s="76"/>
      <c r="I198" s="76"/>
      <c r="J198" s="76"/>
      <c r="K198" s="77"/>
      <c r="L198" s="77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</row>
    <row r="199">
      <c r="A199" s="75"/>
      <c r="B199" s="75"/>
      <c r="C199" s="75"/>
      <c r="D199" s="75"/>
      <c r="E199" s="76"/>
      <c r="F199" s="76"/>
      <c r="G199" s="76"/>
      <c r="H199" s="76"/>
      <c r="I199" s="76"/>
      <c r="J199" s="76"/>
      <c r="K199" s="77"/>
      <c r="L199" s="77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</row>
    <row r="200">
      <c r="A200" s="75"/>
      <c r="B200" s="75"/>
      <c r="C200" s="75"/>
      <c r="D200" s="75"/>
      <c r="E200" s="76"/>
      <c r="F200" s="76"/>
      <c r="G200" s="76"/>
      <c r="H200" s="76"/>
      <c r="I200" s="76"/>
      <c r="J200" s="76"/>
      <c r="K200" s="77"/>
      <c r="L200" s="77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</row>
    <row r="201">
      <c r="A201" s="75"/>
      <c r="B201" s="75"/>
      <c r="C201" s="75"/>
      <c r="D201" s="75"/>
      <c r="E201" s="76"/>
      <c r="F201" s="76"/>
      <c r="G201" s="76"/>
      <c r="H201" s="76"/>
      <c r="I201" s="76"/>
      <c r="J201" s="76"/>
      <c r="K201" s="77"/>
      <c r="L201" s="77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</row>
    <row r="202">
      <c r="A202" s="75"/>
      <c r="B202" s="75"/>
      <c r="C202" s="75"/>
      <c r="D202" s="75"/>
      <c r="E202" s="76"/>
      <c r="F202" s="76"/>
      <c r="G202" s="76"/>
      <c r="H202" s="76"/>
      <c r="I202" s="76"/>
      <c r="J202" s="76"/>
      <c r="K202" s="77"/>
      <c r="L202" s="77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</row>
    <row r="203">
      <c r="A203" s="75"/>
      <c r="B203" s="75"/>
      <c r="C203" s="75"/>
      <c r="D203" s="75"/>
      <c r="E203" s="76"/>
      <c r="F203" s="76"/>
      <c r="G203" s="76"/>
      <c r="H203" s="76"/>
      <c r="I203" s="76"/>
      <c r="J203" s="76"/>
      <c r="K203" s="77"/>
      <c r="L203" s="77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</row>
    <row r="204">
      <c r="A204" s="75"/>
      <c r="B204" s="75"/>
      <c r="C204" s="75"/>
      <c r="D204" s="75"/>
      <c r="E204" s="76"/>
      <c r="F204" s="76"/>
      <c r="G204" s="76"/>
      <c r="H204" s="76"/>
      <c r="I204" s="76"/>
      <c r="J204" s="76"/>
      <c r="K204" s="77"/>
      <c r="L204" s="77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</row>
    <row r="205">
      <c r="A205" s="75"/>
      <c r="B205" s="75"/>
      <c r="C205" s="75"/>
      <c r="D205" s="75"/>
      <c r="E205" s="76"/>
      <c r="F205" s="76"/>
      <c r="G205" s="76"/>
      <c r="H205" s="76"/>
      <c r="I205" s="76"/>
      <c r="J205" s="76"/>
      <c r="K205" s="77"/>
      <c r="L205" s="77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</row>
    <row r="206">
      <c r="A206" s="75"/>
      <c r="B206" s="75"/>
      <c r="C206" s="75"/>
      <c r="D206" s="75"/>
      <c r="E206" s="76"/>
      <c r="F206" s="76"/>
      <c r="G206" s="76"/>
      <c r="H206" s="76"/>
      <c r="I206" s="76"/>
      <c r="J206" s="76"/>
      <c r="K206" s="77"/>
      <c r="L206" s="77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</row>
    <row r="207">
      <c r="A207" s="75"/>
      <c r="B207" s="75"/>
      <c r="C207" s="75"/>
      <c r="D207" s="75"/>
      <c r="E207" s="76"/>
      <c r="F207" s="76"/>
      <c r="G207" s="76"/>
      <c r="H207" s="76"/>
      <c r="I207" s="76"/>
      <c r="J207" s="76"/>
      <c r="K207" s="77"/>
      <c r="L207" s="77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</row>
    <row r="208">
      <c r="A208" s="75"/>
      <c r="B208" s="75"/>
      <c r="C208" s="75"/>
      <c r="D208" s="75"/>
      <c r="E208" s="76"/>
      <c r="F208" s="76"/>
      <c r="G208" s="76"/>
      <c r="H208" s="76"/>
      <c r="I208" s="76"/>
      <c r="J208" s="76"/>
      <c r="K208" s="77"/>
      <c r="L208" s="77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</row>
    <row r="209">
      <c r="A209" s="75"/>
      <c r="B209" s="75"/>
      <c r="C209" s="75"/>
      <c r="D209" s="75"/>
      <c r="E209" s="76"/>
      <c r="F209" s="76"/>
      <c r="G209" s="76"/>
      <c r="H209" s="76"/>
      <c r="I209" s="76"/>
      <c r="J209" s="76"/>
      <c r="K209" s="77"/>
      <c r="L209" s="77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</row>
    <row r="210">
      <c r="A210" s="75"/>
      <c r="B210" s="75"/>
      <c r="C210" s="75"/>
      <c r="D210" s="75"/>
      <c r="E210" s="76"/>
      <c r="F210" s="76"/>
      <c r="G210" s="76"/>
      <c r="H210" s="76"/>
      <c r="I210" s="76"/>
      <c r="J210" s="76"/>
      <c r="K210" s="77"/>
      <c r="L210" s="77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</row>
    <row r="211">
      <c r="A211" s="75"/>
      <c r="B211" s="75"/>
      <c r="C211" s="75"/>
      <c r="D211" s="75"/>
      <c r="E211" s="76"/>
      <c r="F211" s="76"/>
      <c r="G211" s="76"/>
      <c r="H211" s="76"/>
      <c r="I211" s="76"/>
      <c r="J211" s="76"/>
      <c r="K211" s="77"/>
      <c r="L211" s="77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</row>
    <row r="212">
      <c r="A212" s="75"/>
      <c r="B212" s="75"/>
      <c r="C212" s="75"/>
      <c r="D212" s="75"/>
      <c r="E212" s="76"/>
      <c r="F212" s="76"/>
      <c r="G212" s="76"/>
      <c r="H212" s="76"/>
      <c r="I212" s="76"/>
      <c r="J212" s="76"/>
      <c r="K212" s="77"/>
      <c r="L212" s="77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</row>
    <row r="213">
      <c r="A213" s="75"/>
      <c r="B213" s="75"/>
      <c r="C213" s="75"/>
      <c r="D213" s="75"/>
      <c r="E213" s="76"/>
      <c r="F213" s="76"/>
      <c r="G213" s="76"/>
      <c r="H213" s="76"/>
      <c r="I213" s="76"/>
      <c r="J213" s="76"/>
      <c r="K213" s="77"/>
      <c r="L213" s="77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</row>
    <row r="214">
      <c r="A214" s="75"/>
      <c r="B214" s="75"/>
      <c r="C214" s="75"/>
      <c r="D214" s="75"/>
      <c r="E214" s="76"/>
      <c r="F214" s="76"/>
      <c r="G214" s="76"/>
      <c r="H214" s="76"/>
      <c r="I214" s="76"/>
      <c r="J214" s="76"/>
      <c r="K214" s="77"/>
      <c r="L214" s="77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</row>
    <row r="215">
      <c r="A215" s="75"/>
      <c r="B215" s="75"/>
      <c r="C215" s="75"/>
      <c r="D215" s="75"/>
      <c r="E215" s="76"/>
      <c r="F215" s="76"/>
      <c r="G215" s="76"/>
      <c r="H215" s="76"/>
      <c r="I215" s="76"/>
      <c r="J215" s="76"/>
      <c r="K215" s="77"/>
      <c r="L215" s="77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</row>
    <row r="216">
      <c r="A216" s="75"/>
      <c r="B216" s="75"/>
      <c r="C216" s="75"/>
      <c r="D216" s="75"/>
      <c r="E216" s="76"/>
      <c r="F216" s="76"/>
      <c r="G216" s="76"/>
      <c r="H216" s="76"/>
      <c r="I216" s="76"/>
      <c r="J216" s="76"/>
      <c r="K216" s="77"/>
      <c r="L216" s="77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</row>
    <row r="217">
      <c r="A217" s="75"/>
      <c r="B217" s="75"/>
      <c r="C217" s="75"/>
      <c r="D217" s="75"/>
      <c r="E217" s="76"/>
      <c r="F217" s="76"/>
      <c r="G217" s="76"/>
      <c r="H217" s="76"/>
      <c r="I217" s="76"/>
      <c r="J217" s="76"/>
      <c r="K217" s="77"/>
      <c r="L217" s="77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</row>
    <row r="218">
      <c r="A218" s="75"/>
      <c r="B218" s="75"/>
      <c r="C218" s="75"/>
      <c r="D218" s="75"/>
      <c r="E218" s="76"/>
      <c r="F218" s="76"/>
      <c r="G218" s="76"/>
      <c r="H218" s="76"/>
      <c r="I218" s="76"/>
      <c r="J218" s="76"/>
      <c r="K218" s="77"/>
      <c r="L218" s="77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</row>
    <row r="219">
      <c r="A219" s="75"/>
      <c r="B219" s="75"/>
      <c r="C219" s="75"/>
      <c r="D219" s="75"/>
      <c r="E219" s="76"/>
      <c r="F219" s="76"/>
      <c r="G219" s="76"/>
      <c r="H219" s="76"/>
      <c r="I219" s="76"/>
      <c r="J219" s="76"/>
      <c r="K219" s="77"/>
      <c r="L219" s="77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</row>
    <row r="220">
      <c r="A220" s="75"/>
      <c r="B220" s="75"/>
      <c r="C220" s="75"/>
      <c r="D220" s="75"/>
      <c r="E220" s="76"/>
      <c r="F220" s="76"/>
      <c r="G220" s="76"/>
      <c r="H220" s="76"/>
      <c r="I220" s="76"/>
      <c r="J220" s="76"/>
      <c r="K220" s="77"/>
      <c r="L220" s="77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</row>
    <row r="221">
      <c r="A221" s="75"/>
      <c r="B221" s="75"/>
      <c r="C221" s="75"/>
      <c r="D221" s="75"/>
      <c r="E221" s="76"/>
      <c r="F221" s="76"/>
      <c r="G221" s="76"/>
      <c r="H221" s="76"/>
      <c r="I221" s="76"/>
      <c r="J221" s="76"/>
      <c r="K221" s="77"/>
      <c r="L221" s="77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</row>
    <row r="222">
      <c r="A222" s="75"/>
      <c r="B222" s="75"/>
      <c r="C222" s="75"/>
      <c r="D222" s="75"/>
      <c r="E222" s="76"/>
      <c r="F222" s="76"/>
      <c r="G222" s="76"/>
      <c r="H222" s="76"/>
      <c r="I222" s="76"/>
      <c r="J222" s="76"/>
      <c r="K222" s="77"/>
      <c r="L222" s="77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</row>
    <row r="223">
      <c r="A223" s="75"/>
      <c r="B223" s="75"/>
      <c r="C223" s="75"/>
      <c r="D223" s="75"/>
      <c r="E223" s="76"/>
      <c r="F223" s="76"/>
      <c r="G223" s="76"/>
      <c r="H223" s="76"/>
      <c r="I223" s="76"/>
      <c r="J223" s="76"/>
      <c r="K223" s="77"/>
      <c r="L223" s="77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</row>
    <row r="224">
      <c r="A224" s="75"/>
      <c r="B224" s="75"/>
      <c r="C224" s="75"/>
      <c r="D224" s="75"/>
      <c r="E224" s="76"/>
      <c r="F224" s="76"/>
      <c r="G224" s="76"/>
      <c r="H224" s="76"/>
      <c r="I224" s="76"/>
      <c r="J224" s="76"/>
      <c r="K224" s="77"/>
      <c r="L224" s="77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</row>
    <row r="225">
      <c r="A225" s="75"/>
      <c r="B225" s="75"/>
      <c r="C225" s="75"/>
      <c r="D225" s="75"/>
      <c r="E225" s="76"/>
      <c r="F225" s="76"/>
      <c r="G225" s="76"/>
      <c r="H225" s="76"/>
      <c r="I225" s="76"/>
      <c r="J225" s="76"/>
      <c r="K225" s="77"/>
      <c r="L225" s="77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</row>
    <row r="226">
      <c r="A226" s="75"/>
      <c r="B226" s="75"/>
      <c r="C226" s="75"/>
      <c r="D226" s="75"/>
      <c r="E226" s="76"/>
      <c r="F226" s="76"/>
      <c r="G226" s="76"/>
      <c r="H226" s="76"/>
      <c r="I226" s="76"/>
      <c r="J226" s="76"/>
      <c r="K226" s="77"/>
      <c r="L226" s="77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</row>
    <row r="227">
      <c r="A227" s="75"/>
      <c r="B227" s="75"/>
      <c r="C227" s="75"/>
      <c r="D227" s="75"/>
      <c r="E227" s="76"/>
      <c r="F227" s="76"/>
      <c r="G227" s="76"/>
      <c r="H227" s="76"/>
      <c r="I227" s="76"/>
      <c r="J227" s="76"/>
      <c r="K227" s="77"/>
      <c r="L227" s="77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</row>
    <row r="228">
      <c r="A228" s="75"/>
      <c r="B228" s="75"/>
      <c r="C228" s="75"/>
      <c r="D228" s="75"/>
      <c r="E228" s="76"/>
      <c r="F228" s="76"/>
      <c r="G228" s="76"/>
      <c r="H228" s="76"/>
      <c r="I228" s="76"/>
      <c r="J228" s="76"/>
      <c r="K228" s="77"/>
      <c r="L228" s="77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</row>
    <row r="229">
      <c r="A229" s="75"/>
      <c r="B229" s="75"/>
      <c r="C229" s="75"/>
      <c r="D229" s="75"/>
      <c r="E229" s="76"/>
      <c r="F229" s="76"/>
      <c r="G229" s="76"/>
      <c r="H229" s="76"/>
      <c r="I229" s="76"/>
      <c r="J229" s="76"/>
      <c r="K229" s="77"/>
      <c r="L229" s="77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</row>
    <row r="230">
      <c r="A230" s="75"/>
      <c r="B230" s="75"/>
      <c r="C230" s="75"/>
      <c r="D230" s="75"/>
      <c r="E230" s="76"/>
      <c r="F230" s="76"/>
      <c r="G230" s="76"/>
      <c r="H230" s="76"/>
      <c r="I230" s="76"/>
      <c r="J230" s="76"/>
      <c r="K230" s="77"/>
      <c r="L230" s="77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</row>
    <row r="231">
      <c r="A231" s="75"/>
      <c r="B231" s="75"/>
      <c r="C231" s="75"/>
      <c r="D231" s="75"/>
      <c r="E231" s="76"/>
      <c r="F231" s="76"/>
      <c r="G231" s="76"/>
      <c r="H231" s="76"/>
      <c r="I231" s="76"/>
      <c r="J231" s="76"/>
      <c r="K231" s="77"/>
      <c r="L231" s="77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</row>
    <row r="232">
      <c r="A232" s="75"/>
      <c r="B232" s="75"/>
      <c r="C232" s="75"/>
      <c r="D232" s="75"/>
      <c r="E232" s="76"/>
      <c r="F232" s="76"/>
      <c r="G232" s="76"/>
      <c r="H232" s="76"/>
      <c r="I232" s="76"/>
      <c r="J232" s="76"/>
      <c r="K232" s="77"/>
      <c r="L232" s="77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</row>
    <row r="233">
      <c r="A233" s="75"/>
      <c r="B233" s="75"/>
      <c r="C233" s="75"/>
      <c r="D233" s="75"/>
      <c r="E233" s="76"/>
      <c r="F233" s="76"/>
      <c r="G233" s="76"/>
      <c r="H233" s="76"/>
      <c r="I233" s="76"/>
      <c r="J233" s="76"/>
      <c r="K233" s="77"/>
      <c r="L233" s="77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</row>
    <row r="234">
      <c r="A234" s="75"/>
      <c r="B234" s="75"/>
      <c r="C234" s="75"/>
      <c r="D234" s="75"/>
      <c r="E234" s="76"/>
      <c r="F234" s="76"/>
      <c r="G234" s="76"/>
      <c r="H234" s="76"/>
      <c r="I234" s="76"/>
      <c r="J234" s="76"/>
      <c r="K234" s="77"/>
      <c r="L234" s="77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</row>
    <row r="235">
      <c r="A235" s="75"/>
      <c r="B235" s="75"/>
      <c r="C235" s="75"/>
      <c r="D235" s="75"/>
      <c r="E235" s="76"/>
      <c r="F235" s="76"/>
      <c r="G235" s="76"/>
      <c r="H235" s="76"/>
      <c r="I235" s="76"/>
      <c r="J235" s="76"/>
      <c r="K235" s="77"/>
      <c r="L235" s="77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</row>
    <row r="236">
      <c r="A236" s="75"/>
      <c r="B236" s="75"/>
      <c r="C236" s="75"/>
      <c r="D236" s="75"/>
      <c r="E236" s="76"/>
      <c r="F236" s="76"/>
      <c r="G236" s="76"/>
      <c r="H236" s="76"/>
      <c r="I236" s="76"/>
      <c r="J236" s="76"/>
      <c r="K236" s="77"/>
      <c r="L236" s="77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</row>
    <row r="237">
      <c r="A237" s="75"/>
      <c r="B237" s="75"/>
      <c r="C237" s="75"/>
      <c r="D237" s="75"/>
      <c r="E237" s="76"/>
      <c r="F237" s="76"/>
      <c r="G237" s="76"/>
      <c r="H237" s="76"/>
      <c r="I237" s="76"/>
      <c r="J237" s="76"/>
      <c r="K237" s="77"/>
      <c r="L237" s="77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</row>
    <row r="238">
      <c r="A238" s="75"/>
      <c r="B238" s="75"/>
      <c r="C238" s="75"/>
      <c r="D238" s="75"/>
      <c r="E238" s="76"/>
      <c r="F238" s="76"/>
      <c r="G238" s="76"/>
      <c r="H238" s="76"/>
      <c r="I238" s="76"/>
      <c r="J238" s="76"/>
      <c r="K238" s="77"/>
      <c r="L238" s="77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</row>
    <row r="239">
      <c r="A239" s="75"/>
      <c r="B239" s="75"/>
      <c r="C239" s="75"/>
      <c r="D239" s="75"/>
      <c r="E239" s="76"/>
      <c r="F239" s="76"/>
      <c r="G239" s="76"/>
      <c r="H239" s="76"/>
      <c r="I239" s="76"/>
      <c r="J239" s="76"/>
      <c r="K239" s="77"/>
      <c r="L239" s="77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</row>
    <row r="240">
      <c r="A240" s="75"/>
      <c r="B240" s="75"/>
      <c r="C240" s="75"/>
      <c r="D240" s="75"/>
      <c r="E240" s="76"/>
      <c r="F240" s="76"/>
      <c r="G240" s="76"/>
      <c r="H240" s="76"/>
      <c r="I240" s="76"/>
      <c r="J240" s="76"/>
      <c r="K240" s="77"/>
      <c r="L240" s="77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</row>
    <row r="241">
      <c r="A241" s="75"/>
      <c r="B241" s="75"/>
      <c r="C241" s="75"/>
      <c r="D241" s="75"/>
      <c r="E241" s="76"/>
      <c r="F241" s="76"/>
      <c r="G241" s="76"/>
      <c r="H241" s="76"/>
      <c r="I241" s="76"/>
      <c r="J241" s="76"/>
      <c r="K241" s="77"/>
      <c r="L241" s="77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</row>
    <row r="242">
      <c r="A242" s="75"/>
      <c r="B242" s="75"/>
      <c r="C242" s="75"/>
      <c r="D242" s="75"/>
      <c r="E242" s="76"/>
      <c r="F242" s="76"/>
      <c r="G242" s="76"/>
      <c r="H242" s="76"/>
      <c r="I242" s="76"/>
      <c r="J242" s="76"/>
      <c r="K242" s="77"/>
      <c r="L242" s="77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</row>
    <row r="243">
      <c r="A243" s="75"/>
      <c r="B243" s="75"/>
      <c r="C243" s="75"/>
      <c r="D243" s="75"/>
      <c r="E243" s="76"/>
      <c r="F243" s="76"/>
      <c r="G243" s="76"/>
      <c r="H243" s="76"/>
      <c r="I243" s="76"/>
      <c r="J243" s="76"/>
      <c r="K243" s="77"/>
      <c r="L243" s="77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</row>
    <row r="244">
      <c r="A244" s="75"/>
      <c r="B244" s="75"/>
      <c r="C244" s="75"/>
      <c r="D244" s="75"/>
      <c r="E244" s="76"/>
      <c r="F244" s="76"/>
      <c r="G244" s="76"/>
      <c r="H244" s="76"/>
      <c r="I244" s="76"/>
      <c r="J244" s="76"/>
      <c r="K244" s="77"/>
      <c r="L244" s="77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</row>
    <row r="245">
      <c r="A245" s="75"/>
      <c r="B245" s="75"/>
      <c r="C245" s="75"/>
      <c r="D245" s="75"/>
      <c r="E245" s="76"/>
      <c r="F245" s="76"/>
      <c r="G245" s="76"/>
      <c r="H245" s="76"/>
      <c r="I245" s="76"/>
      <c r="J245" s="76"/>
      <c r="K245" s="77"/>
      <c r="L245" s="77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</row>
    <row r="246">
      <c r="A246" s="75"/>
      <c r="B246" s="75"/>
      <c r="C246" s="75"/>
      <c r="D246" s="75"/>
      <c r="E246" s="76"/>
      <c r="F246" s="76"/>
      <c r="G246" s="76"/>
      <c r="H246" s="76"/>
      <c r="I246" s="76"/>
      <c r="J246" s="76"/>
      <c r="K246" s="77"/>
      <c r="L246" s="77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</row>
    <row r="247">
      <c r="A247" s="75"/>
      <c r="B247" s="75"/>
      <c r="C247" s="75"/>
      <c r="D247" s="75"/>
      <c r="E247" s="76"/>
      <c r="F247" s="76"/>
      <c r="G247" s="76"/>
      <c r="H247" s="76"/>
      <c r="I247" s="76"/>
      <c r="J247" s="76"/>
      <c r="K247" s="77"/>
      <c r="L247" s="77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</row>
    <row r="248">
      <c r="A248" s="75"/>
      <c r="B248" s="75"/>
      <c r="C248" s="75"/>
      <c r="D248" s="75"/>
      <c r="E248" s="76"/>
      <c r="F248" s="76"/>
      <c r="G248" s="76"/>
      <c r="H248" s="76"/>
      <c r="I248" s="76"/>
      <c r="J248" s="76"/>
      <c r="K248" s="77"/>
      <c r="L248" s="77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</row>
    <row r="249">
      <c r="A249" s="75"/>
      <c r="B249" s="75"/>
      <c r="C249" s="75"/>
      <c r="D249" s="75"/>
      <c r="E249" s="76"/>
      <c r="F249" s="76"/>
      <c r="G249" s="76"/>
      <c r="H249" s="76"/>
      <c r="I249" s="76"/>
      <c r="J249" s="76"/>
      <c r="K249" s="77"/>
      <c r="L249" s="77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</row>
    <row r="250">
      <c r="A250" s="75"/>
      <c r="B250" s="75"/>
      <c r="C250" s="75"/>
      <c r="D250" s="75"/>
      <c r="E250" s="76"/>
      <c r="F250" s="76"/>
      <c r="G250" s="76"/>
      <c r="H250" s="76"/>
      <c r="I250" s="76"/>
      <c r="J250" s="76"/>
      <c r="K250" s="77"/>
      <c r="L250" s="77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</row>
    <row r="251">
      <c r="A251" s="75"/>
      <c r="B251" s="75"/>
      <c r="C251" s="75"/>
      <c r="D251" s="75"/>
      <c r="E251" s="76"/>
      <c r="F251" s="76"/>
      <c r="G251" s="76"/>
      <c r="H251" s="76"/>
      <c r="I251" s="76"/>
      <c r="J251" s="76"/>
      <c r="K251" s="77"/>
      <c r="L251" s="77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</row>
    <row r="252">
      <c r="A252" s="75"/>
      <c r="B252" s="75"/>
      <c r="C252" s="75"/>
      <c r="D252" s="75"/>
      <c r="E252" s="76"/>
      <c r="F252" s="76"/>
      <c r="G252" s="76"/>
      <c r="H252" s="76"/>
      <c r="I252" s="76"/>
      <c r="J252" s="76"/>
      <c r="K252" s="77"/>
      <c r="L252" s="77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</row>
    <row r="253">
      <c r="A253" s="75"/>
      <c r="B253" s="75"/>
      <c r="C253" s="75"/>
      <c r="D253" s="75"/>
      <c r="E253" s="76"/>
      <c r="F253" s="76"/>
      <c r="G253" s="76"/>
      <c r="H253" s="76"/>
      <c r="I253" s="76"/>
      <c r="J253" s="76"/>
      <c r="K253" s="77"/>
      <c r="L253" s="77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</row>
    <row r="254">
      <c r="A254" s="75"/>
      <c r="B254" s="75"/>
      <c r="C254" s="75"/>
      <c r="D254" s="75"/>
      <c r="E254" s="76"/>
      <c r="F254" s="76"/>
      <c r="G254" s="76"/>
      <c r="H254" s="76"/>
      <c r="I254" s="76"/>
      <c r="J254" s="76"/>
      <c r="K254" s="77"/>
      <c r="L254" s="77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</row>
    <row r="255">
      <c r="A255" s="75"/>
      <c r="B255" s="75"/>
      <c r="C255" s="75"/>
      <c r="D255" s="75"/>
      <c r="E255" s="76"/>
      <c r="F255" s="76"/>
      <c r="G255" s="76"/>
      <c r="H255" s="76"/>
      <c r="I255" s="76"/>
      <c r="J255" s="76"/>
      <c r="K255" s="77"/>
      <c r="L255" s="77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</row>
    <row r="256">
      <c r="A256" s="75"/>
      <c r="B256" s="75"/>
      <c r="C256" s="75"/>
      <c r="D256" s="75"/>
      <c r="E256" s="76"/>
      <c r="F256" s="76"/>
      <c r="G256" s="76"/>
      <c r="H256" s="76"/>
      <c r="I256" s="76"/>
      <c r="J256" s="76"/>
      <c r="K256" s="77"/>
      <c r="L256" s="77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</row>
    <row r="257">
      <c r="A257" s="75"/>
      <c r="B257" s="75"/>
      <c r="C257" s="75"/>
      <c r="D257" s="75"/>
      <c r="E257" s="76"/>
      <c r="F257" s="76"/>
      <c r="G257" s="76"/>
      <c r="H257" s="76"/>
      <c r="I257" s="76"/>
      <c r="J257" s="76"/>
      <c r="K257" s="77"/>
      <c r="L257" s="77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</row>
    <row r="258">
      <c r="A258" s="75"/>
      <c r="B258" s="75"/>
      <c r="C258" s="75"/>
      <c r="D258" s="75"/>
      <c r="E258" s="76"/>
      <c r="F258" s="76"/>
      <c r="G258" s="76"/>
      <c r="H258" s="76"/>
      <c r="I258" s="76"/>
      <c r="J258" s="76"/>
      <c r="K258" s="77"/>
      <c r="L258" s="77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</row>
    <row r="259">
      <c r="A259" s="75"/>
      <c r="B259" s="75"/>
      <c r="C259" s="75"/>
      <c r="D259" s="75"/>
      <c r="E259" s="76"/>
      <c r="F259" s="76"/>
      <c r="G259" s="76"/>
      <c r="H259" s="76"/>
      <c r="I259" s="76"/>
      <c r="J259" s="76"/>
      <c r="K259" s="77"/>
      <c r="L259" s="77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</row>
    <row r="260">
      <c r="A260" s="75"/>
      <c r="B260" s="75"/>
      <c r="C260" s="75"/>
      <c r="D260" s="75"/>
      <c r="E260" s="76"/>
      <c r="F260" s="76"/>
      <c r="G260" s="76"/>
      <c r="H260" s="76"/>
      <c r="I260" s="76"/>
      <c r="J260" s="76"/>
      <c r="K260" s="77"/>
      <c r="L260" s="77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</row>
    <row r="261">
      <c r="A261" s="75"/>
      <c r="B261" s="75"/>
      <c r="C261" s="75"/>
      <c r="D261" s="75"/>
      <c r="E261" s="76"/>
      <c r="F261" s="76"/>
      <c r="G261" s="76"/>
      <c r="H261" s="76"/>
      <c r="I261" s="76"/>
      <c r="J261" s="76"/>
      <c r="K261" s="77"/>
      <c r="L261" s="77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</row>
    <row r="262">
      <c r="A262" s="75"/>
      <c r="B262" s="75"/>
      <c r="C262" s="75"/>
      <c r="D262" s="75"/>
      <c r="E262" s="76"/>
      <c r="F262" s="76"/>
      <c r="G262" s="76"/>
      <c r="H262" s="76"/>
      <c r="I262" s="76"/>
      <c r="J262" s="76"/>
      <c r="K262" s="77"/>
      <c r="L262" s="77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</row>
    <row r="263">
      <c r="A263" s="75"/>
      <c r="B263" s="75"/>
      <c r="C263" s="75"/>
      <c r="D263" s="75"/>
      <c r="E263" s="76"/>
      <c r="F263" s="76"/>
      <c r="G263" s="76"/>
      <c r="H263" s="76"/>
      <c r="I263" s="76"/>
      <c r="J263" s="76"/>
      <c r="K263" s="77"/>
      <c r="L263" s="77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</row>
    <row r="264">
      <c r="A264" s="75"/>
      <c r="B264" s="75"/>
      <c r="C264" s="75"/>
      <c r="D264" s="75"/>
      <c r="E264" s="76"/>
      <c r="F264" s="76"/>
      <c r="G264" s="76"/>
      <c r="H264" s="76"/>
      <c r="I264" s="76"/>
      <c r="J264" s="76"/>
      <c r="K264" s="77"/>
      <c r="L264" s="77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</row>
    <row r="265">
      <c r="A265" s="75"/>
      <c r="B265" s="75"/>
      <c r="C265" s="75"/>
      <c r="D265" s="75"/>
      <c r="E265" s="76"/>
      <c r="F265" s="76"/>
      <c r="G265" s="76"/>
      <c r="H265" s="76"/>
      <c r="I265" s="76"/>
      <c r="J265" s="76"/>
      <c r="K265" s="77"/>
      <c r="L265" s="77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</row>
    <row r="266">
      <c r="A266" s="75"/>
      <c r="B266" s="75"/>
      <c r="C266" s="75"/>
      <c r="D266" s="75"/>
      <c r="E266" s="76"/>
      <c r="F266" s="76"/>
      <c r="G266" s="76"/>
      <c r="H266" s="76"/>
      <c r="I266" s="76"/>
      <c r="J266" s="76"/>
      <c r="K266" s="77"/>
      <c r="L266" s="77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</row>
    <row r="267">
      <c r="A267" s="75"/>
      <c r="B267" s="75"/>
      <c r="C267" s="75"/>
      <c r="D267" s="75"/>
      <c r="E267" s="76"/>
      <c r="F267" s="76"/>
      <c r="G267" s="76"/>
      <c r="H267" s="76"/>
      <c r="I267" s="76"/>
      <c r="J267" s="76"/>
      <c r="K267" s="77"/>
      <c r="L267" s="77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</row>
    <row r="268">
      <c r="A268" s="75"/>
      <c r="B268" s="75"/>
      <c r="C268" s="75"/>
      <c r="D268" s="75"/>
      <c r="E268" s="76"/>
      <c r="F268" s="76"/>
      <c r="G268" s="76"/>
      <c r="H268" s="76"/>
      <c r="I268" s="76"/>
      <c r="J268" s="76"/>
      <c r="K268" s="77"/>
      <c r="L268" s="77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</row>
    <row r="269">
      <c r="A269" s="75"/>
      <c r="B269" s="75"/>
      <c r="C269" s="75"/>
      <c r="D269" s="75"/>
      <c r="E269" s="76"/>
      <c r="F269" s="76"/>
      <c r="G269" s="76"/>
      <c r="H269" s="76"/>
      <c r="I269" s="76"/>
      <c r="J269" s="76"/>
      <c r="K269" s="77"/>
      <c r="L269" s="77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</row>
    <row r="270">
      <c r="A270" s="75"/>
      <c r="B270" s="75"/>
      <c r="C270" s="75"/>
      <c r="D270" s="75"/>
      <c r="E270" s="76"/>
      <c r="F270" s="76"/>
      <c r="G270" s="76"/>
      <c r="H270" s="76"/>
      <c r="I270" s="76"/>
      <c r="J270" s="76"/>
      <c r="K270" s="77"/>
      <c r="L270" s="77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</row>
    <row r="271">
      <c r="A271" s="75"/>
      <c r="B271" s="75"/>
      <c r="C271" s="75"/>
      <c r="D271" s="75"/>
      <c r="E271" s="76"/>
      <c r="F271" s="76"/>
      <c r="G271" s="76"/>
      <c r="H271" s="76"/>
      <c r="I271" s="76"/>
      <c r="J271" s="76"/>
      <c r="K271" s="77"/>
      <c r="L271" s="77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</row>
    <row r="272">
      <c r="A272" s="75"/>
      <c r="B272" s="75"/>
      <c r="C272" s="75"/>
      <c r="D272" s="75"/>
      <c r="E272" s="76"/>
      <c r="F272" s="76"/>
      <c r="G272" s="76"/>
      <c r="H272" s="76"/>
      <c r="I272" s="76"/>
      <c r="J272" s="76"/>
      <c r="K272" s="77"/>
      <c r="L272" s="77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</row>
    <row r="273">
      <c r="A273" s="75"/>
      <c r="B273" s="75"/>
      <c r="C273" s="75"/>
      <c r="D273" s="75"/>
      <c r="E273" s="76"/>
      <c r="F273" s="76"/>
      <c r="G273" s="76"/>
      <c r="H273" s="76"/>
      <c r="I273" s="76"/>
      <c r="J273" s="76"/>
      <c r="K273" s="77"/>
      <c r="L273" s="77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</row>
    <row r="274">
      <c r="A274" s="75"/>
      <c r="B274" s="75"/>
      <c r="C274" s="75"/>
      <c r="D274" s="75"/>
      <c r="E274" s="76"/>
      <c r="F274" s="76"/>
      <c r="G274" s="76"/>
      <c r="H274" s="76"/>
      <c r="I274" s="76"/>
      <c r="J274" s="76"/>
      <c r="K274" s="77"/>
      <c r="L274" s="77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</row>
    <row r="275">
      <c r="A275" s="75"/>
      <c r="B275" s="75"/>
      <c r="C275" s="75"/>
      <c r="D275" s="75"/>
      <c r="E275" s="76"/>
      <c r="F275" s="76"/>
      <c r="G275" s="76"/>
      <c r="H275" s="76"/>
      <c r="I275" s="76"/>
      <c r="J275" s="76"/>
      <c r="K275" s="77"/>
      <c r="L275" s="77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</row>
    <row r="276">
      <c r="A276" s="75"/>
      <c r="B276" s="75"/>
      <c r="C276" s="75"/>
      <c r="D276" s="75"/>
      <c r="E276" s="76"/>
      <c r="F276" s="76"/>
      <c r="G276" s="76"/>
      <c r="H276" s="76"/>
      <c r="I276" s="76"/>
      <c r="J276" s="76"/>
      <c r="K276" s="77"/>
      <c r="L276" s="77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</row>
    <row r="277">
      <c r="A277" s="75"/>
      <c r="B277" s="75"/>
      <c r="C277" s="75"/>
      <c r="D277" s="75"/>
      <c r="E277" s="76"/>
      <c r="F277" s="76"/>
      <c r="G277" s="76"/>
      <c r="H277" s="76"/>
      <c r="I277" s="76"/>
      <c r="J277" s="76"/>
      <c r="K277" s="77"/>
      <c r="L277" s="77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</row>
    <row r="278">
      <c r="A278" s="75"/>
      <c r="B278" s="75"/>
      <c r="C278" s="75"/>
      <c r="D278" s="75"/>
      <c r="E278" s="76"/>
      <c r="F278" s="76"/>
      <c r="G278" s="76"/>
      <c r="H278" s="76"/>
      <c r="I278" s="76"/>
      <c r="J278" s="76"/>
      <c r="K278" s="77"/>
      <c r="L278" s="77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</row>
    <row r="279">
      <c r="A279" s="75"/>
      <c r="B279" s="75"/>
      <c r="C279" s="75"/>
      <c r="D279" s="75"/>
      <c r="E279" s="76"/>
      <c r="F279" s="76"/>
      <c r="G279" s="76"/>
      <c r="H279" s="76"/>
      <c r="I279" s="76"/>
      <c r="J279" s="76"/>
      <c r="K279" s="77"/>
      <c r="L279" s="77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</row>
    <row r="280">
      <c r="A280" s="75"/>
      <c r="B280" s="75"/>
      <c r="C280" s="75"/>
      <c r="D280" s="75"/>
      <c r="E280" s="76"/>
      <c r="F280" s="76"/>
      <c r="G280" s="76"/>
      <c r="H280" s="76"/>
      <c r="I280" s="76"/>
      <c r="J280" s="76"/>
      <c r="K280" s="77"/>
      <c r="L280" s="77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</row>
    <row r="281">
      <c r="A281" s="75"/>
      <c r="B281" s="75"/>
      <c r="C281" s="75"/>
      <c r="D281" s="75"/>
      <c r="E281" s="76"/>
      <c r="F281" s="76"/>
      <c r="G281" s="76"/>
      <c r="H281" s="76"/>
      <c r="I281" s="76"/>
      <c r="J281" s="76"/>
      <c r="K281" s="77"/>
      <c r="L281" s="77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</row>
    <row r="282">
      <c r="A282" s="75"/>
      <c r="B282" s="75"/>
      <c r="C282" s="75"/>
      <c r="D282" s="75"/>
      <c r="E282" s="76"/>
      <c r="F282" s="76"/>
      <c r="G282" s="76"/>
      <c r="H282" s="76"/>
      <c r="I282" s="76"/>
      <c r="J282" s="76"/>
      <c r="K282" s="77"/>
      <c r="L282" s="77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</row>
    <row r="283">
      <c r="A283" s="75"/>
      <c r="B283" s="75"/>
      <c r="C283" s="75"/>
      <c r="D283" s="75"/>
      <c r="E283" s="76"/>
      <c r="F283" s="76"/>
      <c r="G283" s="76"/>
      <c r="H283" s="76"/>
      <c r="I283" s="76"/>
      <c r="J283" s="76"/>
      <c r="K283" s="77"/>
      <c r="L283" s="77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</row>
    <row r="284">
      <c r="A284" s="75"/>
      <c r="B284" s="75"/>
      <c r="C284" s="75"/>
      <c r="D284" s="75"/>
      <c r="E284" s="76"/>
      <c r="F284" s="76"/>
      <c r="G284" s="76"/>
      <c r="H284" s="76"/>
      <c r="I284" s="76"/>
      <c r="J284" s="76"/>
      <c r="K284" s="77"/>
      <c r="L284" s="77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</row>
    <row r="285">
      <c r="A285" s="75"/>
      <c r="B285" s="75"/>
      <c r="C285" s="75"/>
      <c r="D285" s="75"/>
      <c r="E285" s="76"/>
      <c r="F285" s="76"/>
      <c r="G285" s="76"/>
      <c r="H285" s="76"/>
      <c r="I285" s="76"/>
      <c r="J285" s="76"/>
      <c r="K285" s="77"/>
      <c r="L285" s="77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</row>
    <row r="286">
      <c r="A286" s="75"/>
      <c r="B286" s="75"/>
      <c r="C286" s="75"/>
      <c r="D286" s="75"/>
      <c r="E286" s="76"/>
      <c r="F286" s="76"/>
      <c r="G286" s="76"/>
      <c r="H286" s="76"/>
      <c r="I286" s="76"/>
      <c r="J286" s="76"/>
      <c r="K286" s="77"/>
      <c r="L286" s="77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</row>
    <row r="287">
      <c r="A287" s="75"/>
      <c r="B287" s="75"/>
      <c r="C287" s="75"/>
      <c r="D287" s="75"/>
      <c r="E287" s="76"/>
      <c r="F287" s="76"/>
      <c r="G287" s="76"/>
      <c r="H287" s="76"/>
      <c r="I287" s="76"/>
      <c r="J287" s="76"/>
      <c r="K287" s="77"/>
      <c r="L287" s="77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</row>
    <row r="288">
      <c r="A288" s="75"/>
      <c r="B288" s="75"/>
      <c r="C288" s="75"/>
      <c r="D288" s="75"/>
      <c r="E288" s="76"/>
      <c r="F288" s="76"/>
      <c r="G288" s="76"/>
      <c r="H288" s="76"/>
      <c r="I288" s="76"/>
      <c r="J288" s="76"/>
      <c r="K288" s="77"/>
      <c r="L288" s="77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</row>
    <row r="289">
      <c r="A289" s="75"/>
      <c r="B289" s="75"/>
      <c r="C289" s="75"/>
      <c r="D289" s="75"/>
      <c r="E289" s="76"/>
      <c r="F289" s="76"/>
      <c r="G289" s="76"/>
      <c r="H289" s="76"/>
      <c r="I289" s="76"/>
      <c r="J289" s="76"/>
      <c r="K289" s="77"/>
      <c r="L289" s="77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</row>
    <row r="290">
      <c r="A290" s="75"/>
      <c r="B290" s="75"/>
      <c r="C290" s="75"/>
      <c r="D290" s="75"/>
      <c r="E290" s="76"/>
      <c r="F290" s="76"/>
      <c r="G290" s="76"/>
      <c r="H290" s="76"/>
      <c r="I290" s="76"/>
      <c r="J290" s="76"/>
      <c r="K290" s="77"/>
      <c r="L290" s="77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</row>
    <row r="291">
      <c r="A291" s="75"/>
      <c r="B291" s="75"/>
      <c r="C291" s="75"/>
      <c r="D291" s="75"/>
      <c r="E291" s="76"/>
      <c r="F291" s="76"/>
      <c r="G291" s="76"/>
      <c r="H291" s="76"/>
      <c r="I291" s="76"/>
      <c r="J291" s="76"/>
      <c r="K291" s="77"/>
      <c r="L291" s="77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</row>
    <row r="292">
      <c r="A292" s="75"/>
      <c r="B292" s="75"/>
      <c r="C292" s="75"/>
      <c r="D292" s="75"/>
      <c r="E292" s="76"/>
      <c r="F292" s="76"/>
      <c r="G292" s="76"/>
      <c r="H292" s="76"/>
      <c r="I292" s="76"/>
      <c r="J292" s="76"/>
      <c r="K292" s="77"/>
      <c r="L292" s="77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</row>
    <row r="293">
      <c r="A293" s="75"/>
      <c r="B293" s="75"/>
      <c r="C293" s="75"/>
      <c r="D293" s="75"/>
      <c r="E293" s="76"/>
      <c r="F293" s="76"/>
      <c r="G293" s="76"/>
      <c r="H293" s="76"/>
      <c r="I293" s="76"/>
      <c r="J293" s="76"/>
      <c r="K293" s="77"/>
      <c r="L293" s="77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</row>
    <row r="294">
      <c r="A294" s="75"/>
      <c r="B294" s="75"/>
      <c r="C294" s="75"/>
      <c r="D294" s="75"/>
      <c r="E294" s="76"/>
      <c r="F294" s="76"/>
      <c r="G294" s="76"/>
      <c r="H294" s="76"/>
      <c r="I294" s="76"/>
      <c r="J294" s="76"/>
      <c r="K294" s="77"/>
      <c r="L294" s="77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</row>
    <row r="295">
      <c r="A295" s="75"/>
      <c r="B295" s="75"/>
      <c r="C295" s="75"/>
      <c r="D295" s="75"/>
      <c r="E295" s="76"/>
      <c r="F295" s="76"/>
      <c r="G295" s="76"/>
      <c r="H295" s="76"/>
      <c r="I295" s="76"/>
      <c r="J295" s="76"/>
      <c r="K295" s="77"/>
      <c r="L295" s="77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</row>
    <row r="296">
      <c r="A296" s="75"/>
      <c r="B296" s="75"/>
      <c r="C296" s="75"/>
      <c r="D296" s="75"/>
      <c r="E296" s="76"/>
      <c r="F296" s="76"/>
      <c r="G296" s="76"/>
      <c r="H296" s="76"/>
      <c r="I296" s="76"/>
      <c r="J296" s="76"/>
      <c r="K296" s="77"/>
      <c r="L296" s="77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</row>
    <row r="297">
      <c r="A297" s="75"/>
      <c r="B297" s="75"/>
      <c r="C297" s="75"/>
      <c r="D297" s="75"/>
      <c r="E297" s="76"/>
      <c r="F297" s="76"/>
      <c r="G297" s="76"/>
      <c r="H297" s="76"/>
      <c r="I297" s="76"/>
      <c r="J297" s="76"/>
      <c r="K297" s="77"/>
      <c r="L297" s="77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</row>
    <row r="298">
      <c r="A298" s="75"/>
      <c r="B298" s="75"/>
      <c r="C298" s="75"/>
      <c r="D298" s="75"/>
      <c r="E298" s="76"/>
      <c r="F298" s="76"/>
      <c r="G298" s="76"/>
      <c r="H298" s="76"/>
      <c r="I298" s="76"/>
      <c r="J298" s="76"/>
      <c r="K298" s="77"/>
      <c r="L298" s="77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</row>
    <row r="299">
      <c r="A299" s="75"/>
      <c r="B299" s="75"/>
      <c r="C299" s="75"/>
      <c r="D299" s="75"/>
      <c r="E299" s="76"/>
      <c r="F299" s="76"/>
      <c r="G299" s="76"/>
      <c r="H299" s="76"/>
      <c r="I299" s="76"/>
      <c r="J299" s="76"/>
      <c r="K299" s="77"/>
      <c r="L299" s="77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</row>
    <row r="300">
      <c r="A300" s="75"/>
      <c r="B300" s="75"/>
      <c r="C300" s="75"/>
      <c r="D300" s="75"/>
      <c r="E300" s="76"/>
      <c r="F300" s="76"/>
      <c r="G300" s="76"/>
      <c r="H300" s="76"/>
      <c r="I300" s="76"/>
      <c r="J300" s="76"/>
      <c r="K300" s="77"/>
      <c r="L300" s="77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</row>
    <row r="301">
      <c r="A301" s="75"/>
      <c r="B301" s="75"/>
      <c r="C301" s="75"/>
      <c r="D301" s="75"/>
      <c r="E301" s="76"/>
      <c r="F301" s="76"/>
      <c r="G301" s="76"/>
      <c r="H301" s="76"/>
      <c r="I301" s="76"/>
      <c r="J301" s="76"/>
      <c r="K301" s="77"/>
      <c r="L301" s="77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</row>
    <row r="302">
      <c r="A302" s="75"/>
      <c r="B302" s="75"/>
      <c r="C302" s="75"/>
      <c r="D302" s="75"/>
      <c r="E302" s="76"/>
      <c r="F302" s="76"/>
      <c r="G302" s="76"/>
      <c r="H302" s="76"/>
      <c r="I302" s="76"/>
      <c r="J302" s="76"/>
      <c r="K302" s="77"/>
      <c r="L302" s="77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</row>
    <row r="303">
      <c r="A303" s="75"/>
      <c r="B303" s="75"/>
      <c r="C303" s="75"/>
      <c r="D303" s="75"/>
      <c r="E303" s="76"/>
      <c r="F303" s="76"/>
      <c r="G303" s="76"/>
      <c r="H303" s="76"/>
      <c r="I303" s="76"/>
      <c r="J303" s="76"/>
      <c r="K303" s="77"/>
      <c r="L303" s="77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</row>
    <row r="304">
      <c r="A304" s="75"/>
      <c r="B304" s="75"/>
      <c r="C304" s="75"/>
      <c r="D304" s="75"/>
      <c r="E304" s="76"/>
      <c r="F304" s="76"/>
      <c r="G304" s="76"/>
      <c r="H304" s="76"/>
      <c r="I304" s="76"/>
      <c r="J304" s="76"/>
      <c r="K304" s="77"/>
      <c r="L304" s="77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</row>
    <row r="305">
      <c r="A305" s="75"/>
      <c r="B305" s="75"/>
      <c r="C305" s="75"/>
      <c r="D305" s="75"/>
      <c r="E305" s="76"/>
      <c r="F305" s="76"/>
      <c r="G305" s="76"/>
      <c r="H305" s="76"/>
      <c r="I305" s="76"/>
      <c r="J305" s="76"/>
      <c r="K305" s="77"/>
      <c r="L305" s="77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</row>
    <row r="306">
      <c r="A306" s="75"/>
      <c r="B306" s="75"/>
      <c r="C306" s="75"/>
      <c r="D306" s="75"/>
      <c r="E306" s="76"/>
      <c r="F306" s="76"/>
      <c r="G306" s="76"/>
      <c r="H306" s="76"/>
      <c r="I306" s="76"/>
      <c r="J306" s="76"/>
      <c r="K306" s="77"/>
      <c r="L306" s="77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</row>
    <row r="307">
      <c r="A307" s="75"/>
      <c r="B307" s="75"/>
      <c r="C307" s="75"/>
      <c r="D307" s="75"/>
      <c r="E307" s="76"/>
      <c r="F307" s="76"/>
      <c r="G307" s="76"/>
      <c r="H307" s="76"/>
      <c r="I307" s="76"/>
      <c r="J307" s="76"/>
      <c r="K307" s="77"/>
      <c r="L307" s="77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</row>
    <row r="308">
      <c r="A308" s="75"/>
      <c r="B308" s="75"/>
      <c r="C308" s="75"/>
      <c r="D308" s="75"/>
      <c r="E308" s="76"/>
      <c r="F308" s="76"/>
      <c r="G308" s="76"/>
      <c r="H308" s="76"/>
      <c r="I308" s="76"/>
      <c r="J308" s="76"/>
      <c r="K308" s="77"/>
      <c r="L308" s="77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</row>
    <row r="309">
      <c r="A309" s="75"/>
      <c r="B309" s="75"/>
      <c r="C309" s="75"/>
      <c r="D309" s="75"/>
      <c r="E309" s="76"/>
      <c r="F309" s="76"/>
      <c r="G309" s="76"/>
      <c r="H309" s="76"/>
      <c r="I309" s="76"/>
      <c r="J309" s="76"/>
      <c r="K309" s="77"/>
      <c r="L309" s="77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</row>
    <row r="310">
      <c r="A310" s="75"/>
      <c r="B310" s="75"/>
      <c r="C310" s="75"/>
      <c r="D310" s="75"/>
      <c r="E310" s="76"/>
      <c r="F310" s="76"/>
      <c r="G310" s="76"/>
      <c r="H310" s="76"/>
      <c r="I310" s="76"/>
      <c r="J310" s="76"/>
      <c r="K310" s="77"/>
      <c r="L310" s="77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</row>
    <row r="311">
      <c r="A311" s="75"/>
      <c r="B311" s="75"/>
      <c r="C311" s="75"/>
      <c r="D311" s="75"/>
      <c r="E311" s="76"/>
      <c r="F311" s="76"/>
      <c r="G311" s="76"/>
      <c r="H311" s="76"/>
      <c r="I311" s="76"/>
      <c r="J311" s="76"/>
      <c r="K311" s="77"/>
      <c r="L311" s="77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</row>
    <row r="312">
      <c r="A312" s="75"/>
      <c r="B312" s="75"/>
      <c r="C312" s="75"/>
      <c r="D312" s="75"/>
      <c r="E312" s="76"/>
      <c r="F312" s="76"/>
      <c r="G312" s="76"/>
      <c r="H312" s="76"/>
      <c r="I312" s="76"/>
      <c r="J312" s="76"/>
      <c r="K312" s="77"/>
      <c r="L312" s="77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</row>
    <row r="313">
      <c r="A313" s="75"/>
      <c r="B313" s="75"/>
      <c r="C313" s="75"/>
      <c r="D313" s="75"/>
      <c r="E313" s="76"/>
      <c r="F313" s="76"/>
      <c r="G313" s="76"/>
      <c r="H313" s="76"/>
      <c r="I313" s="76"/>
      <c r="J313" s="76"/>
      <c r="K313" s="77"/>
      <c r="L313" s="77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</row>
    <row r="314">
      <c r="A314" s="75"/>
      <c r="B314" s="75"/>
      <c r="C314" s="75"/>
      <c r="D314" s="75"/>
      <c r="E314" s="76"/>
      <c r="F314" s="76"/>
      <c r="G314" s="76"/>
      <c r="H314" s="76"/>
      <c r="I314" s="76"/>
      <c r="J314" s="76"/>
      <c r="K314" s="77"/>
      <c r="L314" s="77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</row>
    <row r="315">
      <c r="A315" s="75"/>
      <c r="B315" s="75"/>
      <c r="C315" s="75"/>
      <c r="D315" s="75"/>
      <c r="E315" s="76"/>
      <c r="F315" s="76"/>
      <c r="G315" s="76"/>
      <c r="H315" s="76"/>
      <c r="I315" s="76"/>
      <c r="J315" s="76"/>
      <c r="K315" s="77"/>
      <c r="L315" s="77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</row>
    <row r="316">
      <c r="A316" s="75"/>
      <c r="B316" s="75"/>
      <c r="C316" s="75"/>
      <c r="D316" s="75"/>
      <c r="E316" s="76"/>
      <c r="F316" s="76"/>
      <c r="G316" s="76"/>
      <c r="H316" s="76"/>
      <c r="I316" s="76"/>
      <c r="J316" s="76"/>
      <c r="K316" s="77"/>
      <c r="L316" s="77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</row>
    <row r="317">
      <c r="A317" s="75"/>
      <c r="B317" s="75"/>
      <c r="C317" s="75"/>
      <c r="D317" s="75"/>
      <c r="E317" s="76"/>
      <c r="F317" s="76"/>
      <c r="G317" s="76"/>
      <c r="H317" s="76"/>
      <c r="I317" s="76"/>
      <c r="J317" s="76"/>
      <c r="K317" s="77"/>
      <c r="L317" s="77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</row>
    <row r="318">
      <c r="A318" s="75"/>
      <c r="B318" s="75"/>
      <c r="C318" s="75"/>
      <c r="D318" s="75"/>
      <c r="E318" s="76"/>
      <c r="F318" s="76"/>
      <c r="G318" s="76"/>
      <c r="H318" s="76"/>
      <c r="I318" s="76"/>
      <c r="J318" s="76"/>
      <c r="K318" s="77"/>
      <c r="L318" s="77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</row>
    <row r="319">
      <c r="A319" s="75"/>
      <c r="B319" s="75"/>
      <c r="C319" s="75"/>
      <c r="D319" s="75"/>
      <c r="E319" s="76"/>
      <c r="F319" s="76"/>
      <c r="G319" s="76"/>
      <c r="H319" s="76"/>
      <c r="I319" s="76"/>
      <c r="J319" s="76"/>
      <c r="K319" s="77"/>
      <c r="L319" s="77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</row>
    <row r="320">
      <c r="A320" s="75"/>
      <c r="B320" s="75"/>
      <c r="C320" s="75"/>
      <c r="D320" s="75"/>
      <c r="E320" s="76"/>
      <c r="F320" s="76"/>
      <c r="G320" s="76"/>
      <c r="H320" s="76"/>
      <c r="I320" s="76"/>
      <c r="J320" s="76"/>
      <c r="K320" s="77"/>
      <c r="L320" s="77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</row>
    <row r="321">
      <c r="A321" s="75"/>
      <c r="B321" s="75"/>
      <c r="C321" s="75"/>
      <c r="D321" s="75"/>
      <c r="E321" s="76"/>
      <c r="F321" s="76"/>
      <c r="G321" s="76"/>
      <c r="H321" s="76"/>
      <c r="I321" s="76"/>
      <c r="J321" s="76"/>
      <c r="K321" s="77"/>
      <c r="L321" s="77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</row>
    <row r="322">
      <c r="A322" s="75"/>
      <c r="B322" s="75"/>
      <c r="C322" s="75"/>
      <c r="D322" s="75"/>
      <c r="E322" s="76"/>
      <c r="F322" s="76"/>
      <c r="G322" s="76"/>
      <c r="H322" s="76"/>
      <c r="I322" s="76"/>
      <c r="J322" s="76"/>
      <c r="K322" s="77"/>
      <c r="L322" s="77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</row>
    <row r="323">
      <c r="A323" s="75"/>
      <c r="B323" s="75"/>
      <c r="C323" s="75"/>
      <c r="D323" s="75"/>
      <c r="E323" s="76"/>
      <c r="F323" s="76"/>
      <c r="G323" s="76"/>
      <c r="H323" s="76"/>
      <c r="I323" s="76"/>
      <c r="J323" s="76"/>
      <c r="K323" s="77"/>
      <c r="L323" s="77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</row>
    <row r="324">
      <c r="A324" s="75"/>
      <c r="B324" s="75"/>
      <c r="C324" s="75"/>
      <c r="D324" s="75"/>
      <c r="E324" s="76"/>
      <c r="F324" s="76"/>
      <c r="G324" s="76"/>
      <c r="H324" s="76"/>
      <c r="I324" s="76"/>
      <c r="J324" s="76"/>
      <c r="K324" s="77"/>
      <c r="L324" s="77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</row>
    <row r="325">
      <c r="A325" s="75"/>
      <c r="B325" s="75"/>
      <c r="C325" s="75"/>
      <c r="D325" s="75"/>
      <c r="E325" s="76"/>
      <c r="F325" s="76"/>
      <c r="G325" s="76"/>
      <c r="H325" s="76"/>
      <c r="I325" s="76"/>
      <c r="J325" s="76"/>
      <c r="K325" s="77"/>
      <c r="L325" s="77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</row>
    <row r="326">
      <c r="A326" s="75"/>
      <c r="B326" s="75"/>
      <c r="C326" s="75"/>
      <c r="D326" s="75"/>
      <c r="E326" s="76"/>
      <c r="F326" s="76"/>
      <c r="G326" s="76"/>
      <c r="H326" s="76"/>
      <c r="I326" s="76"/>
      <c r="J326" s="76"/>
      <c r="K326" s="77"/>
      <c r="L326" s="77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</row>
    <row r="327">
      <c r="A327" s="75"/>
      <c r="B327" s="75"/>
      <c r="C327" s="75"/>
      <c r="D327" s="75"/>
      <c r="E327" s="76"/>
      <c r="F327" s="76"/>
      <c r="G327" s="76"/>
      <c r="H327" s="76"/>
      <c r="I327" s="76"/>
      <c r="J327" s="76"/>
      <c r="K327" s="77"/>
      <c r="L327" s="77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</row>
    <row r="328">
      <c r="A328" s="75"/>
      <c r="B328" s="75"/>
      <c r="C328" s="75"/>
      <c r="D328" s="75"/>
      <c r="E328" s="76"/>
      <c r="F328" s="76"/>
      <c r="G328" s="76"/>
      <c r="H328" s="76"/>
      <c r="I328" s="76"/>
      <c r="J328" s="76"/>
      <c r="K328" s="77"/>
      <c r="L328" s="77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</row>
    <row r="329">
      <c r="A329" s="75"/>
      <c r="B329" s="75"/>
      <c r="C329" s="75"/>
      <c r="D329" s="75"/>
      <c r="E329" s="76"/>
      <c r="F329" s="76"/>
      <c r="G329" s="76"/>
      <c r="H329" s="76"/>
      <c r="I329" s="76"/>
      <c r="J329" s="76"/>
      <c r="K329" s="77"/>
      <c r="L329" s="77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</row>
    <row r="330">
      <c r="A330" s="75"/>
      <c r="B330" s="75"/>
      <c r="C330" s="75"/>
      <c r="D330" s="75"/>
      <c r="E330" s="76"/>
      <c r="F330" s="76"/>
      <c r="G330" s="76"/>
      <c r="H330" s="76"/>
      <c r="I330" s="76"/>
      <c r="J330" s="76"/>
      <c r="K330" s="77"/>
      <c r="L330" s="77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</row>
    <row r="331">
      <c r="A331" s="75"/>
      <c r="B331" s="75"/>
      <c r="C331" s="75"/>
      <c r="D331" s="75"/>
      <c r="E331" s="76"/>
      <c r="F331" s="76"/>
      <c r="G331" s="76"/>
      <c r="H331" s="76"/>
      <c r="I331" s="76"/>
      <c r="J331" s="76"/>
      <c r="K331" s="77"/>
      <c r="L331" s="77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</row>
    <row r="332">
      <c r="A332" s="75"/>
      <c r="B332" s="75"/>
      <c r="C332" s="75"/>
      <c r="D332" s="75"/>
      <c r="E332" s="76"/>
      <c r="F332" s="76"/>
      <c r="G332" s="76"/>
      <c r="H332" s="76"/>
      <c r="I332" s="76"/>
      <c r="J332" s="76"/>
      <c r="K332" s="77"/>
      <c r="L332" s="77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</row>
    <row r="333">
      <c r="A333" s="75"/>
      <c r="B333" s="75"/>
      <c r="C333" s="75"/>
      <c r="D333" s="75"/>
      <c r="E333" s="76"/>
      <c r="F333" s="76"/>
      <c r="G333" s="76"/>
      <c r="H333" s="76"/>
      <c r="I333" s="76"/>
      <c r="J333" s="76"/>
      <c r="K333" s="77"/>
      <c r="L333" s="77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</row>
    <row r="334">
      <c r="A334" s="75"/>
      <c r="B334" s="75"/>
      <c r="C334" s="75"/>
      <c r="D334" s="75"/>
      <c r="E334" s="76"/>
      <c r="F334" s="76"/>
      <c r="G334" s="76"/>
      <c r="H334" s="76"/>
      <c r="I334" s="76"/>
      <c r="J334" s="76"/>
      <c r="K334" s="77"/>
      <c r="L334" s="77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</row>
    <row r="335">
      <c r="A335" s="75"/>
      <c r="B335" s="75"/>
      <c r="C335" s="75"/>
      <c r="D335" s="75"/>
      <c r="E335" s="76"/>
      <c r="F335" s="76"/>
      <c r="G335" s="76"/>
      <c r="H335" s="76"/>
      <c r="I335" s="76"/>
      <c r="J335" s="76"/>
      <c r="K335" s="77"/>
      <c r="L335" s="77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</row>
    <row r="336">
      <c r="A336" s="75"/>
      <c r="B336" s="75"/>
      <c r="C336" s="75"/>
      <c r="D336" s="75"/>
      <c r="E336" s="76"/>
      <c r="F336" s="76"/>
      <c r="G336" s="76"/>
      <c r="H336" s="76"/>
      <c r="I336" s="76"/>
      <c r="J336" s="76"/>
      <c r="K336" s="77"/>
      <c r="L336" s="77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</row>
    <row r="337">
      <c r="A337" s="75"/>
      <c r="B337" s="75"/>
      <c r="C337" s="75"/>
      <c r="D337" s="75"/>
      <c r="E337" s="76"/>
      <c r="F337" s="76"/>
      <c r="G337" s="76"/>
      <c r="H337" s="76"/>
      <c r="I337" s="76"/>
      <c r="J337" s="76"/>
      <c r="K337" s="77"/>
      <c r="L337" s="77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</row>
    <row r="338">
      <c r="A338" s="75"/>
      <c r="B338" s="75"/>
      <c r="C338" s="75"/>
      <c r="D338" s="75"/>
      <c r="E338" s="76"/>
      <c r="F338" s="76"/>
      <c r="G338" s="76"/>
      <c r="H338" s="76"/>
      <c r="I338" s="76"/>
      <c r="J338" s="76"/>
      <c r="K338" s="77"/>
      <c r="L338" s="77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</row>
    <row r="339">
      <c r="A339" s="75"/>
      <c r="B339" s="75"/>
      <c r="C339" s="75"/>
      <c r="D339" s="75"/>
      <c r="E339" s="76"/>
      <c r="F339" s="76"/>
      <c r="G339" s="76"/>
      <c r="H339" s="76"/>
      <c r="I339" s="76"/>
      <c r="J339" s="76"/>
      <c r="K339" s="77"/>
      <c r="L339" s="77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</row>
    <row r="340">
      <c r="A340" s="75"/>
      <c r="B340" s="75"/>
      <c r="C340" s="75"/>
      <c r="D340" s="75"/>
      <c r="E340" s="76"/>
      <c r="F340" s="76"/>
      <c r="G340" s="76"/>
      <c r="H340" s="76"/>
      <c r="I340" s="76"/>
      <c r="J340" s="76"/>
      <c r="K340" s="77"/>
      <c r="L340" s="77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</row>
    <row r="341">
      <c r="A341" s="75"/>
      <c r="B341" s="75"/>
      <c r="C341" s="75"/>
      <c r="D341" s="75"/>
      <c r="E341" s="76"/>
      <c r="F341" s="76"/>
      <c r="G341" s="76"/>
      <c r="H341" s="76"/>
      <c r="I341" s="76"/>
      <c r="J341" s="76"/>
      <c r="K341" s="77"/>
      <c r="L341" s="77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</row>
    <row r="342">
      <c r="A342" s="75"/>
      <c r="B342" s="75"/>
      <c r="C342" s="75"/>
      <c r="D342" s="75"/>
      <c r="E342" s="76"/>
      <c r="F342" s="76"/>
      <c r="G342" s="76"/>
      <c r="H342" s="76"/>
      <c r="I342" s="76"/>
      <c r="J342" s="76"/>
      <c r="K342" s="77"/>
      <c r="L342" s="77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</row>
    <row r="343">
      <c r="A343" s="75"/>
      <c r="B343" s="75"/>
      <c r="C343" s="75"/>
      <c r="D343" s="75"/>
      <c r="E343" s="76"/>
      <c r="F343" s="76"/>
      <c r="G343" s="76"/>
      <c r="H343" s="76"/>
      <c r="I343" s="76"/>
      <c r="J343" s="76"/>
      <c r="K343" s="77"/>
      <c r="L343" s="77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</row>
    <row r="344">
      <c r="A344" s="75"/>
      <c r="B344" s="75"/>
      <c r="C344" s="75"/>
      <c r="D344" s="75"/>
      <c r="E344" s="76"/>
      <c r="F344" s="76"/>
      <c r="G344" s="76"/>
      <c r="H344" s="76"/>
      <c r="I344" s="76"/>
      <c r="J344" s="76"/>
      <c r="K344" s="77"/>
      <c r="L344" s="77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</row>
    <row r="345">
      <c r="A345" s="75"/>
      <c r="B345" s="75"/>
      <c r="C345" s="75"/>
      <c r="D345" s="75"/>
      <c r="E345" s="76"/>
      <c r="F345" s="76"/>
      <c r="G345" s="76"/>
      <c r="H345" s="76"/>
      <c r="I345" s="76"/>
      <c r="J345" s="76"/>
      <c r="K345" s="77"/>
      <c r="L345" s="77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</row>
    <row r="346">
      <c r="A346" s="75"/>
      <c r="B346" s="75"/>
      <c r="C346" s="75"/>
      <c r="D346" s="75"/>
      <c r="E346" s="76"/>
      <c r="F346" s="76"/>
      <c r="G346" s="76"/>
      <c r="H346" s="76"/>
      <c r="I346" s="76"/>
      <c r="J346" s="76"/>
      <c r="K346" s="77"/>
      <c r="L346" s="77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</row>
    <row r="347">
      <c r="A347" s="75"/>
      <c r="B347" s="75"/>
      <c r="C347" s="75"/>
      <c r="D347" s="75"/>
      <c r="E347" s="76"/>
      <c r="F347" s="76"/>
      <c r="G347" s="76"/>
      <c r="H347" s="76"/>
      <c r="I347" s="76"/>
      <c r="J347" s="76"/>
      <c r="K347" s="77"/>
      <c r="L347" s="77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</row>
    <row r="348">
      <c r="A348" s="75"/>
      <c r="B348" s="75"/>
      <c r="C348" s="75"/>
      <c r="D348" s="75"/>
      <c r="E348" s="76"/>
      <c r="F348" s="76"/>
      <c r="G348" s="76"/>
      <c r="H348" s="76"/>
      <c r="I348" s="76"/>
      <c r="J348" s="76"/>
      <c r="K348" s="77"/>
      <c r="L348" s="77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</row>
    <row r="349">
      <c r="A349" s="75"/>
      <c r="B349" s="75"/>
      <c r="C349" s="75"/>
      <c r="D349" s="75"/>
      <c r="E349" s="76"/>
      <c r="F349" s="76"/>
      <c r="G349" s="76"/>
      <c r="H349" s="76"/>
      <c r="I349" s="76"/>
      <c r="J349" s="76"/>
      <c r="K349" s="77"/>
      <c r="L349" s="77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</row>
    <row r="350">
      <c r="A350" s="75"/>
      <c r="B350" s="75"/>
      <c r="C350" s="75"/>
      <c r="D350" s="75"/>
      <c r="E350" s="76"/>
      <c r="F350" s="76"/>
      <c r="G350" s="76"/>
      <c r="H350" s="76"/>
      <c r="I350" s="76"/>
      <c r="J350" s="76"/>
      <c r="K350" s="77"/>
      <c r="L350" s="77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</row>
    <row r="351">
      <c r="A351" s="75"/>
      <c r="B351" s="75"/>
      <c r="C351" s="75"/>
      <c r="D351" s="75"/>
      <c r="E351" s="76"/>
      <c r="F351" s="76"/>
      <c r="G351" s="76"/>
      <c r="H351" s="76"/>
      <c r="I351" s="76"/>
      <c r="J351" s="76"/>
      <c r="K351" s="77"/>
      <c r="L351" s="77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</row>
    <row r="352">
      <c r="A352" s="75"/>
      <c r="B352" s="75"/>
      <c r="C352" s="75"/>
      <c r="D352" s="75"/>
      <c r="E352" s="76"/>
      <c r="F352" s="76"/>
      <c r="G352" s="76"/>
      <c r="H352" s="76"/>
      <c r="I352" s="76"/>
      <c r="J352" s="76"/>
      <c r="K352" s="77"/>
      <c r="L352" s="77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</row>
    <row r="353">
      <c r="A353" s="75"/>
      <c r="B353" s="75"/>
      <c r="C353" s="75"/>
      <c r="D353" s="75"/>
      <c r="E353" s="76"/>
      <c r="F353" s="76"/>
      <c r="G353" s="76"/>
      <c r="H353" s="76"/>
      <c r="I353" s="76"/>
      <c r="J353" s="76"/>
      <c r="K353" s="77"/>
      <c r="L353" s="77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</row>
    <row r="354">
      <c r="A354" s="75"/>
      <c r="B354" s="75"/>
      <c r="C354" s="75"/>
      <c r="D354" s="75"/>
      <c r="E354" s="76"/>
      <c r="F354" s="76"/>
      <c r="G354" s="76"/>
      <c r="H354" s="76"/>
      <c r="I354" s="76"/>
      <c r="J354" s="76"/>
      <c r="K354" s="77"/>
      <c r="L354" s="77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</row>
    <row r="355">
      <c r="A355" s="75"/>
      <c r="B355" s="75"/>
      <c r="C355" s="75"/>
      <c r="D355" s="75"/>
      <c r="E355" s="76"/>
      <c r="F355" s="76"/>
      <c r="G355" s="76"/>
      <c r="H355" s="76"/>
      <c r="I355" s="76"/>
      <c r="J355" s="76"/>
      <c r="K355" s="77"/>
      <c r="L355" s="77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</row>
    <row r="356">
      <c r="A356" s="75"/>
      <c r="B356" s="75"/>
      <c r="C356" s="75"/>
      <c r="D356" s="75"/>
      <c r="E356" s="76"/>
      <c r="F356" s="76"/>
      <c r="G356" s="76"/>
      <c r="H356" s="76"/>
      <c r="I356" s="76"/>
      <c r="J356" s="76"/>
      <c r="K356" s="77"/>
      <c r="L356" s="77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</row>
    <row r="357">
      <c r="A357" s="75"/>
      <c r="B357" s="75"/>
      <c r="C357" s="75"/>
      <c r="D357" s="75"/>
      <c r="E357" s="76"/>
      <c r="F357" s="76"/>
      <c r="G357" s="76"/>
      <c r="H357" s="76"/>
      <c r="I357" s="76"/>
      <c r="J357" s="76"/>
      <c r="K357" s="77"/>
      <c r="L357" s="77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</row>
    <row r="358">
      <c r="A358" s="75"/>
      <c r="B358" s="75"/>
      <c r="C358" s="75"/>
      <c r="D358" s="75"/>
      <c r="E358" s="76"/>
      <c r="F358" s="76"/>
      <c r="G358" s="76"/>
      <c r="H358" s="76"/>
      <c r="I358" s="76"/>
      <c r="J358" s="76"/>
      <c r="K358" s="77"/>
      <c r="L358" s="77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</row>
    <row r="359">
      <c r="A359" s="75"/>
      <c r="B359" s="75"/>
      <c r="C359" s="75"/>
      <c r="D359" s="75"/>
      <c r="E359" s="76"/>
      <c r="F359" s="76"/>
      <c r="G359" s="76"/>
      <c r="H359" s="76"/>
      <c r="I359" s="76"/>
      <c r="J359" s="76"/>
      <c r="K359" s="77"/>
      <c r="L359" s="77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</row>
    <row r="360">
      <c r="A360" s="75"/>
      <c r="B360" s="75"/>
      <c r="C360" s="75"/>
      <c r="D360" s="75"/>
      <c r="E360" s="76"/>
      <c r="F360" s="76"/>
      <c r="G360" s="76"/>
      <c r="H360" s="76"/>
      <c r="I360" s="76"/>
      <c r="J360" s="76"/>
      <c r="K360" s="77"/>
      <c r="L360" s="77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</row>
    <row r="361">
      <c r="A361" s="75"/>
      <c r="B361" s="75"/>
      <c r="C361" s="75"/>
      <c r="D361" s="75"/>
      <c r="E361" s="76"/>
      <c r="F361" s="76"/>
      <c r="G361" s="76"/>
      <c r="H361" s="76"/>
      <c r="I361" s="76"/>
      <c r="J361" s="76"/>
      <c r="K361" s="77"/>
      <c r="L361" s="77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</row>
    <row r="362">
      <c r="A362" s="75"/>
      <c r="B362" s="75"/>
      <c r="C362" s="75"/>
      <c r="D362" s="75"/>
      <c r="E362" s="76"/>
      <c r="F362" s="76"/>
      <c r="G362" s="76"/>
      <c r="H362" s="76"/>
      <c r="I362" s="76"/>
      <c r="J362" s="76"/>
      <c r="K362" s="77"/>
      <c r="L362" s="77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</row>
    <row r="363">
      <c r="A363" s="75"/>
      <c r="B363" s="75"/>
      <c r="C363" s="75"/>
      <c r="D363" s="75"/>
      <c r="E363" s="76"/>
      <c r="F363" s="76"/>
      <c r="G363" s="76"/>
      <c r="H363" s="76"/>
      <c r="I363" s="76"/>
      <c r="J363" s="76"/>
      <c r="K363" s="77"/>
      <c r="L363" s="77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</row>
    <row r="364">
      <c r="A364" s="75"/>
      <c r="B364" s="75"/>
      <c r="C364" s="75"/>
      <c r="D364" s="75"/>
      <c r="E364" s="76"/>
      <c r="F364" s="76"/>
      <c r="G364" s="76"/>
      <c r="H364" s="76"/>
      <c r="I364" s="76"/>
      <c r="J364" s="76"/>
      <c r="K364" s="77"/>
      <c r="L364" s="77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</row>
    <row r="365">
      <c r="A365" s="75"/>
      <c r="B365" s="75"/>
      <c r="C365" s="75"/>
      <c r="D365" s="75"/>
      <c r="E365" s="76"/>
      <c r="F365" s="76"/>
      <c r="G365" s="76"/>
      <c r="H365" s="76"/>
      <c r="I365" s="76"/>
      <c r="J365" s="76"/>
      <c r="K365" s="77"/>
      <c r="L365" s="77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</row>
    <row r="366">
      <c r="A366" s="75"/>
      <c r="B366" s="75"/>
      <c r="C366" s="75"/>
      <c r="D366" s="75"/>
      <c r="E366" s="76"/>
      <c r="F366" s="76"/>
      <c r="G366" s="76"/>
      <c r="H366" s="76"/>
      <c r="I366" s="76"/>
      <c r="J366" s="76"/>
      <c r="K366" s="77"/>
      <c r="L366" s="77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</row>
    <row r="367">
      <c r="A367" s="75"/>
      <c r="B367" s="75"/>
      <c r="C367" s="75"/>
      <c r="D367" s="75"/>
      <c r="E367" s="76"/>
      <c r="F367" s="76"/>
      <c r="G367" s="76"/>
      <c r="H367" s="76"/>
      <c r="I367" s="76"/>
      <c r="J367" s="76"/>
      <c r="K367" s="77"/>
      <c r="L367" s="77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</row>
    <row r="368">
      <c r="A368" s="75"/>
      <c r="B368" s="75"/>
      <c r="C368" s="75"/>
      <c r="D368" s="75"/>
      <c r="E368" s="76"/>
      <c r="F368" s="76"/>
      <c r="G368" s="76"/>
      <c r="H368" s="76"/>
      <c r="I368" s="76"/>
      <c r="J368" s="76"/>
      <c r="K368" s="77"/>
      <c r="L368" s="77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</row>
    <row r="369">
      <c r="A369" s="75"/>
      <c r="B369" s="75"/>
      <c r="C369" s="75"/>
      <c r="D369" s="75"/>
      <c r="E369" s="76"/>
      <c r="F369" s="76"/>
      <c r="G369" s="76"/>
      <c r="H369" s="76"/>
      <c r="I369" s="76"/>
      <c r="J369" s="76"/>
      <c r="K369" s="77"/>
      <c r="L369" s="77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</row>
    <row r="370">
      <c r="A370" s="75"/>
      <c r="B370" s="75"/>
      <c r="C370" s="75"/>
      <c r="D370" s="75"/>
      <c r="E370" s="76"/>
      <c r="F370" s="76"/>
      <c r="G370" s="76"/>
      <c r="H370" s="76"/>
      <c r="I370" s="76"/>
      <c r="J370" s="76"/>
      <c r="K370" s="77"/>
      <c r="L370" s="77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</row>
    <row r="371">
      <c r="A371" s="75"/>
      <c r="B371" s="75"/>
      <c r="C371" s="75"/>
      <c r="D371" s="75"/>
      <c r="E371" s="76"/>
      <c r="F371" s="76"/>
      <c r="G371" s="76"/>
      <c r="H371" s="76"/>
      <c r="I371" s="76"/>
      <c r="J371" s="76"/>
      <c r="K371" s="77"/>
      <c r="L371" s="77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</row>
    <row r="372">
      <c r="A372" s="75"/>
      <c r="B372" s="75"/>
      <c r="C372" s="75"/>
      <c r="D372" s="75"/>
      <c r="E372" s="76"/>
      <c r="F372" s="76"/>
      <c r="G372" s="76"/>
      <c r="H372" s="76"/>
      <c r="I372" s="76"/>
      <c r="J372" s="76"/>
      <c r="K372" s="77"/>
      <c r="L372" s="77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</row>
    <row r="373">
      <c r="A373" s="75"/>
      <c r="B373" s="75"/>
      <c r="C373" s="75"/>
      <c r="D373" s="75"/>
      <c r="E373" s="76"/>
      <c r="F373" s="76"/>
      <c r="G373" s="76"/>
      <c r="H373" s="76"/>
      <c r="I373" s="76"/>
      <c r="J373" s="76"/>
      <c r="K373" s="77"/>
      <c r="L373" s="77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</row>
    <row r="374">
      <c r="A374" s="75"/>
      <c r="B374" s="75"/>
      <c r="C374" s="75"/>
      <c r="D374" s="75"/>
      <c r="E374" s="76"/>
      <c r="F374" s="76"/>
      <c r="G374" s="76"/>
      <c r="H374" s="76"/>
      <c r="I374" s="76"/>
      <c r="J374" s="76"/>
      <c r="K374" s="77"/>
      <c r="L374" s="77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</row>
    <row r="375">
      <c r="A375" s="75"/>
      <c r="B375" s="75"/>
      <c r="C375" s="75"/>
      <c r="D375" s="75"/>
      <c r="E375" s="76"/>
      <c r="F375" s="76"/>
      <c r="G375" s="76"/>
      <c r="H375" s="76"/>
      <c r="I375" s="76"/>
      <c r="J375" s="76"/>
      <c r="K375" s="77"/>
      <c r="L375" s="77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</row>
    <row r="376">
      <c r="A376" s="75"/>
      <c r="B376" s="75"/>
      <c r="C376" s="75"/>
      <c r="D376" s="75"/>
      <c r="E376" s="76"/>
      <c r="F376" s="76"/>
      <c r="G376" s="76"/>
      <c r="H376" s="76"/>
      <c r="I376" s="76"/>
      <c r="J376" s="76"/>
      <c r="K376" s="77"/>
      <c r="L376" s="77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</row>
    <row r="377">
      <c r="A377" s="75"/>
      <c r="B377" s="75"/>
      <c r="C377" s="75"/>
      <c r="D377" s="75"/>
      <c r="E377" s="76"/>
      <c r="F377" s="76"/>
      <c r="G377" s="76"/>
      <c r="H377" s="76"/>
      <c r="I377" s="76"/>
      <c r="J377" s="76"/>
      <c r="K377" s="77"/>
      <c r="L377" s="77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</row>
    <row r="378">
      <c r="A378" s="75"/>
      <c r="B378" s="75"/>
      <c r="C378" s="75"/>
      <c r="D378" s="75"/>
      <c r="E378" s="76"/>
      <c r="F378" s="76"/>
      <c r="G378" s="76"/>
      <c r="H378" s="76"/>
      <c r="I378" s="76"/>
      <c r="J378" s="76"/>
      <c r="K378" s="77"/>
      <c r="L378" s="77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</row>
    <row r="379">
      <c r="A379" s="75"/>
      <c r="B379" s="75"/>
      <c r="C379" s="75"/>
      <c r="D379" s="75"/>
      <c r="E379" s="76"/>
      <c r="F379" s="76"/>
      <c r="G379" s="76"/>
      <c r="H379" s="76"/>
      <c r="I379" s="76"/>
      <c r="J379" s="76"/>
      <c r="K379" s="77"/>
      <c r="L379" s="77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</row>
    <row r="380">
      <c r="A380" s="75"/>
      <c r="B380" s="75"/>
      <c r="C380" s="75"/>
      <c r="D380" s="75"/>
      <c r="E380" s="76"/>
      <c r="F380" s="76"/>
      <c r="G380" s="76"/>
      <c r="H380" s="76"/>
      <c r="I380" s="76"/>
      <c r="J380" s="76"/>
      <c r="K380" s="77"/>
      <c r="L380" s="77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</row>
    <row r="381">
      <c r="A381" s="75"/>
      <c r="B381" s="75"/>
      <c r="C381" s="75"/>
      <c r="D381" s="75"/>
      <c r="E381" s="76"/>
      <c r="F381" s="76"/>
      <c r="G381" s="76"/>
      <c r="H381" s="76"/>
      <c r="I381" s="76"/>
      <c r="J381" s="76"/>
      <c r="K381" s="77"/>
      <c r="L381" s="77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</row>
    <row r="382">
      <c r="A382" s="75"/>
      <c r="B382" s="75"/>
      <c r="C382" s="75"/>
      <c r="D382" s="75"/>
      <c r="E382" s="76"/>
      <c r="F382" s="76"/>
      <c r="G382" s="76"/>
      <c r="H382" s="76"/>
      <c r="I382" s="76"/>
      <c r="J382" s="76"/>
      <c r="K382" s="77"/>
      <c r="L382" s="77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</row>
    <row r="383">
      <c r="A383" s="75"/>
      <c r="B383" s="75"/>
      <c r="C383" s="75"/>
      <c r="D383" s="75"/>
      <c r="E383" s="76"/>
      <c r="F383" s="76"/>
      <c r="G383" s="76"/>
      <c r="H383" s="76"/>
      <c r="I383" s="76"/>
      <c r="J383" s="76"/>
      <c r="K383" s="77"/>
      <c r="L383" s="77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</row>
    <row r="384">
      <c r="A384" s="75"/>
      <c r="B384" s="75"/>
      <c r="C384" s="75"/>
      <c r="D384" s="75"/>
      <c r="E384" s="76"/>
      <c r="F384" s="76"/>
      <c r="G384" s="76"/>
      <c r="H384" s="76"/>
      <c r="I384" s="76"/>
      <c r="J384" s="76"/>
      <c r="K384" s="77"/>
      <c r="L384" s="77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</row>
    <row r="385">
      <c r="A385" s="75"/>
      <c r="B385" s="75"/>
      <c r="C385" s="75"/>
      <c r="D385" s="75"/>
      <c r="E385" s="76"/>
      <c r="F385" s="76"/>
      <c r="G385" s="76"/>
      <c r="H385" s="76"/>
      <c r="I385" s="76"/>
      <c r="J385" s="76"/>
      <c r="K385" s="77"/>
      <c r="L385" s="77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</row>
    <row r="386">
      <c r="A386" s="75"/>
      <c r="B386" s="75"/>
      <c r="C386" s="75"/>
      <c r="D386" s="75"/>
      <c r="E386" s="76"/>
      <c r="F386" s="76"/>
      <c r="G386" s="76"/>
      <c r="H386" s="76"/>
      <c r="I386" s="76"/>
      <c r="J386" s="76"/>
      <c r="K386" s="77"/>
      <c r="L386" s="77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</row>
    <row r="387">
      <c r="A387" s="75"/>
      <c r="B387" s="75"/>
      <c r="C387" s="75"/>
      <c r="D387" s="75"/>
      <c r="E387" s="76"/>
      <c r="F387" s="76"/>
      <c r="G387" s="76"/>
      <c r="H387" s="76"/>
      <c r="I387" s="76"/>
      <c r="J387" s="76"/>
      <c r="K387" s="77"/>
      <c r="L387" s="77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</row>
    <row r="388">
      <c r="A388" s="75"/>
      <c r="B388" s="75"/>
      <c r="C388" s="75"/>
      <c r="D388" s="75"/>
      <c r="E388" s="76"/>
      <c r="F388" s="76"/>
      <c r="G388" s="76"/>
      <c r="H388" s="76"/>
      <c r="I388" s="76"/>
      <c r="J388" s="76"/>
      <c r="K388" s="77"/>
      <c r="L388" s="77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</row>
    <row r="389">
      <c r="A389" s="75"/>
      <c r="B389" s="75"/>
      <c r="C389" s="75"/>
      <c r="D389" s="75"/>
      <c r="E389" s="76"/>
      <c r="F389" s="76"/>
      <c r="G389" s="76"/>
      <c r="H389" s="76"/>
      <c r="I389" s="76"/>
      <c r="J389" s="76"/>
      <c r="K389" s="77"/>
      <c r="L389" s="77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</row>
    <row r="390">
      <c r="A390" s="75"/>
      <c r="B390" s="75"/>
      <c r="C390" s="75"/>
      <c r="D390" s="75"/>
      <c r="E390" s="76"/>
      <c r="F390" s="76"/>
      <c r="G390" s="76"/>
      <c r="H390" s="76"/>
      <c r="I390" s="76"/>
      <c r="J390" s="76"/>
      <c r="K390" s="77"/>
      <c r="L390" s="77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</row>
    <row r="391">
      <c r="A391" s="75"/>
      <c r="B391" s="75"/>
      <c r="C391" s="75"/>
      <c r="D391" s="75"/>
      <c r="E391" s="76"/>
      <c r="F391" s="76"/>
      <c r="G391" s="76"/>
      <c r="H391" s="76"/>
      <c r="I391" s="76"/>
      <c r="J391" s="76"/>
      <c r="K391" s="77"/>
      <c r="L391" s="77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</row>
    <row r="392">
      <c r="A392" s="75"/>
      <c r="B392" s="75"/>
      <c r="C392" s="75"/>
      <c r="D392" s="75"/>
      <c r="E392" s="76"/>
      <c r="F392" s="76"/>
      <c r="G392" s="76"/>
      <c r="H392" s="76"/>
      <c r="I392" s="76"/>
      <c r="J392" s="76"/>
      <c r="K392" s="77"/>
      <c r="L392" s="77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</row>
    <row r="393">
      <c r="A393" s="75"/>
      <c r="B393" s="75"/>
      <c r="C393" s="75"/>
      <c r="D393" s="75"/>
      <c r="E393" s="76"/>
      <c r="F393" s="76"/>
      <c r="G393" s="76"/>
      <c r="H393" s="76"/>
      <c r="I393" s="76"/>
      <c r="J393" s="76"/>
      <c r="K393" s="77"/>
      <c r="L393" s="77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</row>
    <row r="394">
      <c r="A394" s="75"/>
      <c r="B394" s="75"/>
      <c r="C394" s="75"/>
      <c r="D394" s="75"/>
      <c r="E394" s="76"/>
      <c r="F394" s="76"/>
      <c r="G394" s="76"/>
      <c r="H394" s="76"/>
      <c r="I394" s="76"/>
      <c r="J394" s="76"/>
      <c r="K394" s="77"/>
      <c r="L394" s="77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</row>
    <row r="395">
      <c r="A395" s="75"/>
      <c r="B395" s="75"/>
      <c r="C395" s="75"/>
      <c r="D395" s="75"/>
      <c r="E395" s="76"/>
      <c r="F395" s="76"/>
      <c r="G395" s="76"/>
      <c r="H395" s="76"/>
      <c r="I395" s="76"/>
      <c r="J395" s="76"/>
      <c r="K395" s="77"/>
      <c r="L395" s="77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</row>
    <row r="396">
      <c r="A396" s="75"/>
      <c r="B396" s="75"/>
      <c r="C396" s="75"/>
      <c r="D396" s="75"/>
      <c r="E396" s="76"/>
      <c r="F396" s="76"/>
      <c r="G396" s="76"/>
      <c r="H396" s="76"/>
      <c r="I396" s="76"/>
      <c r="J396" s="76"/>
      <c r="K396" s="77"/>
      <c r="L396" s="77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</row>
    <row r="397">
      <c r="A397" s="75"/>
      <c r="B397" s="75"/>
      <c r="C397" s="75"/>
      <c r="D397" s="75"/>
      <c r="E397" s="76"/>
      <c r="F397" s="76"/>
      <c r="G397" s="76"/>
      <c r="H397" s="76"/>
      <c r="I397" s="76"/>
      <c r="J397" s="76"/>
      <c r="K397" s="77"/>
      <c r="L397" s="77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</row>
    <row r="398">
      <c r="A398" s="75"/>
      <c r="B398" s="75"/>
      <c r="C398" s="75"/>
      <c r="D398" s="75"/>
      <c r="E398" s="76"/>
      <c r="F398" s="76"/>
      <c r="G398" s="76"/>
      <c r="H398" s="76"/>
      <c r="I398" s="76"/>
      <c r="J398" s="76"/>
      <c r="K398" s="77"/>
      <c r="L398" s="77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</row>
    <row r="399">
      <c r="A399" s="75"/>
      <c r="B399" s="75"/>
      <c r="C399" s="75"/>
      <c r="D399" s="75"/>
      <c r="E399" s="76"/>
      <c r="F399" s="76"/>
      <c r="G399" s="76"/>
      <c r="H399" s="76"/>
      <c r="I399" s="76"/>
      <c r="J399" s="76"/>
      <c r="K399" s="77"/>
      <c r="L399" s="77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</row>
    <row r="400">
      <c r="A400" s="75"/>
      <c r="B400" s="75"/>
      <c r="C400" s="75"/>
      <c r="D400" s="75"/>
      <c r="E400" s="76"/>
      <c r="F400" s="76"/>
      <c r="G400" s="76"/>
      <c r="H400" s="76"/>
      <c r="I400" s="76"/>
      <c r="J400" s="76"/>
      <c r="K400" s="77"/>
      <c r="L400" s="77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</row>
    <row r="401">
      <c r="A401" s="75"/>
      <c r="B401" s="75"/>
      <c r="C401" s="75"/>
      <c r="D401" s="75"/>
      <c r="E401" s="76"/>
      <c r="F401" s="76"/>
      <c r="G401" s="76"/>
      <c r="H401" s="76"/>
      <c r="I401" s="76"/>
      <c r="J401" s="76"/>
      <c r="K401" s="77"/>
      <c r="L401" s="77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</row>
    <row r="402">
      <c r="A402" s="75"/>
      <c r="B402" s="75"/>
      <c r="C402" s="75"/>
      <c r="D402" s="75"/>
      <c r="E402" s="76"/>
      <c r="F402" s="76"/>
      <c r="G402" s="76"/>
      <c r="H402" s="76"/>
      <c r="I402" s="76"/>
      <c r="J402" s="76"/>
      <c r="K402" s="77"/>
      <c r="L402" s="77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</row>
    <row r="403">
      <c r="A403" s="75"/>
      <c r="B403" s="75"/>
      <c r="C403" s="75"/>
      <c r="D403" s="75"/>
      <c r="E403" s="76"/>
      <c r="F403" s="76"/>
      <c r="G403" s="76"/>
      <c r="H403" s="76"/>
      <c r="I403" s="76"/>
      <c r="J403" s="76"/>
      <c r="K403" s="77"/>
      <c r="L403" s="77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</row>
    <row r="404">
      <c r="A404" s="75"/>
      <c r="B404" s="75"/>
      <c r="C404" s="75"/>
      <c r="D404" s="75"/>
      <c r="E404" s="76"/>
      <c r="F404" s="76"/>
      <c r="G404" s="76"/>
      <c r="H404" s="76"/>
      <c r="I404" s="76"/>
      <c r="J404" s="76"/>
      <c r="K404" s="77"/>
      <c r="L404" s="77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</row>
    <row r="405">
      <c r="A405" s="75"/>
      <c r="B405" s="75"/>
      <c r="C405" s="75"/>
      <c r="D405" s="75"/>
      <c r="E405" s="76"/>
      <c r="F405" s="76"/>
      <c r="G405" s="76"/>
      <c r="H405" s="76"/>
      <c r="I405" s="76"/>
      <c r="J405" s="76"/>
      <c r="K405" s="77"/>
      <c r="L405" s="77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</row>
    <row r="406">
      <c r="A406" s="75"/>
      <c r="B406" s="75"/>
      <c r="C406" s="75"/>
      <c r="D406" s="75"/>
      <c r="E406" s="76"/>
      <c r="F406" s="76"/>
      <c r="G406" s="76"/>
      <c r="H406" s="76"/>
      <c r="I406" s="76"/>
      <c r="J406" s="76"/>
      <c r="K406" s="77"/>
      <c r="L406" s="77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</row>
    <row r="407">
      <c r="A407" s="75"/>
      <c r="B407" s="75"/>
      <c r="C407" s="75"/>
      <c r="D407" s="75"/>
      <c r="E407" s="76"/>
      <c r="F407" s="76"/>
      <c r="G407" s="76"/>
      <c r="H407" s="76"/>
      <c r="I407" s="76"/>
      <c r="J407" s="76"/>
      <c r="K407" s="77"/>
      <c r="L407" s="77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</row>
    <row r="408">
      <c r="A408" s="75"/>
      <c r="B408" s="75"/>
      <c r="C408" s="75"/>
      <c r="D408" s="75"/>
      <c r="E408" s="76"/>
      <c r="F408" s="76"/>
      <c r="G408" s="76"/>
      <c r="H408" s="76"/>
      <c r="I408" s="76"/>
      <c r="J408" s="76"/>
      <c r="K408" s="77"/>
      <c r="L408" s="77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</row>
    <row r="409">
      <c r="A409" s="75"/>
      <c r="B409" s="75"/>
      <c r="C409" s="75"/>
      <c r="D409" s="75"/>
      <c r="E409" s="76"/>
      <c r="F409" s="76"/>
      <c r="G409" s="76"/>
      <c r="H409" s="76"/>
      <c r="I409" s="76"/>
      <c r="J409" s="76"/>
      <c r="K409" s="77"/>
      <c r="L409" s="77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</row>
    <row r="410">
      <c r="A410" s="75"/>
      <c r="B410" s="75"/>
      <c r="C410" s="75"/>
      <c r="D410" s="75"/>
      <c r="E410" s="76"/>
      <c r="F410" s="76"/>
      <c r="G410" s="76"/>
      <c r="H410" s="76"/>
      <c r="I410" s="76"/>
      <c r="J410" s="76"/>
      <c r="K410" s="77"/>
      <c r="L410" s="77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</row>
    <row r="411">
      <c r="A411" s="75"/>
      <c r="B411" s="75"/>
      <c r="C411" s="75"/>
      <c r="D411" s="75"/>
      <c r="E411" s="76"/>
      <c r="F411" s="76"/>
      <c r="G411" s="76"/>
      <c r="H411" s="76"/>
      <c r="I411" s="76"/>
      <c r="J411" s="76"/>
      <c r="K411" s="77"/>
      <c r="L411" s="77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</row>
    <row r="412">
      <c r="A412" s="75"/>
      <c r="B412" s="75"/>
      <c r="C412" s="75"/>
      <c r="D412" s="75"/>
      <c r="E412" s="76"/>
      <c r="F412" s="76"/>
      <c r="G412" s="76"/>
      <c r="H412" s="76"/>
      <c r="I412" s="76"/>
      <c r="J412" s="76"/>
      <c r="K412" s="77"/>
      <c r="L412" s="77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</row>
    <row r="413">
      <c r="A413" s="75"/>
      <c r="B413" s="75"/>
      <c r="C413" s="75"/>
      <c r="D413" s="75"/>
      <c r="E413" s="76"/>
      <c r="F413" s="76"/>
      <c r="G413" s="76"/>
      <c r="H413" s="76"/>
      <c r="I413" s="76"/>
      <c r="J413" s="76"/>
      <c r="K413" s="77"/>
      <c r="L413" s="77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</row>
    <row r="414">
      <c r="A414" s="75"/>
      <c r="B414" s="75"/>
      <c r="C414" s="75"/>
      <c r="D414" s="75"/>
      <c r="E414" s="76"/>
      <c r="F414" s="76"/>
      <c r="G414" s="76"/>
      <c r="H414" s="76"/>
      <c r="I414" s="76"/>
      <c r="J414" s="76"/>
      <c r="K414" s="77"/>
      <c r="L414" s="77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</row>
    <row r="415">
      <c r="A415" s="75"/>
      <c r="B415" s="75"/>
      <c r="C415" s="75"/>
      <c r="D415" s="75"/>
      <c r="E415" s="76"/>
      <c r="F415" s="76"/>
      <c r="G415" s="76"/>
      <c r="H415" s="76"/>
      <c r="I415" s="76"/>
      <c r="J415" s="76"/>
      <c r="K415" s="77"/>
      <c r="L415" s="77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</row>
    <row r="416">
      <c r="A416" s="75"/>
      <c r="B416" s="75"/>
      <c r="C416" s="75"/>
      <c r="D416" s="75"/>
      <c r="E416" s="76"/>
      <c r="F416" s="76"/>
      <c r="G416" s="76"/>
      <c r="H416" s="76"/>
      <c r="I416" s="76"/>
      <c r="J416" s="76"/>
      <c r="K416" s="77"/>
      <c r="L416" s="77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</row>
    <row r="417">
      <c r="A417" s="75"/>
      <c r="B417" s="75"/>
      <c r="C417" s="75"/>
      <c r="D417" s="75"/>
      <c r="E417" s="76"/>
      <c r="F417" s="76"/>
      <c r="G417" s="76"/>
      <c r="H417" s="76"/>
      <c r="I417" s="76"/>
      <c r="J417" s="76"/>
      <c r="K417" s="77"/>
      <c r="L417" s="77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</row>
    <row r="418">
      <c r="A418" s="75"/>
      <c r="B418" s="75"/>
      <c r="C418" s="75"/>
      <c r="D418" s="75"/>
      <c r="E418" s="76"/>
      <c r="F418" s="76"/>
      <c r="G418" s="76"/>
      <c r="H418" s="76"/>
      <c r="I418" s="76"/>
      <c r="J418" s="76"/>
      <c r="K418" s="77"/>
      <c r="L418" s="77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</row>
    <row r="419">
      <c r="A419" s="75"/>
      <c r="B419" s="75"/>
      <c r="C419" s="75"/>
      <c r="D419" s="75"/>
      <c r="E419" s="76"/>
      <c r="F419" s="76"/>
      <c r="G419" s="76"/>
      <c r="H419" s="76"/>
      <c r="I419" s="76"/>
      <c r="J419" s="76"/>
      <c r="K419" s="77"/>
      <c r="L419" s="77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</row>
    <row r="420">
      <c r="A420" s="75"/>
      <c r="B420" s="75"/>
      <c r="C420" s="75"/>
      <c r="D420" s="75"/>
      <c r="E420" s="76"/>
      <c r="F420" s="76"/>
      <c r="G420" s="76"/>
      <c r="H420" s="76"/>
      <c r="I420" s="76"/>
      <c r="J420" s="76"/>
      <c r="K420" s="77"/>
      <c r="L420" s="77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</row>
    <row r="421">
      <c r="A421" s="75"/>
      <c r="B421" s="75"/>
      <c r="C421" s="75"/>
      <c r="D421" s="75"/>
      <c r="E421" s="76"/>
      <c r="F421" s="76"/>
      <c r="G421" s="76"/>
      <c r="H421" s="76"/>
      <c r="I421" s="76"/>
      <c r="J421" s="76"/>
      <c r="K421" s="77"/>
      <c r="L421" s="77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</row>
    <row r="422">
      <c r="A422" s="75"/>
      <c r="B422" s="75"/>
      <c r="C422" s="75"/>
      <c r="D422" s="75"/>
      <c r="E422" s="76"/>
      <c r="F422" s="76"/>
      <c r="G422" s="76"/>
      <c r="H422" s="76"/>
      <c r="I422" s="76"/>
      <c r="J422" s="76"/>
      <c r="K422" s="77"/>
      <c r="L422" s="77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</row>
    <row r="423">
      <c r="A423" s="75"/>
      <c r="B423" s="75"/>
      <c r="C423" s="75"/>
      <c r="D423" s="75"/>
      <c r="E423" s="76"/>
      <c r="F423" s="76"/>
      <c r="G423" s="76"/>
      <c r="H423" s="76"/>
      <c r="I423" s="76"/>
      <c r="J423" s="76"/>
      <c r="K423" s="77"/>
      <c r="L423" s="77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</row>
    <row r="424">
      <c r="A424" s="75"/>
      <c r="B424" s="75"/>
      <c r="C424" s="75"/>
      <c r="D424" s="75"/>
      <c r="E424" s="76"/>
      <c r="F424" s="76"/>
      <c r="G424" s="76"/>
      <c r="H424" s="76"/>
      <c r="I424" s="76"/>
      <c r="J424" s="76"/>
      <c r="K424" s="77"/>
      <c r="L424" s="77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</row>
    <row r="425">
      <c r="A425" s="75"/>
      <c r="B425" s="75"/>
      <c r="C425" s="75"/>
      <c r="D425" s="75"/>
      <c r="E425" s="76"/>
      <c r="F425" s="76"/>
      <c r="G425" s="76"/>
      <c r="H425" s="76"/>
      <c r="I425" s="76"/>
      <c r="J425" s="76"/>
      <c r="K425" s="77"/>
      <c r="L425" s="77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</row>
    <row r="426">
      <c r="A426" s="75"/>
      <c r="B426" s="75"/>
      <c r="C426" s="75"/>
      <c r="D426" s="75"/>
      <c r="E426" s="76"/>
      <c r="F426" s="76"/>
      <c r="G426" s="76"/>
      <c r="H426" s="76"/>
      <c r="I426" s="76"/>
      <c r="J426" s="76"/>
      <c r="K426" s="77"/>
      <c r="L426" s="77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</row>
    <row r="427">
      <c r="A427" s="75"/>
      <c r="B427" s="75"/>
      <c r="C427" s="75"/>
      <c r="D427" s="75"/>
      <c r="E427" s="76"/>
      <c r="F427" s="76"/>
      <c r="G427" s="76"/>
      <c r="H427" s="76"/>
      <c r="I427" s="76"/>
      <c r="J427" s="76"/>
      <c r="K427" s="77"/>
      <c r="L427" s="77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</row>
    <row r="428">
      <c r="A428" s="75"/>
      <c r="B428" s="75"/>
      <c r="C428" s="75"/>
      <c r="D428" s="75"/>
      <c r="E428" s="76"/>
      <c r="F428" s="76"/>
      <c r="G428" s="76"/>
      <c r="H428" s="76"/>
      <c r="I428" s="76"/>
      <c r="J428" s="76"/>
      <c r="K428" s="77"/>
      <c r="L428" s="77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</row>
    <row r="429">
      <c r="A429" s="75"/>
      <c r="B429" s="75"/>
      <c r="C429" s="75"/>
      <c r="D429" s="75"/>
      <c r="E429" s="76"/>
      <c r="F429" s="76"/>
      <c r="G429" s="76"/>
      <c r="H429" s="76"/>
      <c r="I429" s="76"/>
      <c r="J429" s="76"/>
      <c r="K429" s="77"/>
      <c r="L429" s="77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</row>
    <row r="430">
      <c r="A430" s="75"/>
      <c r="B430" s="75"/>
      <c r="C430" s="75"/>
      <c r="D430" s="75"/>
      <c r="E430" s="76"/>
      <c r="F430" s="76"/>
      <c r="G430" s="76"/>
      <c r="H430" s="76"/>
      <c r="I430" s="76"/>
      <c r="J430" s="76"/>
      <c r="K430" s="77"/>
      <c r="L430" s="77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</row>
    <row r="431">
      <c r="A431" s="75"/>
      <c r="B431" s="75"/>
      <c r="C431" s="75"/>
      <c r="D431" s="75"/>
      <c r="E431" s="76"/>
      <c r="F431" s="76"/>
      <c r="G431" s="76"/>
      <c r="H431" s="76"/>
      <c r="I431" s="76"/>
      <c r="J431" s="76"/>
      <c r="K431" s="77"/>
      <c r="L431" s="77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</row>
    <row r="432">
      <c r="A432" s="75"/>
      <c r="B432" s="75"/>
      <c r="C432" s="75"/>
      <c r="D432" s="75"/>
      <c r="E432" s="76"/>
      <c r="F432" s="76"/>
      <c r="G432" s="76"/>
      <c r="H432" s="76"/>
      <c r="I432" s="76"/>
      <c r="J432" s="76"/>
      <c r="K432" s="77"/>
      <c r="L432" s="77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</row>
    <row r="433">
      <c r="A433" s="75"/>
      <c r="B433" s="75"/>
      <c r="C433" s="75"/>
      <c r="D433" s="75"/>
      <c r="E433" s="76"/>
      <c r="F433" s="76"/>
      <c r="G433" s="76"/>
      <c r="H433" s="76"/>
      <c r="I433" s="76"/>
      <c r="J433" s="76"/>
      <c r="K433" s="77"/>
      <c r="L433" s="77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</row>
    <row r="434">
      <c r="A434" s="75"/>
      <c r="B434" s="75"/>
      <c r="C434" s="75"/>
      <c r="D434" s="75"/>
      <c r="E434" s="76"/>
      <c r="F434" s="76"/>
      <c r="G434" s="76"/>
      <c r="H434" s="76"/>
      <c r="I434" s="76"/>
      <c r="J434" s="76"/>
      <c r="K434" s="77"/>
      <c r="L434" s="77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</row>
    <row r="435">
      <c r="A435" s="75"/>
      <c r="B435" s="75"/>
      <c r="C435" s="75"/>
      <c r="D435" s="75"/>
      <c r="E435" s="76"/>
      <c r="F435" s="76"/>
      <c r="G435" s="76"/>
      <c r="H435" s="76"/>
      <c r="I435" s="76"/>
      <c r="J435" s="76"/>
      <c r="K435" s="77"/>
      <c r="L435" s="77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</row>
    <row r="436">
      <c r="A436" s="75"/>
      <c r="B436" s="75"/>
      <c r="C436" s="75"/>
      <c r="D436" s="75"/>
      <c r="E436" s="76"/>
      <c r="F436" s="76"/>
      <c r="G436" s="76"/>
      <c r="H436" s="76"/>
      <c r="I436" s="76"/>
      <c r="J436" s="76"/>
      <c r="K436" s="77"/>
      <c r="L436" s="77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</row>
    <row r="437">
      <c r="A437" s="75"/>
      <c r="B437" s="75"/>
      <c r="C437" s="75"/>
      <c r="D437" s="75"/>
      <c r="E437" s="76"/>
      <c r="F437" s="76"/>
      <c r="G437" s="76"/>
      <c r="H437" s="76"/>
      <c r="I437" s="76"/>
      <c r="J437" s="76"/>
      <c r="K437" s="77"/>
      <c r="L437" s="77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</row>
    <row r="438">
      <c r="A438" s="75"/>
      <c r="B438" s="75"/>
      <c r="C438" s="75"/>
      <c r="D438" s="75"/>
      <c r="E438" s="76"/>
      <c r="F438" s="76"/>
      <c r="G438" s="76"/>
      <c r="H438" s="76"/>
      <c r="I438" s="76"/>
      <c r="J438" s="76"/>
      <c r="K438" s="77"/>
      <c r="L438" s="77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</row>
    <row r="439">
      <c r="A439" s="75"/>
      <c r="B439" s="75"/>
      <c r="C439" s="75"/>
      <c r="D439" s="75"/>
      <c r="E439" s="76"/>
      <c r="F439" s="76"/>
      <c r="G439" s="76"/>
      <c r="H439" s="76"/>
      <c r="I439" s="76"/>
      <c r="J439" s="76"/>
      <c r="K439" s="77"/>
      <c r="L439" s="77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</row>
    <row r="440">
      <c r="A440" s="75"/>
      <c r="B440" s="75"/>
      <c r="C440" s="75"/>
      <c r="D440" s="75"/>
      <c r="E440" s="76"/>
      <c r="F440" s="76"/>
      <c r="G440" s="76"/>
      <c r="H440" s="76"/>
      <c r="I440" s="76"/>
      <c r="J440" s="76"/>
      <c r="K440" s="77"/>
      <c r="L440" s="77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</row>
    <row r="441">
      <c r="A441" s="75"/>
      <c r="B441" s="75"/>
      <c r="C441" s="75"/>
      <c r="D441" s="75"/>
      <c r="E441" s="76"/>
      <c r="F441" s="76"/>
      <c r="G441" s="76"/>
      <c r="H441" s="76"/>
      <c r="I441" s="76"/>
      <c r="J441" s="76"/>
      <c r="K441" s="77"/>
      <c r="L441" s="77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</row>
    <row r="442">
      <c r="A442" s="75"/>
      <c r="B442" s="75"/>
      <c r="C442" s="75"/>
      <c r="D442" s="75"/>
      <c r="E442" s="76"/>
      <c r="F442" s="76"/>
      <c r="G442" s="76"/>
      <c r="H442" s="76"/>
      <c r="I442" s="76"/>
      <c r="J442" s="76"/>
      <c r="K442" s="77"/>
      <c r="L442" s="77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</row>
    <row r="443">
      <c r="A443" s="75"/>
      <c r="B443" s="75"/>
      <c r="C443" s="75"/>
      <c r="D443" s="75"/>
      <c r="E443" s="76"/>
      <c r="F443" s="76"/>
      <c r="G443" s="76"/>
      <c r="H443" s="76"/>
      <c r="I443" s="76"/>
      <c r="J443" s="76"/>
      <c r="K443" s="77"/>
      <c r="L443" s="77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</row>
    <row r="444">
      <c r="A444" s="75"/>
      <c r="B444" s="75"/>
      <c r="C444" s="75"/>
      <c r="D444" s="75"/>
      <c r="E444" s="76"/>
      <c r="F444" s="76"/>
      <c r="G444" s="76"/>
      <c r="H444" s="76"/>
      <c r="I444" s="76"/>
      <c r="J444" s="76"/>
      <c r="K444" s="77"/>
      <c r="L444" s="77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</row>
    <row r="445">
      <c r="A445" s="75"/>
      <c r="B445" s="75"/>
      <c r="C445" s="75"/>
      <c r="D445" s="75"/>
      <c r="E445" s="76"/>
      <c r="F445" s="76"/>
      <c r="G445" s="76"/>
      <c r="H445" s="76"/>
      <c r="I445" s="76"/>
      <c r="J445" s="76"/>
      <c r="K445" s="77"/>
      <c r="L445" s="77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</row>
    <row r="446">
      <c r="A446" s="75"/>
      <c r="B446" s="75"/>
      <c r="C446" s="75"/>
      <c r="D446" s="75"/>
      <c r="E446" s="76"/>
      <c r="F446" s="76"/>
      <c r="G446" s="76"/>
      <c r="H446" s="76"/>
      <c r="I446" s="76"/>
      <c r="J446" s="76"/>
      <c r="K446" s="77"/>
      <c r="L446" s="77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</row>
    <row r="447">
      <c r="A447" s="75"/>
      <c r="B447" s="75"/>
      <c r="C447" s="75"/>
      <c r="D447" s="75"/>
      <c r="E447" s="76"/>
      <c r="F447" s="76"/>
      <c r="G447" s="76"/>
      <c r="H447" s="76"/>
      <c r="I447" s="76"/>
      <c r="J447" s="76"/>
      <c r="K447" s="77"/>
      <c r="L447" s="77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</row>
    <row r="448">
      <c r="A448" s="75"/>
      <c r="B448" s="75"/>
      <c r="C448" s="75"/>
      <c r="D448" s="75"/>
      <c r="E448" s="76"/>
      <c r="F448" s="76"/>
      <c r="G448" s="76"/>
      <c r="H448" s="76"/>
      <c r="I448" s="76"/>
      <c r="J448" s="76"/>
      <c r="K448" s="77"/>
      <c r="L448" s="77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</row>
    <row r="449">
      <c r="A449" s="75"/>
      <c r="B449" s="75"/>
      <c r="C449" s="75"/>
      <c r="D449" s="75"/>
      <c r="E449" s="76"/>
      <c r="F449" s="76"/>
      <c r="G449" s="76"/>
      <c r="H449" s="76"/>
      <c r="I449" s="76"/>
      <c r="J449" s="76"/>
      <c r="K449" s="77"/>
      <c r="L449" s="77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</row>
    <row r="450">
      <c r="A450" s="75"/>
      <c r="B450" s="75"/>
      <c r="C450" s="75"/>
      <c r="D450" s="75"/>
      <c r="E450" s="76"/>
      <c r="F450" s="76"/>
      <c r="G450" s="76"/>
      <c r="H450" s="76"/>
      <c r="I450" s="76"/>
      <c r="J450" s="76"/>
      <c r="K450" s="77"/>
      <c r="L450" s="77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</row>
    <row r="451">
      <c r="A451" s="75"/>
      <c r="B451" s="75"/>
      <c r="C451" s="75"/>
      <c r="D451" s="75"/>
      <c r="E451" s="76"/>
      <c r="F451" s="76"/>
      <c r="G451" s="76"/>
      <c r="H451" s="76"/>
      <c r="I451" s="76"/>
      <c r="J451" s="76"/>
      <c r="K451" s="77"/>
      <c r="L451" s="77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</row>
    <row r="452">
      <c r="A452" s="75"/>
      <c r="B452" s="75"/>
      <c r="C452" s="75"/>
      <c r="D452" s="75"/>
      <c r="E452" s="76"/>
      <c r="F452" s="76"/>
      <c r="G452" s="76"/>
      <c r="H452" s="76"/>
      <c r="I452" s="76"/>
      <c r="J452" s="76"/>
      <c r="K452" s="77"/>
      <c r="L452" s="77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</row>
    <row r="453">
      <c r="A453" s="75"/>
      <c r="B453" s="75"/>
      <c r="C453" s="75"/>
      <c r="D453" s="75"/>
      <c r="E453" s="76"/>
      <c r="F453" s="76"/>
      <c r="G453" s="76"/>
      <c r="H453" s="76"/>
      <c r="I453" s="76"/>
      <c r="J453" s="76"/>
      <c r="K453" s="77"/>
      <c r="L453" s="77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</row>
    <row r="454">
      <c r="A454" s="75"/>
      <c r="B454" s="75"/>
      <c r="C454" s="75"/>
      <c r="D454" s="75"/>
      <c r="E454" s="76"/>
      <c r="F454" s="76"/>
      <c r="G454" s="76"/>
      <c r="H454" s="76"/>
      <c r="I454" s="76"/>
      <c r="J454" s="76"/>
      <c r="K454" s="77"/>
      <c r="L454" s="77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</row>
    <row r="455">
      <c r="A455" s="75"/>
      <c r="B455" s="75"/>
      <c r="C455" s="75"/>
      <c r="D455" s="75"/>
      <c r="E455" s="76"/>
      <c r="F455" s="76"/>
      <c r="G455" s="76"/>
      <c r="H455" s="76"/>
      <c r="I455" s="76"/>
      <c r="J455" s="76"/>
      <c r="K455" s="77"/>
      <c r="L455" s="77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</row>
    <row r="456">
      <c r="A456" s="75"/>
      <c r="B456" s="75"/>
      <c r="C456" s="75"/>
      <c r="D456" s="75"/>
      <c r="E456" s="76"/>
      <c r="F456" s="76"/>
      <c r="G456" s="76"/>
      <c r="H456" s="76"/>
      <c r="I456" s="76"/>
      <c r="J456" s="76"/>
      <c r="K456" s="77"/>
      <c r="L456" s="77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</row>
    <row r="457">
      <c r="A457" s="75"/>
      <c r="B457" s="75"/>
      <c r="C457" s="75"/>
      <c r="D457" s="75"/>
      <c r="E457" s="76"/>
      <c r="F457" s="76"/>
      <c r="G457" s="76"/>
      <c r="H457" s="76"/>
      <c r="I457" s="76"/>
      <c r="J457" s="76"/>
      <c r="K457" s="77"/>
      <c r="L457" s="77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</row>
    <row r="458">
      <c r="A458" s="75"/>
      <c r="B458" s="75"/>
      <c r="C458" s="75"/>
      <c r="D458" s="75"/>
      <c r="E458" s="76"/>
      <c r="F458" s="76"/>
      <c r="G458" s="76"/>
      <c r="H458" s="76"/>
      <c r="I458" s="76"/>
      <c r="J458" s="76"/>
      <c r="K458" s="77"/>
      <c r="L458" s="77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</row>
    <row r="459">
      <c r="A459" s="75"/>
      <c r="B459" s="75"/>
      <c r="C459" s="75"/>
      <c r="D459" s="75"/>
      <c r="E459" s="76"/>
      <c r="F459" s="76"/>
      <c r="G459" s="76"/>
      <c r="H459" s="76"/>
      <c r="I459" s="76"/>
      <c r="J459" s="76"/>
      <c r="K459" s="77"/>
      <c r="L459" s="77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</row>
    <row r="460">
      <c r="A460" s="75"/>
      <c r="B460" s="75"/>
      <c r="C460" s="75"/>
      <c r="D460" s="75"/>
      <c r="E460" s="76"/>
      <c r="F460" s="76"/>
      <c r="G460" s="76"/>
      <c r="H460" s="76"/>
      <c r="I460" s="76"/>
      <c r="J460" s="76"/>
      <c r="K460" s="77"/>
      <c r="L460" s="77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</row>
    <row r="461">
      <c r="A461" s="75"/>
      <c r="B461" s="75"/>
      <c r="C461" s="75"/>
      <c r="D461" s="75"/>
      <c r="E461" s="76"/>
      <c r="F461" s="76"/>
      <c r="G461" s="76"/>
      <c r="H461" s="76"/>
      <c r="I461" s="76"/>
      <c r="J461" s="76"/>
      <c r="K461" s="77"/>
      <c r="L461" s="77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</row>
    <row r="462">
      <c r="A462" s="75"/>
      <c r="B462" s="75"/>
      <c r="C462" s="75"/>
      <c r="D462" s="75"/>
      <c r="E462" s="76"/>
      <c r="F462" s="76"/>
      <c r="G462" s="76"/>
      <c r="H462" s="76"/>
      <c r="I462" s="76"/>
      <c r="J462" s="76"/>
      <c r="K462" s="77"/>
      <c r="L462" s="77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</row>
    <row r="463">
      <c r="A463" s="75"/>
      <c r="B463" s="75"/>
      <c r="C463" s="75"/>
      <c r="D463" s="75"/>
      <c r="E463" s="76"/>
      <c r="F463" s="76"/>
      <c r="G463" s="76"/>
      <c r="H463" s="76"/>
      <c r="I463" s="76"/>
      <c r="J463" s="76"/>
      <c r="K463" s="77"/>
      <c r="L463" s="77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</row>
    <row r="464">
      <c r="A464" s="75"/>
      <c r="B464" s="75"/>
      <c r="C464" s="75"/>
      <c r="D464" s="75"/>
      <c r="E464" s="76"/>
      <c r="F464" s="76"/>
      <c r="G464" s="76"/>
      <c r="H464" s="76"/>
      <c r="I464" s="76"/>
      <c r="J464" s="76"/>
      <c r="K464" s="77"/>
      <c r="L464" s="77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</row>
    <row r="465">
      <c r="A465" s="75"/>
      <c r="B465" s="75"/>
      <c r="C465" s="75"/>
      <c r="D465" s="75"/>
      <c r="E465" s="76"/>
      <c r="F465" s="76"/>
      <c r="G465" s="76"/>
      <c r="H465" s="76"/>
      <c r="I465" s="76"/>
      <c r="J465" s="76"/>
      <c r="K465" s="77"/>
      <c r="L465" s="77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</row>
    <row r="466">
      <c r="A466" s="75"/>
      <c r="B466" s="75"/>
      <c r="C466" s="75"/>
      <c r="D466" s="75"/>
      <c r="E466" s="76"/>
      <c r="F466" s="76"/>
      <c r="G466" s="76"/>
      <c r="H466" s="76"/>
      <c r="I466" s="76"/>
      <c r="J466" s="76"/>
      <c r="K466" s="77"/>
      <c r="L466" s="77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</row>
    <row r="467">
      <c r="A467" s="75"/>
      <c r="B467" s="75"/>
      <c r="C467" s="75"/>
      <c r="D467" s="75"/>
      <c r="E467" s="76"/>
      <c r="F467" s="76"/>
      <c r="G467" s="76"/>
      <c r="H467" s="76"/>
      <c r="I467" s="76"/>
      <c r="J467" s="76"/>
      <c r="K467" s="77"/>
      <c r="L467" s="77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</row>
    <row r="468">
      <c r="A468" s="75"/>
      <c r="B468" s="75"/>
      <c r="C468" s="75"/>
      <c r="D468" s="75"/>
      <c r="E468" s="76"/>
      <c r="F468" s="76"/>
      <c r="G468" s="76"/>
      <c r="H468" s="76"/>
      <c r="I468" s="76"/>
      <c r="J468" s="76"/>
      <c r="K468" s="77"/>
      <c r="L468" s="77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</row>
    <row r="469">
      <c r="A469" s="75"/>
      <c r="B469" s="75"/>
      <c r="C469" s="75"/>
      <c r="D469" s="75"/>
      <c r="E469" s="76"/>
      <c r="F469" s="76"/>
      <c r="G469" s="76"/>
      <c r="H469" s="76"/>
      <c r="I469" s="76"/>
      <c r="J469" s="76"/>
      <c r="K469" s="77"/>
      <c r="L469" s="77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</row>
    <row r="470">
      <c r="A470" s="75"/>
      <c r="B470" s="75"/>
      <c r="C470" s="75"/>
      <c r="D470" s="75"/>
      <c r="E470" s="76"/>
      <c r="F470" s="76"/>
      <c r="G470" s="76"/>
      <c r="H470" s="76"/>
      <c r="I470" s="76"/>
      <c r="J470" s="76"/>
      <c r="K470" s="77"/>
      <c r="L470" s="77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</row>
    <row r="471">
      <c r="A471" s="75"/>
      <c r="B471" s="75"/>
      <c r="C471" s="75"/>
      <c r="D471" s="75"/>
      <c r="E471" s="76"/>
      <c r="F471" s="76"/>
      <c r="G471" s="76"/>
      <c r="H471" s="76"/>
      <c r="I471" s="76"/>
      <c r="J471" s="76"/>
      <c r="K471" s="77"/>
      <c r="L471" s="77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</row>
    <row r="472">
      <c r="A472" s="75"/>
      <c r="B472" s="75"/>
      <c r="C472" s="75"/>
      <c r="D472" s="75"/>
      <c r="E472" s="76"/>
      <c r="F472" s="76"/>
      <c r="G472" s="76"/>
      <c r="H472" s="76"/>
      <c r="I472" s="76"/>
      <c r="J472" s="76"/>
      <c r="K472" s="77"/>
      <c r="L472" s="77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</row>
    <row r="473">
      <c r="A473" s="75"/>
      <c r="B473" s="75"/>
      <c r="C473" s="75"/>
      <c r="D473" s="75"/>
      <c r="E473" s="76"/>
      <c r="F473" s="76"/>
      <c r="G473" s="76"/>
      <c r="H473" s="76"/>
      <c r="I473" s="76"/>
      <c r="J473" s="76"/>
      <c r="K473" s="77"/>
      <c r="L473" s="77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</row>
    <row r="474">
      <c r="A474" s="75"/>
      <c r="B474" s="75"/>
      <c r="C474" s="75"/>
      <c r="D474" s="75"/>
      <c r="E474" s="76"/>
      <c r="F474" s="76"/>
      <c r="G474" s="76"/>
      <c r="H474" s="76"/>
      <c r="I474" s="76"/>
      <c r="J474" s="76"/>
      <c r="K474" s="77"/>
      <c r="L474" s="77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</row>
    <row r="475">
      <c r="A475" s="75"/>
      <c r="B475" s="75"/>
      <c r="C475" s="75"/>
      <c r="D475" s="75"/>
      <c r="E475" s="76"/>
      <c r="F475" s="76"/>
      <c r="G475" s="76"/>
      <c r="H475" s="76"/>
      <c r="I475" s="76"/>
      <c r="J475" s="76"/>
      <c r="K475" s="77"/>
      <c r="L475" s="77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</row>
    <row r="476">
      <c r="A476" s="75"/>
      <c r="B476" s="75"/>
      <c r="C476" s="75"/>
      <c r="D476" s="75"/>
      <c r="E476" s="76"/>
      <c r="F476" s="76"/>
      <c r="G476" s="76"/>
      <c r="H476" s="76"/>
      <c r="I476" s="76"/>
      <c r="J476" s="76"/>
      <c r="K476" s="77"/>
      <c r="L476" s="77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</row>
    <row r="477">
      <c r="A477" s="75"/>
      <c r="B477" s="75"/>
      <c r="C477" s="75"/>
      <c r="D477" s="75"/>
      <c r="E477" s="76"/>
      <c r="F477" s="76"/>
      <c r="G477" s="76"/>
      <c r="H477" s="76"/>
      <c r="I477" s="76"/>
      <c r="J477" s="76"/>
      <c r="K477" s="77"/>
      <c r="L477" s="77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</row>
    <row r="478">
      <c r="A478" s="75"/>
      <c r="B478" s="75"/>
      <c r="C478" s="75"/>
      <c r="D478" s="75"/>
      <c r="E478" s="76"/>
      <c r="F478" s="76"/>
      <c r="G478" s="76"/>
      <c r="H478" s="76"/>
      <c r="I478" s="76"/>
      <c r="J478" s="76"/>
      <c r="K478" s="77"/>
      <c r="L478" s="77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</row>
    <row r="479">
      <c r="A479" s="75"/>
      <c r="B479" s="75"/>
      <c r="C479" s="75"/>
      <c r="D479" s="75"/>
      <c r="E479" s="76"/>
      <c r="F479" s="76"/>
      <c r="G479" s="76"/>
      <c r="H479" s="76"/>
      <c r="I479" s="76"/>
      <c r="J479" s="76"/>
      <c r="K479" s="77"/>
      <c r="L479" s="77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</row>
    <row r="480">
      <c r="A480" s="75"/>
      <c r="B480" s="75"/>
      <c r="C480" s="75"/>
      <c r="D480" s="75"/>
      <c r="E480" s="76"/>
      <c r="F480" s="76"/>
      <c r="G480" s="76"/>
      <c r="H480" s="76"/>
      <c r="I480" s="76"/>
      <c r="J480" s="76"/>
      <c r="K480" s="77"/>
      <c r="L480" s="77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</row>
    <row r="481">
      <c r="A481" s="75"/>
      <c r="B481" s="75"/>
      <c r="C481" s="75"/>
      <c r="D481" s="75"/>
      <c r="E481" s="76"/>
      <c r="F481" s="76"/>
      <c r="G481" s="76"/>
      <c r="H481" s="76"/>
      <c r="I481" s="76"/>
      <c r="J481" s="76"/>
      <c r="K481" s="77"/>
      <c r="L481" s="77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</row>
    <row r="482">
      <c r="A482" s="75"/>
      <c r="B482" s="75"/>
      <c r="C482" s="75"/>
      <c r="D482" s="75"/>
      <c r="E482" s="76"/>
      <c r="F482" s="76"/>
      <c r="G482" s="76"/>
      <c r="H482" s="76"/>
      <c r="I482" s="76"/>
      <c r="J482" s="76"/>
      <c r="K482" s="77"/>
      <c r="L482" s="77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</row>
    <row r="483">
      <c r="A483" s="75"/>
      <c r="B483" s="75"/>
      <c r="C483" s="75"/>
      <c r="D483" s="75"/>
      <c r="E483" s="76"/>
      <c r="F483" s="76"/>
      <c r="G483" s="76"/>
      <c r="H483" s="76"/>
      <c r="I483" s="76"/>
      <c r="J483" s="76"/>
      <c r="K483" s="77"/>
      <c r="L483" s="77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</row>
    <row r="484">
      <c r="A484" s="75"/>
      <c r="B484" s="75"/>
      <c r="C484" s="75"/>
      <c r="D484" s="75"/>
      <c r="E484" s="76"/>
      <c r="F484" s="76"/>
      <c r="G484" s="76"/>
      <c r="H484" s="76"/>
      <c r="I484" s="76"/>
      <c r="J484" s="76"/>
      <c r="K484" s="77"/>
      <c r="L484" s="77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</row>
    <row r="485">
      <c r="A485" s="75"/>
      <c r="B485" s="75"/>
      <c r="C485" s="75"/>
      <c r="D485" s="75"/>
      <c r="E485" s="76"/>
      <c r="F485" s="76"/>
      <c r="G485" s="76"/>
      <c r="H485" s="76"/>
      <c r="I485" s="76"/>
      <c r="J485" s="76"/>
      <c r="K485" s="77"/>
      <c r="L485" s="77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</row>
    <row r="486">
      <c r="A486" s="75"/>
      <c r="B486" s="75"/>
      <c r="C486" s="75"/>
      <c r="D486" s="75"/>
      <c r="E486" s="76"/>
      <c r="F486" s="76"/>
      <c r="G486" s="76"/>
      <c r="H486" s="76"/>
      <c r="I486" s="76"/>
      <c r="J486" s="76"/>
      <c r="K486" s="77"/>
      <c r="L486" s="77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</row>
    <row r="487">
      <c r="A487" s="75"/>
      <c r="B487" s="75"/>
      <c r="C487" s="75"/>
      <c r="D487" s="75"/>
      <c r="E487" s="76"/>
      <c r="F487" s="76"/>
      <c r="G487" s="76"/>
      <c r="H487" s="76"/>
      <c r="I487" s="76"/>
      <c r="J487" s="76"/>
      <c r="K487" s="77"/>
      <c r="L487" s="77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</row>
    <row r="488">
      <c r="A488" s="75"/>
      <c r="B488" s="75"/>
      <c r="C488" s="75"/>
      <c r="D488" s="75"/>
      <c r="E488" s="76"/>
      <c r="F488" s="76"/>
      <c r="G488" s="76"/>
      <c r="H488" s="76"/>
      <c r="I488" s="76"/>
      <c r="J488" s="76"/>
      <c r="K488" s="77"/>
      <c r="L488" s="77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</row>
    <row r="489">
      <c r="A489" s="75"/>
      <c r="B489" s="75"/>
      <c r="C489" s="75"/>
      <c r="D489" s="75"/>
      <c r="E489" s="76"/>
      <c r="F489" s="76"/>
      <c r="G489" s="76"/>
      <c r="H489" s="76"/>
      <c r="I489" s="76"/>
      <c r="J489" s="76"/>
      <c r="K489" s="77"/>
      <c r="L489" s="77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</row>
    <row r="490">
      <c r="A490" s="75"/>
      <c r="B490" s="75"/>
      <c r="C490" s="75"/>
      <c r="D490" s="75"/>
      <c r="E490" s="76"/>
      <c r="F490" s="76"/>
      <c r="G490" s="76"/>
      <c r="H490" s="76"/>
      <c r="I490" s="76"/>
      <c r="J490" s="76"/>
      <c r="K490" s="77"/>
      <c r="L490" s="77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</row>
    <row r="491">
      <c r="A491" s="75"/>
      <c r="B491" s="75"/>
      <c r="C491" s="75"/>
      <c r="D491" s="75"/>
      <c r="E491" s="76"/>
      <c r="F491" s="76"/>
      <c r="G491" s="76"/>
      <c r="H491" s="76"/>
      <c r="I491" s="76"/>
      <c r="J491" s="76"/>
      <c r="K491" s="77"/>
      <c r="L491" s="77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</row>
    <row r="492">
      <c r="A492" s="75"/>
      <c r="B492" s="75"/>
      <c r="C492" s="75"/>
      <c r="D492" s="75"/>
      <c r="E492" s="76"/>
      <c r="F492" s="76"/>
      <c r="G492" s="76"/>
      <c r="H492" s="76"/>
      <c r="I492" s="76"/>
      <c r="J492" s="76"/>
      <c r="K492" s="77"/>
      <c r="L492" s="77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</row>
    <row r="493">
      <c r="A493" s="75"/>
      <c r="B493" s="75"/>
      <c r="C493" s="75"/>
      <c r="D493" s="75"/>
      <c r="E493" s="76"/>
      <c r="F493" s="76"/>
      <c r="G493" s="76"/>
      <c r="H493" s="76"/>
      <c r="I493" s="76"/>
      <c r="J493" s="76"/>
      <c r="K493" s="77"/>
      <c r="L493" s="77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</row>
    <row r="494">
      <c r="A494" s="75"/>
      <c r="B494" s="75"/>
      <c r="C494" s="75"/>
      <c r="D494" s="75"/>
      <c r="E494" s="76"/>
      <c r="F494" s="76"/>
      <c r="G494" s="76"/>
      <c r="H494" s="76"/>
      <c r="I494" s="76"/>
      <c r="J494" s="76"/>
      <c r="K494" s="77"/>
      <c r="L494" s="77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</row>
    <row r="495">
      <c r="A495" s="75"/>
      <c r="B495" s="75"/>
      <c r="C495" s="75"/>
      <c r="D495" s="75"/>
      <c r="E495" s="76"/>
      <c r="F495" s="76"/>
      <c r="G495" s="76"/>
      <c r="H495" s="76"/>
      <c r="I495" s="76"/>
      <c r="J495" s="76"/>
      <c r="K495" s="77"/>
      <c r="L495" s="77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</row>
    <row r="496">
      <c r="A496" s="75"/>
      <c r="B496" s="75"/>
      <c r="C496" s="75"/>
      <c r="D496" s="75"/>
      <c r="E496" s="76"/>
      <c r="F496" s="76"/>
      <c r="G496" s="76"/>
      <c r="H496" s="76"/>
      <c r="I496" s="76"/>
      <c r="J496" s="76"/>
      <c r="K496" s="77"/>
      <c r="L496" s="77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</row>
    <row r="497">
      <c r="A497" s="75"/>
      <c r="B497" s="75"/>
      <c r="C497" s="75"/>
      <c r="D497" s="75"/>
      <c r="E497" s="76"/>
      <c r="F497" s="76"/>
      <c r="G497" s="76"/>
      <c r="H497" s="76"/>
      <c r="I497" s="76"/>
      <c r="J497" s="76"/>
      <c r="K497" s="77"/>
      <c r="L497" s="77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</row>
    <row r="498">
      <c r="A498" s="75"/>
      <c r="B498" s="75"/>
      <c r="C498" s="75"/>
      <c r="D498" s="75"/>
      <c r="E498" s="76"/>
      <c r="F498" s="76"/>
      <c r="G498" s="76"/>
      <c r="H498" s="76"/>
      <c r="I498" s="76"/>
      <c r="J498" s="76"/>
      <c r="K498" s="77"/>
      <c r="L498" s="77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</row>
    <row r="499">
      <c r="A499" s="75"/>
      <c r="B499" s="75"/>
      <c r="C499" s="75"/>
      <c r="D499" s="75"/>
      <c r="E499" s="76"/>
      <c r="F499" s="76"/>
      <c r="G499" s="76"/>
      <c r="H499" s="76"/>
      <c r="I499" s="76"/>
      <c r="J499" s="76"/>
      <c r="K499" s="77"/>
      <c r="L499" s="77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</row>
    <row r="500">
      <c r="A500" s="75"/>
      <c r="B500" s="75"/>
      <c r="C500" s="75"/>
      <c r="D500" s="75"/>
      <c r="E500" s="76"/>
      <c r="F500" s="76"/>
      <c r="G500" s="76"/>
      <c r="H500" s="76"/>
      <c r="I500" s="76"/>
      <c r="J500" s="76"/>
      <c r="K500" s="77"/>
      <c r="L500" s="77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</row>
    <row r="501">
      <c r="A501" s="75"/>
      <c r="B501" s="75"/>
      <c r="C501" s="75"/>
      <c r="D501" s="75"/>
      <c r="E501" s="76"/>
      <c r="F501" s="76"/>
      <c r="G501" s="76"/>
      <c r="H501" s="76"/>
      <c r="I501" s="76"/>
      <c r="J501" s="76"/>
      <c r="K501" s="77"/>
      <c r="L501" s="77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</row>
    <row r="502">
      <c r="A502" s="75"/>
      <c r="B502" s="75"/>
      <c r="C502" s="75"/>
      <c r="D502" s="75"/>
      <c r="E502" s="76"/>
      <c r="F502" s="76"/>
      <c r="G502" s="76"/>
      <c r="H502" s="76"/>
      <c r="I502" s="76"/>
      <c r="J502" s="76"/>
      <c r="K502" s="77"/>
      <c r="L502" s="77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</row>
    <row r="503">
      <c r="A503" s="75"/>
      <c r="B503" s="75"/>
      <c r="C503" s="75"/>
      <c r="D503" s="75"/>
      <c r="E503" s="76"/>
      <c r="F503" s="76"/>
      <c r="G503" s="76"/>
      <c r="H503" s="76"/>
      <c r="I503" s="76"/>
      <c r="J503" s="76"/>
      <c r="K503" s="77"/>
      <c r="L503" s="77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</row>
    <row r="504">
      <c r="A504" s="75"/>
      <c r="B504" s="75"/>
      <c r="C504" s="75"/>
      <c r="D504" s="75"/>
      <c r="E504" s="76"/>
      <c r="F504" s="76"/>
      <c r="G504" s="76"/>
      <c r="H504" s="76"/>
      <c r="I504" s="76"/>
      <c r="J504" s="76"/>
      <c r="K504" s="77"/>
      <c r="L504" s="77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</row>
    <row r="505">
      <c r="A505" s="75"/>
      <c r="B505" s="75"/>
      <c r="C505" s="75"/>
      <c r="D505" s="75"/>
      <c r="E505" s="76"/>
      <c r="F505" s="76"/>
      <c r="G505" s="76"/>
      <c r="H505" s="76"/>
      <c r="I505" s="76"/>
      <c r="J505" s="76"/>
      <c r="K505" s="77"/>
      <c r="L505" s="77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</row>
    <row r="506">
      <c r="A506" s="75"/>
      <c r="B506" s="75"/>
      <c r="C506" s="75"/>
      <c r="D506" s="75"/>
      <c r="E506" s="76"/>
      <c r="F506" s="76"/>
      <c r="G506" s="76"/>
      <c r="H506" s="76"/>
      <c r="I506" s="76"/>
      <c r="J506" s="76"/>
      <c r="K506" s="77"/>
      <c r="L506" s="77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</row>
    <row r="507">
      <c r="A507" s="75"/>
      <c r="B507" s="75"/>
      <c r="C507" s="75"/>
      <c r="D507" s="75"/>
      <c r="E507" s="76"/>
      <c r="F507" s="76"/>
      <c r="G507" s="76"/>
      <c r="H507" s="76"/>
      <c r="I507" s="76"/>
      <c r="J507" s="76"/>
      <c r="K507" s="77"/>
      <c r="L507" s="77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</row>
    <row r="508">
      <c r="A508" s="75"/>
      <c r="B508" s="75"/>
      <c r="C508" s="75"/>
      <c r="D508" s="75"/>
      <c r="E508" s="76"/>
      <c r="F508" s="76"/>
      <c r="G508" s="76"/>
      <c r="H508" s="76"/>
      <c r="I508" s="76"/>
      <c r="J508" s="76"/>
      <c r="K508" s="77"/>
      <c r="L508" s="77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</row>
    <row r="509">
      <c r="A509" s="75"/>
      <c r="B509" s="75"/>
      <c r="C509" s="75"/>
      <c r="D509" s="75"/>
      <c r="E509" s="76"/>
      <c r="F509" s="76"/>
      <c r="G509" s="76"/>
      <c r="H509" s="76"/>
      <c r="I509" s="76"/>
      <c r="J509" s="76"/>
      <c r="K509" s="77"/>
      <c r="L509" s="77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</row>
    <row r="510">
      <c r="A510" s="75"/>
      <c r="B510" s="75"/>
      <c r="C510" s="75"/>
      <c r="D510" s="75"/>
      <c r="E510" s="76"/>
      <c r="F510" s="76"/>
      <c r="G510" s="76"/>
      <c r="H510" s="76"/>
      <c r="I510" s="76"/>
      <c r="J510" s="76"/>
      <c r="K510" s="77"/>
      <c r="L510" s="77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</row>
    <row r="511">
      <c r="A511" s="75"/>
      <c r="B511" s="75"/>
      <c r="C511" s="75"/>
      <c r="D511" s="75"/>
      <c r="E511" s="76"/>
      <c r="F511" s="76"/>
      <c r="G511" s="76"/>
      <c r="H511" s="76"/>
      <c r="I511" s="76"/>
      <c r="J511" s="76"/>
      <c r="K511" s="77"/>
      <c r="L511" s="77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</row>
    <row r="512">
      <c r="A512" s="75"/>
      <c r="B512" s="75"/>
      <c r="C512" s="75"/>
      <c r="D512" s="75"/>
      <c r="E512" s="76"/>
      <c r="F512" s="76"/>
      <c r="G512" s="76"/>
      <c r="H512" s="76"/>
      <c r="I512" s="76"/>
      <c r="J512" s="76"/>
      <c r="K512" s="77"/>
      <c r="L512" s="77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</row>
    <row r="513">
      <c r="A513" s="75"/>
      <c r="B513" s="75"/>
      <c r="C513" s="75"/>
      <c r="D513" s="75"/>
      <c r="E513" s="76"/>
      <c r="F513" s="76"/>
      <c r="G513" s="76"/>
      <c r="H513" s="76"/>
      <c r="I513" s="76"/>
      <c r="J513" s="76"/>
      <c r="K513" s="77"/>
      <c r="L513" s="77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</row>
    <row r="514">
      <c r="A514" s="75"/>
      <c r="B514" s="75"/>
      <c r="C514" s="75"/>
      <c r="D514" s="75"/>
      <c r="E514" s="76"/>
      <c r="F514" s="76"/>
      <c r="G514" s="76"/>
      <c r="H514" s="76"/>
      <c r="I514" s="76"/>
      <c r="J514" s="76"/>
      <c r="K514" s="77"/>
      <c r="L514" s="77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</row>
    <row r="515">
      <c r="A515" s="75"/>
      <c r="B515" s="75"/>
      <c r="C515" s="75"/>
      <c r="D515" s="75"/>
      <c r="E515" s="76"/>
      <c r="F515" s="76"/>
      <c r="G515" s="76"/>
      <c r="H515" s="76"/>
      <c r="I515" s="76"/>
      <c r="J515" s="76"/>
      <c r="K515" s="77"/>
      <c r="L515" s="77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</row>
    <row r="516">
      <c r="A516" s="75"/>
      <c r="B516" s="75"/>
      <c r="C516" s="75"/>
      <c r="D516" s="75"/>
      <c r="E516" s="76"/>
      <c r="F516" s="76"/>
      <c r="G516" s="76"/>
      <c r="H516" s="76"/>
      <c r="I516" s="76"/>
      <c r="J516" s="76"/>
      <c r="K516" s="77"/>
      <c r="L516" s="77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</row>
    <row r="517">
      <c r="A517" s="75"/>
      <c r="B517" s="75"/>
      <c r="C517" s="75"/>
      <c r="D517" s="75"/>
      <c r="E517" s="76"/>
      <c r="F517" s="76"/>
      <c r="G517" s="76"/>
      <c r="H517" s="76"/>
      <c r="I517" s="76"/>
      <c r="J517" s="76"/>
      <c r="K517" s="77"/>
      <c r="L517" s="77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</row>
    <row r="518">
      <c r="A518" s="75"/>
      <c r="B518" s="75"/>
      <c r="C518" s="75"/>
      <c r="D518" s="75"/>
      <c r="E518" s="76"/>
      <c r="F518" s="76"/>
      <c r="G518" s="76"/>
      <c r="H518" s="76"/>
      <c r="I518" s="76"/>
      <c r="J518" s="76"/>
      <c r="K518" s="77"/>
      <c r="L518" s="77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</row>
    <row r="519">
      <c r="A519" s="75"/>
      <c r="B519" s="75"/>
      <c r="C519" s="75"/>
      <c r="D519" s="75"/>
      <c r="E519" s="76"/>
      <c r="F519" s="76"/>
      <c r="G519" s="76"/>
      <c r="H519" s="76"/>
      <c r="I519" s="76"/>
      <c r="J519" s="76"/>
      <c r="K519" s="77"/>
      <c r="L519" s="77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</row>
    <row r="520">
      <c r="A520" s="75"/>
      <c r="B520" s="75"/>
      <c r="C520" s="75"/>
      <c r="D520" s="75"/>
      <c r="E520" s="76"/>
      <c r="F520" s="76"/>
      <c r="G520" s="76"/>
      <c r="H520" s="76"/>
      <c r="I520" s="76"/>
      <c r="J520" s="76"/>
      <c r="K520" s="77"/>
      <c r="L520" s="77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</row>
    <row r="521">
      <c r="A521" s="75"/>
      <c r="B521" s="75"/>
      <c r="C521" s="75"/>
      <c r="D521" s="75"/>
      <c r="E521" s="76"/>
      <c r="F521" s="76"/>
      <c r="G521" s="76"/>
      <c r="H521" s="76"/>
      <c r="I521" s="76"/>
      <c r="J521" s="76"/>
      <c r="K521" s="77"/>
      <c r="L521" s="77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</row>
    <row r="522">
      <c r="A522" s="75"/>
      <c r="B522" s="75"/>
      <c r="C522" s="75"/>
      <c r="D522" s="75"/>
      <c r="E522" s="76"/>
      <c r="F522" s="76"/>
      <c r="G522" s="76"/>
      <c r="H522" s="76"/>
      <c r="I522" s="76"/>
      <c r="J522" s="76"/>
      <c r="K522" s="77"/>
      <c r="L522" s="77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</row>
    <row r="523">
      <c r="A523" s="75"/>
      <c r="B523" s="75"/>
      <c r="C523" s="75"/>
      <c r="D523" s="75"/>
      <c r="E523" s="76"/>
      <c r="F523" s="76"/>
      <c r="G523" s="76"/>
      <c r="H523" s="76"/>
      <c r="I523" s="76"/>
      <c r="J523" s="76"/>
      <c r="K523" s="77"/>
      <c r="L523" s="77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</row>
    <row r="524">
      <c r="A524" s="75"/>
      <c r="B524" s="75"/>
      <c r="C524" s="75"/>
      <c r="D524" s="75"/>
      <c r="E524" s="76"/>
      <c r="F524" s="76"/>
      <c r="G524" s="76"/>
      <c r="H524" s="76"/>
      <c r="I524" s="76"/>
      <c r="J524" s="76"/>
      <c r="K524" s="77"/>
      <c r="L524" s="77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</row>
    <row r="525">
      <c r="A525" s="75"/>
      <c r="B525" s="75"/>
      <c r="C525" s="75"/>
      <c r="D525" s="75"/>
      <c r="E525" s="76"/>
      <c r="F525" s="76"/>
      <c r="G525" s="76"/>
      <c r="H525" s="76"/>
      <c r="I525" s="76"/>
      <c r="J525" s="76"/>
      <c r="K525" s="77"/>
      <c r="L525" s="77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</row>
    <row r="526">
      <c r="A526" s="75"/>
      <c r="B526" s="75"/>
      <c r="C526" s="75"/>
      <c r="D526" s="75"/>
      <c r="E526" s="76"/>
      <c r="F526" s="76"/>
      <c r="G526" s="76"/>
      <c r="H526" s="76"/>
      <c r="I526" s="76"/>
      <c r="J526" s="76"/>
      <c r="K526" s="77"/>
      <c r="L526" s="77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</row>
    <row r="527">
      <c r="A527" s="75"/>
      <c r="B527" s="75"/>
      <c r="C527" s="75"/>
      <c r="D527" s="75"/>
      <c r="E527" s="76"/>
      <c r="F527" s="76"/>
      <c r="G527" s="76"/>
      <c r="H527" s="76"/>
      <c r="I527" s="76"/>
      <c r="J527" s="76"/>
      <c r="K527" s="77"/>
      <c r="L527" s="77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</row>
    <row r="528">
      <c r="A528" s="75"/>
      <c r="B528" s="75"/>
      <c r="C528" s="75"/>
      <c r="D528" s="75"/>
      <c r="E528" s="76"/>
      <c r="F528" s="76"/>
      <c r="G528" s="76"/>
      <c r="H528" s="76"/>
      <c r="I528" s="76"/>
      <c r="J528" s="76"/>
      <c r="K528" s="77"/>
      <c r="L528" s="77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</row>
    <row r="529">
      <c r="A529" s="75"/>
      <c r="B529" s="75"/>
      <c r="C529" s="75"/>
      <c r="D529" s="75"/>
      <c r="E529" s="76"/>
      <c r="F529" s="76"/>
      <c r="G529" s="76"/>
      <c r="H529" s="76"/>
      <c r="I529" s="76"/>
      <c r="J529" s="76"/>
      <c r="K529" s="77"/>
      <c r="L529" s="77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</row>
    <row r="530">
      <c r="A530" s="75"/>
      <c r="B530" s="75"/>
      <c r="C530" s="75"/>
      <c r="D530" s="75"/>
      <c r="E530" s="76"/>
      <c r="F530" s="76"/>
      <c r="G530" s="76"/>
      <c r="H530" s="76"/>
      <c r="I530" s="76"/>
      <c r="J530" s="76"/>
      <c r="K530" s="77"/>
      <c r="L530" s="77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</row>
    <row r="531">
      <c r="A531" s="75"/>
      <c r="B531" s="75"/>
      <c r="C531" s="75"/>
      <c r="D531" s="75"/>
      <c r="E531" s="76"/>
      <c r="F531" s="76"/>
      <c r="G531" s="76"/>
      <c r="H531" s="76"/>
      <c r="I531" s="76"/>
      <c r="J531" s="76"/>
      <c r="K531" s="77"/>
      <c r="L531" s="77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</row>
    <row r="532">
      <c r="A532" s="75"/>
      <c r="B532" s="75"/>
      <c r="C532" s="75"/>
      <c r="D532" s="75"/>
      <c r="E532" s="76"/>
      <c r="F532" s="76"/>
      <c r="G532" s="76"/>
      <c r="H532" s="76"/>
      <c r="I532" s="76"/>
      <c r="J532" s="76"/>
      <c r="K532" s="77"/>
      <c r="L532" s="77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</row>
    <row r="533">
      <c r="A533" s="75"/>
      <c r="B533" s="75"/>
      <c r="C533" s="75"/>
      <c r="D533" s="75"/>
      <c r="E533" s="76"/>
      <c r="F533" s="76"/>
      <c r="G533" s="76"/>
      <c r="H533" s="76"/>
      <c r="I533" s="76"/>
      <c r="J533" s="76"/>
      <c r="K533" s="77"/>
      <c r="L533" s="77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</row>
    <row r="534">
      <c r="A534" s="75"/>
      <c r="B534" s="75"/>
      <c r="C534" s="75"/>
      <c r="D534" s="75"/>
      <c r="E534" s="76"/>
      <c r="F534" s="76"/>
      <c r="G534" s="76"/>
      <c r="H534" s="76"/>
      <c r="I534" s="76"/>
      <c r="J534" s="76"/>
      <c r="K534" s="77"/>
      <c r="L534" s="77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</row>
    <row r="535">
      <c r="A535" s="75"/>
      <c r="B535" s="75"/>
      <c r="C535" s="75"/>
      <c r="D535" s="75"/>
      <c r="E535" s="76"/>
      <c r="F535" s="76"/>
      <c r="G535" s="76"/>
      <c r="H535" s="76"/>
      <c r="I535" s="76"/>
      <c r="J535" s="76"/>
      <c r="K535" s="77"/>
      <c r="L535" s="77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</row>
    <row r="536">
      <c r="A536" s="75"/>
      <c r="B536" s="75"/>
      <c r="C536" s="75"/>
      <c r="D536" s="75"/>
      <c r="E536" s="76"/>
      <c r="F536" s="76"/>
      <c r="G536" s="76"/>
      <c r="H536" s="76"/>
      <c r="I536" s="76"/>
      <c r="J536" s="76"/>
      <c r="K536" s="77"/>
      <c r="L536" s="77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</row>
    <row r="537">
      <c r="A537" s="75"/>
      <c r="B537" s="75"/>
      <c r="C537" s="75"/>
      <c r="D537" s="75"/>
      <c r="E537" s="76"/>
      <c r="F537" s="76"/>
      <c r="G537" s="76"/>
      <c r="H537" s="76"/>
      <c r="I537" s="76"/>
      <c r="J537" s="76"/>
      <c r="K537" s="77"/>
      <c r="L537" s="77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</row>
    <row r="538">
      <c r="A538" s="75"/>
      <c r="B538" s="75"/>
      <c r="C538" s="75"/>
      <c r="D538" s="75"/>
      <c r="E538" s="76"/>
      <c r="F538" s="76"/>
      <c r="G538" s="76"/>
      <c r="H538" s="76"/>
      <c r="I538" s="76"/>
      <c r="J538" s="76"/>
      <c r="K538" s="77"/>
      <c r="L538" s="77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</row>
    <row r="539">
      <c r="A539" s="75"/>
      <c r="B539" s="75"/>
      <c r="C539" s="75"/>
      <c r="D539" s="75"/>
      <c r="E539" s="76"/>
      <c r="F539" s="76"/>
      <c r="G539" s="76"/>
      <c r="H539" s="76"/>
      <c r="I539" s="76"/>
      <c r="J539" s="76"/>
      <c r="K539" s="77"/>
      <c r="L539" s="77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</row>
    <row r="540">
      <c r="A540" s="75"/>
      <c r="B540" s="75"/>
      <c r="C540" s="75"/>
      <c r="D540" s="75"/>
      <c r="E540" s="76"/>
      <c r="F540" s="76"/>
      <c r="G540" s="76"/>
      <c r="H540" s="76"/>
      <c r="I540" s="76"/>
      <c r="J540" s="76"/>
      <c r="K540" s="77"/>
      <c r="L540" s="77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</row>
    <row r="541">
      <c r="A541" s="75"/>
      <c r="B541" s="75"/>
      <c r="C541" s="75"/>
      <c r="D541" s="75"/>
      <c r="E541" s="76"/>
      <c r="F541" s="76"/>
      <c r="G541" s="76"/>
      <c r="H541" s="76"/>
      <c r="I541" s="76"/>
      <c r="J541" s="76"/>
      <c r="K541" s="77"/>
      <c r="L541" s="77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</row>
    <row r="542">
      <c r="A542" s="75"/>
      <c r="B542" s="75"/>
      <c r="C542" s="75"/>
      <c r="D542" s="75"/>
      <c r="E542" s="76"/>
      <c r="F542" s="76"/>
      <c r="G542" s="76"/>
      <c r="H542" s="76"/>
      <c r="I542" s="76"/>
      <c r="J542" s="76"/>
      <c r="K542" s="77"/>
      <c r="L542" s="77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</row>
    <row r="543">
      <c r="A543" s="75"/>
      <c r="B543" s="75"/>
      <c r="C543" s="75"/>
      <c r="D543" s="75"/>
      <c r="E543" s="76"/>
      <c r="F543" s="76"/>
      <c r="G543" s="76"/>
      <c r="H543" s="76"/>
      <c r="I543" s="76"/>
      <c r="J543" s="76"/>
      <c r="K543" s="77"/>
      <c r="L543" s="77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</row>
    <row r="544">
      <c r="A544" s="75"/>
      <c r="B544" s="75"/>
      <c r="C544" s="75"/>
      <c r="D544" s="75"/>
      <c r="E544" s="76"/>
      <c r="F544" s="76"/>
      <c r="G544" s="76"/>
      <c r="H544" s="76"/>
      <c r="I544" s="76"/>
      <c r="J544" s="76"/>
      <c r="K544" s="77"/>
      <c r="L544" s="77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</row>
    <row r="545">
      <c r="A545" s="75"/>
      <c r="B545" s="75"/>
      <c r="C545" s="75"/>
      <c r="D545" s="75"/>
      <c r="E545" s="76"/>
      <c r="F545" s="76"/>
      <c r="G545" s="76"/>
      <c r="H545" s="76"/>
      <c r="I545" s="76"/>
      <c r="J545" s="76"/>
      <c r="K545" s="77"/>
      <c r="L545" s="77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</row>
    <row r="546">
      <c r="A546" s="75"/>
      <c r="B546" s="75"/>
      <c r="C546" s="75"/>
      <c r="D546" s="75"/>
      <c r="E546" s="76"/>
      <c r="F546" s="76"/>
      <c r="G546" s="76"/>
      <c r="H546" s="76"/>
      <c r="I546" s="76"/>
      <c r="J546" s="76"/>
      <c r="K546" s="77"/>
      <c r="L546" s="77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</row>
    <row r="547">
      <c r="A547" s="75"/>
      <c r="B547" s="75"/>
      <c r="C547" s="75"/>
      <c r="D547" s="75"/>
      <c r="E547" s="76"/>
      <c r="F547" s="76"/>
      <c r="G547" s="76"/>
      <c r="H547" s="76"/>
      <c r="I547" s="76"/>
      <c r="J547" s="76"/>
      <c r="K547" s="77"/>
      <c r="L547" s="77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</row>
    <row r="548">
      <c r="A548" s="75"/>
      <c r="B548" s="75"/>
      <c r="C548" s="75"/>
      <c r="D548" s="75"/>
      <c r="E548" s="76"/>
      <c r="F548" s="76"/>
      <c r="G548" s="76"/>
      <c r="H548" s="76"/>
      <c r="I548" s="76"/>
      <c r="J548" s="76"/>
      <c r="K548" s="77"/>
      <c r="L548" s="77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</row>
    <row r="549">
      <c r="A549" s="75"/>
      <c r="B549" s="75"/>
      <c r="C549" s="75"/>
      <c r="D549" s="75"/>
      <c r="E549" s="76"/>
      <c r="F549" s="76"/>
      <c r="G549" s="76"/>
      <c r="H549" s="76"/>
      <c r="I549" s="76"/>
      <c r="J549" s="76"/>
      <c r="K549" s="77"/>
      <c r="L549" s="77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</row>
    <row r="550">
      <c r="A550" s="75"/>
      <c r="B550" s="75"/>
      <c r="C550" s="75"/>
      <c r="D550" s="75"/>
      <c r="E550" s="76"/>
      <c r="F550" s="76"/>
      <c r="G550" s="76"/>
      <c r="H550" s="76"/>
      <c r="I550" s="76"/>
      <c r="J550" s="76"/>
      <c r="K550" s="77"/>
      <c r="L550" s="77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</row>
    <row r="551">
      <c r="A551" s="75"/>
      <c r="B551" s="75"/>
      <c r="C551" s="75"/>
      <c r="D551" s="75"/>
      <c r="E551" s="76"/>
      <c r="F551" s="76"/>
      <c r="G551" s="76"/>
      <c r="H551" s="76"/>
      <c r="I551" s="76"/>
      <c r="J551" s="76"/>
      <c r="K551" s="77"/>
      <c r="L551" s="77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</row>
    <row r="552">
      <c r="A552" s="75"/>
      <c r="B552" s="75"/>
      <c r="C552" s="75"/>
      <c r="D552" s="75"/>
      <c r="E552" s="76"/>
      <c r="F552" s="76"/>
      <c r="G552" s="76"/>
      <c r="H552" s="76"/>
      <c r="I552" s="76"/>
      <c r="J552" s="76"/>
      <c r="K552" s="77"/>
      <c r="L552" s="77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</row>
    <row r="553">
      <c r="A553" s="75"/>
      <c r="B553" s="75"/>
      <c r="C553" s="75"/>
      <c r="D553" s="75"/>
      <c r="E553" s="76"/>
      <c r="F553" s="76"/>
      <c r="G553" s="76"/>
      <c r="H553" s="76"/>
      <c r="I553" s="76"/>
      <c r="J553" s="76"/>
      <c r="K553" s="77"/>
      <c r="L553" s="77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</row>
    <row r="554">
      <c r="A554" s="75"/>
      <c r="B554" s="75"/>
      <c r="C554" s="75"/>
      <c r="D554" s="75"/>
      <c r="E554" s="76"/>
      <c r="F554" s="76"/>
      <c r="G554" s="76"/>
      <c r="H554" s="76"/>
      <c r="I554" s="76"/>
      <c r="J554" s="76"/>
      <c r="K554" s="77"/>
      <c r="L554" s="77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</row>
    <row r="555">
      <c r="A555" s="75"/>
      <c r="B555" s="75"/>
      <c r="C555" s="75"/>
      <c r="D555" s="75"/>
      <c r="E555" s="76"/>
      <c r="F555" s="76"/>
      <c r="G555" s="76"/>
      <c r="H555" s="76"/>
      <c r="I555" s="76"/>
      <c r="J555" s="76"/>
      <c r="K555" s="77"/>
      <c r="L555" s="77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</row>
    <row r="556">
      <c r="A556" s="75"/>
      <c r="B556" s="75"/>
      <c r="C556" s="75"/>
      <c r="D556" s="75"/>
      <c r="E556" s="76"/>
      <c r="F556" s="76"/>
      <c r="G556" s="76"/>
      <c r="H556" s="76"/>
      <c r="I556" s="76"/>
      <c r="J556" s="76"/>
      <c r="K556" s="77"/>
      <c r="L556" s="77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</row>
    <row r="557">
      <c r="A557" s="75"/>
      <c r="B557" s="75"/>
      <c r="C557" s="75"/>
      <c r="D557" s="75"/>
      <c r="E557" s="76"/>
      <c r="F557" s="76"/>
      <c r="G557" s="76"/>
      <c r="H557" s="76"/>
      <c r="I557" s="76"/>
      <c r="J557" s="76"/>
      <c r="K557" s="77"/>
      <c r="L557" s="77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</row>
    <row r="558">
      <c r="A558" s="75"/>
      <c r="B558" s="75"/>
      <c r="C558" s="75"/>
      <c r="D558" s="75"/>
      <c r="E558" s="76"/>
      <c r="F558" s="76"/>
      <c r="G558" s="76"/>
      <c r="H558" s="76"/>
      <c r="I558" s="76"/>
      <c r="J558" s="76"/>
      <c r="K558" s="77"/>
      <c r="L558" s="77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</row>
    <row r="559">
      <c r="A559" s="75"/>
      <c r="B559" s="75"/>
      <c r="C559" s="75"/>
      <c r="D559" s="75"/>
      <c r="E559" s="76"/>
      <c r="F559" s="76"/>
      <c r="G559" s="76"/>
      <c r="H559" s="76"/>
      <c r="I559" s="76"/>
      <c r="J559" s="76"/>
      <c r="K559" s="77"/>
      <c r="L559" s="77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</row>
    <row r="560">
      <c r="A560" s="75"/>
      <c r="B560" s="75"/>
      <c r="C560" s="75"/>
      <c r="D560" s="75"/>
      <c r="E560" s="76"/>
      <c r="F560" s="76"/>
      <c r="G560" s="76"/>
      <c r="H560" s="76"/>
      <c r="I560" s="76"/>
      <c r="J560" s="76"/>
      <c r="K560" s="77"/>
      <c r="L560" s="77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</row>
    <row r="561">
      <c r="A561" s="75"/>
      <c r="B561" s="75"/>
      <c r="C561" s="75"/>
      <c r="D561" s="75"/>
      <c r="E561" s="76"/>
      <c r="F561" s="76"/>
      <c r="G561" s="76"/>
      <c r="H561" s="76"/>
      <c r="I561" s="76"/>
      <c r="J561" s="76"/>
      <c r="K561" s="77"/>
      <c r="L561" s="77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</row>
    <row r="562">
      <c r="A562" s="75"/>
      <c r="B562" s="75"/>
      <c r="C562" s="75"/>
      <c r="D562" s="75"/>
      <c r="E562" s="76"/>
      <c r="F562" s="76"/>
      <c r="G562" s="76"/>
      <c r="H562" s="76"/>
      <c r="I562" s="76"/>
      <c r="J562" s="76"/>
      <c r="K562" s="77"/>
      <c r="L562" s="77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</row>
    <row r="563">
      <c r="A563" s="75"/>
      <c r="B563" s="75"/>
      <c r="C563" s="75"/>
      <c r="D563" s="75"/>
      <c r="E563" s="76"/>
      <c r="F563" s="76"/>
      <c r="G563" s="76"/>
      <c r="H563" s="76"/>
      <c r="I563" s="76"/>
      <c r="J563" s="76"/>
      <c r="K563" s="77"/>
      <c r="L563" s="77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</row>
    <row r="564">
      <c r="A564" s="75"/>
      <c r="B564" s="75"/>
      <c r="C564" s="75"/>
      <c r="D564" s="75"/>
      <c r="E564" s="76"/>
      <c r="F564" s="76"/>
      <c r="G564" s="76"/>
      <c r="H564" s="76"/>
      <c r="I564" s="76"/>
      <c r="J564" s="76"/>
      <c r="K564" s="77"/>
      <c r="L564" s="77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</row>
    <row r="565">
      <c r="A565" s="75"/>
      <c r="B565" s="75"/>
      <c r="C565" s="75"/>
      <c r="D565" s="75"/>
      <c r="E565" s="76"/>
      <c r="F565" s="76"/>
      <c r="G565" s="76"/>
      <c r="H565" s="76"/>
      <c r="I565" s="76"/>
      <c r="J565" s="76"/>
      <c r="K565" s="77"/>
      <c r="L565" s="77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</row>
    <row r="566">
      <c r="A566" s="75"/>
      <c r="B566" s="75"/>
      <c r="C566" s="75"/>
      <c r="D566" s="75"/>
      <c r="E566" s="76"/>
      <c r="F566" s="76"/>
      <c r="G566" s="76"/>
      <c r="H566" s="76"/>
      <c r="I566" s="76"/>
      <c r="J566" s="76"/>
      <c r="K566" s="77"/>
      <c r="L566" s="77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</row>
    <row r="567">
      <c r="A567" s="75"/>
      <c r="B567" s="75"/>
      <c r="C567" s="75"/>
      <c r="D567" s="75"/>
      <c r="E567" s="76"/>
      <c r="F567" s="76"/>
      <c r="G567" s="76"/>
      <c r="H567" s="76"/>
      <c r="I567" s="76"/>
      <c r="J567" s="76"/>
      <c r="K567" s="77"/>
      <c r="L567" s="77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</row>
    <row r="568">
      <c r="A568" s="75"/>
      <c r="B568" s="75"/>
      <c r="C568" s="75"/>
      <c r="D568" s="75"/>
      <c r="E568" s="76"/>
      <c r="F568" s="76"/>
      <c r="G568" s="76"/>
      <c r="H568" s="76"/>
      <c r="I568" s="76"/>
      <c r="J568" s="76"/>
      <c r="K568" s="77"/>
      <c r="L568" s="77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</row>
    <row r="569">
      <c r="A569" s="75"/>
      <c r="B569" s="75"/>
      <c r="C569" s="75"/>
      <c r="D569" s="75"/>
      <c r="E569" s="76"/>
      <c r="F569" s="76"/>
      <c r="G569" s="76"/>
      <c r="H569" s="76"/>
      <c r="I569" s="76"/>
      <c r="J569" s="76"/>
      <c r="K569" s="77"/>
      <c r="L569" s="77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</row>
    <row r="570">
      <c r="A570" s="75"/>
      <c r="B570" s="75"/>
      <c r="C570" s="75"/>
      <c r="D570" s="75"/>
      <c r="E570" s="76"/>
      <c r="F570" s="76"/>
      <c r="G570" s="76"/>
      <c r="H570" s="76"/>
      <c r="I570" s="76"/>
      <c r="J570" s="76"/>
      <c r="K570" s="77"/>
      <c r="L570" s="77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</row>
    <row r="571">
      <c r="A571" s="75"/>
      <c r="B571" s="75"/>
      <c r="C571" s="75"/>
      <c r="D571" s="75"/>
      <c r="E571" s="76"/>
      <c r="F571" s="76"/>
      <c r="G571" s="76"/>
      <c r="H571" s="76"/>
      <c r="I571" s="76"/>
      <c r="J571" s="76"/>
      <c r="K571" s="77"/>
      <c r="L571" s="77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</row>
    <row r="572">
      <c r="A572" s="75"/>
      <c r="B572" s="75"/>
      <c r="C572" s="75"/>
      <c r="D572" s="75"/>
      <c r="E572" s="76"/>
      <c r="F572" s="76"/>
      <c r="G572" s="76"/>
      <c r="H572" s="76"/>
      <c r="I572" s="76"/>
      <c r="J572" s="76"/>
      <c r="K572" s="77"/>
      <c r="L572" s="77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</row>
    <row r="573">
      <c r="A573" s="75"/>
      <c r="B573" s="75"/>
      <c r="C573" s="75"/>
      <c r="D573" s="75"/>
      <c r="E573" s="76"/>
      <c r="F573" s="76"/>
      <c r="G573" s="76"/>
      <c r="H573" s="76"/>
      <c r="I573" s="76"/>
      <c r="J573" s="76"/>
      <c r="K573" s="77"/>
      <c r="L573" s="77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</row>
    <row r="574">
      <c r="A574" s="75"/>
      <c r="B574" s="75"/>
      <c r="C574" s="75"/>
      <c r="D574" s="75"/>
      <c r="E574" s="76"/>
      <c r="F574" s="76"/>
      <c r="G574" s="76"/>
      <c r="H574" s="76"/>
      <c r="I574" s="76"/>
      <c r="J574" s="76"/>
      <c r="K574" s="77"/>
      <c r="L574" s="77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</row>
    <row r="575">
      <c r="A575" s="75"/>
      <c r="B575" s="75"/>
      <c r="C575" s="75"/>
      <c r="D575" s="75"/>
      <c r="E575" s="76"/>
      <c r="F575" s="76"/>
      <c r="G575" s="76"/>
      <c r="H575" s="76"/>
      <c r="I575" s="76"/>
      <c r="J575" s="76"/>
      <c r="K575" s="77"/>
      <c r="L575" s="77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</row>
    <row r="576">
      <c r="A576" s="75"/>
      <c r="B576" s="75"/>
      <c r="C576" s="75"/>
      <c r="D576" s="75"/>
      <c r="E576" s="76"/>
      <c r="F576" s="76"/>
      <c r="G576" s="76"/>
      <c r="H576" s="76"/>
      <c r="I576" s="76"/>
      <c r="J576" s="76"/>
      <c r="K576" s="77"/>
      <c r="L576" s="77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</row>
    <row r="577">
      <c r="A577" s="75"/>
      <c r="B577" s="75"/>
      <c r="C577" s="75"/>
      <c r="D577" s="75"/>
      <c r="E577" s="76"/>
      <c r="F577" s="76"/>
      <c r="G577" s="76"/>
      <c r="H577" s="76"/>
      <c r="I577" s="76"/>
      <c r="J577" s="76"/>
      <c r="K577" s="77"/>
      <c r="L577" s="77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</row>
    <row r="578">
      <c r="A578" s="75"/>
      <c r="B578" s="75"/>
      <c r="C578" s="75"/>
      <c r="D578" s="75"/>
      <c r="E578" s="76"/>
      <c r="F578" s="76"/>
      <c r="G578" s="76"/>
      <c r="H578" s="76"/>
      <c r="I578" s="76"/>
      <c r="J578" s="76"/>
      <c r="K578" s="77"/>
      <c r="L578" s="77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</row>
    <row r="579">
      <c r="A579" s="75"/>
      <c r="B579" s="75"/>
      <c r="C579" s="75"/>
      <c r="D579" s="75"/>
      <c r="E579" s="76"/>
      <c r="F579" s="76"/>
      <c r="G579" s="76"/>
      <c r="H579" s="76"/>
      <c r="I579" s="76"/>
      <c r="J579" s="76"/>
      <c r="K579" s="77"/>
      <c r="L579" s="77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</row>
    <row r="580">
      <c r="A580" s="75"/>
      <c r="B580" s="75"/>
      <c r="C580" s="75"/>
      <c r="D580" s="75"/>
      <c r="E580" s="76"/>
      <c r="F580" s="76"/>
      <c r="G580" s="76"/>
      <c r="H580" s="76"/>
      <c r="I580" s="76"/>
      <c r="J580" s="76"/>
      <c r="K580" s="77"/>
      <c r="L580" s="77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</row>
    <row r="581">
      <c r="A581" s="75"/>
      <c r="B581" s="75"/>
      <c r="C581" s="75"/>
      <c r="D581" s="75"/>
      <c r="E581" s="76"/>
      <c r="F581" s="76"/>
      <c r="G581" s="76"/>
      <c r="H581" s="76"/>
      <c r="I581" s="76"/>
      <c r="J581" s="76"/>
      <c r="K581" s="77"/>
      <c r="L581" s="77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</row>
    <row r="582">
      <c r="A582" s="75"/>
      <c r="B582" s="75"/>
      <c r="C582" s="75"/>
      <c r="D582" s="75"/>
      <c r="E582" s="76"/>
      <c r="F582" s="76"/>
      <c r="G582" s="76"/>
      <c r="H582" s="76"/>
      <c r="I582" s="76"/>
      <c r="J582" s="76"/>
      <c r="K582" s="77"/>
      <c r="L582" s="77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</row>
    <row r="583">
      <c r="A583" s="75"/>
      <c r="B583" s="75"/>
      <c r="C583" s="75"/>
      <c r="D583" s="75"/>
      <c r="E583" s="76"/>
      <c r="F583" s="76"/>
      <c r="G583" s="76"/>
      <c r="H583" s="76"/>
      <c r="I583" s="76"/>
      <c r="J583" s="76"/>
      <c r="K583" s="77"/>
      <c r="L583" s="77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</row>
    <row r="584">
      <c r="A584" s="75"/>
      <c r="B584" s="75"/>
      <c r="C584" s="75"/>
      <c r="D584" s="75"/>
      <c r="E584" s="76"/>
      <c r="F584" s="76"/>
      <c r="G584" s="76"/>
      <c r="H584" s="76"/>
      <c r="I584" s="76"/>
      <c r="J584" s="76"/>
      <c r="K584" s="77"/>
      <c r="L584" s="77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</row>
    <row r="585">
      <c r="A585" s="75"/>
      <c r="B585" s="75"/>
      <c r="C585" s="75"/>
      <c r="D585" s="75"/>
      <c r="E585" s="76"/>
      <c r="F585" s="76"/>
      <c r="G585" s="76"/>
      <c r="H585" s="76"/>
      <c r="I585" s="76"/>
      <c r="J585" s="76"/>
      <c r="K585" s="77"/>
      <c r="L585" s="77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</row>
    <row r="586">
      <c r="A586" s="75"/>
      <c r="B586" s="75"/>
      <c r="C586" s="75"/>
      <c r="D586" s="75"/>
      <c r="E586" s="76"/>
      <c r="F586" s="76"/>
      <c r="G586" s="76"/>
      <c r="H586" s="76"/>
      <c r="I586" s="76"/>
      <c r="J586" s="76"/>
      <c r="K586" s="77"/>
      <c r="L586" s="77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</row>
    <row r="587">
      <c r="A587" s="75"/>
      <c r="B587" s="75"/>
      <c r="C587" s="75"/>
      <c r="D587" s="75"/>
      <c r="E587" s="76"/>
      <c r="F587" s="76"/>
      <c r="G587" s="76"/>
      <c r="H587" s="76"/>
      <c r="I587" s="76"/>
      <c r="J587" s="76"/>
      <c r="K587" s="77"/>
      <c r="L587" s="77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</row>
    <row r="588">
      <c r="A588" s="75"/>
      <c r="B588" s="75"/>
      <c r="C588" s="75"/>
      <c r="D588" s="75"/>
      <c r="E588" s="76"/>
      <c r="F588" s="76"/>
      <c r="G588" s="76"/>
      <c r="H588" s="76"/>
      <c r="I588" s="76"/>
      <c r="J588" s="76"/>
      <c r="K588" s="77"/>
      <c r="L588" s="77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</row>
    <row r="589">
      <c r="A589" s="75"/>
      <c r="B589" s="75"/>
      <c r="C589" s="75"/>
      <c r="D589" s="75"/>
      <c r="E589" s="76"/>
      <c r="F589" s="76"/>
      <c r="G589" s="76"/>
      <c r="H589" s="76"/>
      <c r="I589" s="76"/>
      <c r="J589" s="76"/>
      <c r="K589" s="77"/>
      <c r="L589" s="77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</row>
    <row r="590">
      <c r="A590" s="75"/>
      <c r="B590" s="75"/>
      <c r="C590" s="75"/>
      <c r="D590" s="75"/>
      <c r="E590" s="76"/>
      <c r="F590" s="76"/>
      <c r="G590" s="76"/>
      <c r="H590" s="76"/>
      <c r="I590" s="76"/>
      <c r="J590" s="76"/>
      <c r="K590" s="77"/>
      <c r="L590" s="77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</row>
    <row r="591">
      <c r="A591" s="75"/>
      <c r="B591" s="75"/>
      <c r="C591" s="75"/>
      <c r="D591" s="75"/>
      <c r="E591" s="76"/>
      <c r="F591" s="76"/>
      <c r="G591" s="76"/>
      <c r="H591" s="76"/>
      <c r="I591" s="76"/>
      <c r="J591" s="76"/>
      <c r="K591" s="77"/>
      <c r="L591" s="77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</row>
    <row r="592">
      <c r="A592" s="75"/>
      <c r="B592" s="75"/>
      <c r="C592" s="75"/>
      <c r="D592" s="75"/>
      <c r="E592" s="76"/>
      <c r="F592" s="76"/>
      <c r="G592" s="76"/>
      <c r="H592" s="76"/>
      <c r="I592" s="76"/>
      <c r="J592" s="76"/>
      <c r="K592" s="77"/>
      <c r="L592" s="77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</row>
    <row r="593">
      <c r="A593" s="75"/>
      <c r="B593" s="75"/>
      <c r="C593" s="75"/>
      <c r="D593" s="75"/>
      <c r="E593" s="76"/>
      <c r="F593" s="76"/>
      <c r="G593" s="76"/>
      <c r="H593" s="76"/>
      <c r="I593" s="76"/>
      <c r="J593" s="76"/>
      <c r="K593" s="77"/>
      <c r="L593" s="77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</row>
    <row r="594">
      <c r="A594" s="75"/>
      <c r="B594" s="75"/>
      <c r="C594" s="75"/>
      <c r="D594" s="75"/>
      <c r="E594" s="76"/>
      <c r="F594" s="76"/>
      <c r="G594" s="76"/>
      <c r="H594" s="76"/>
      <c r="I594" s="76"/>
      <c r="J594" s="76"/>
      <c r="K594" s="77"/>
      <c r="L594" s="77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</row>
    <row r="595">
      <c r="A595" s="75"/>
      <c r="B595" s="75"/>
      <c r="C595" s="75"/>
      <c r="D595" s="75"/>
      <c r="E595" s="76"/>
      <c r="F595" s="76"/>
      <c r="G595" s="76"/>
      <c r="H595" s="76"/>
      <c r="I595" s="76"/>
      <c r="J595" s="76"/>
      <c r="K595" s="77"/>
      <c r="L595" s="77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</row>
    <row r="596">
      <c r="A596" s="75"/>
      <c r="B596" s="75"/>
      <c r="C596" s="75"/>
      <c r="D596" s="75"/>
      <c r="E596" s="76"/>
      <c r="F596" s="76"/>
      <c r="G596" s="76"/>
      <c r="H596" s="76"/>
      <c r="I596" s="76"/>
      <c r="J596" s="76"/>
      <c r="K596" s="77"/>
      <c r="L596" s="77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</row>
    <row r="597">
      <c r="A597" s="75"/>
      <c r="B597" s="75"/>
      <c r="C597" s="75"/>
      <c r="D597" s="75"/>
      <c r="E597" s="76"/>
      <c r="F597" s="76"/>
      <c r="G597" s="76"/>
      <c r="H597" s="76"/>
      <c r="I597" s="76"/>
      <c r="J597" s="76"/>
      <c r="K597" s="77"/>
      <c r="L597" s="77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</row>
    <row r="598">
      <c r="A598" s="75"/>
      <c r="B598" s="75"/>
      <c r="C598" s="75"/>
      <c r="D598" s="75"/>
      <c r="E598" s="76"/>
      <c r="F598" s="76"/>
      <c r="G598" s="76"/>
      <c r="H598" s="76"/>
      <c r="I598" s="76"/>
      <c r="J598" s="76"/>
      <c r="K598" s="77"/>
      <c r="L598" s="77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</row>
    <row r="599">
      <c r="A599" s="75"/>
      <c r="B599" s="75"/>
      <c r="C599" s="75"/>
      <c r="D599" s="75"/>
      <c r="E599" s="76"/>
      <c r="F599" s="76"/>
      <c r="G599" s="76"/>
      <c r="H599" s="76"/>
      <c r="I599" s="76"/>
      <c r="J599" s="76"/>
      <c r="K599" s="77"/>
      <c r="L599" s="77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</row>
    <row r="600">
      <c r="A600" s="75"/>
      <c r="B600" s="75"/>
      <c r="C600" s="75"/>
      <c r="D600" s="75"/>
      <c r="E600" s="76"/>
      <c r="F600" s="76"/>
      <c r="G600" s="76"/>
      <c r="H600" s="76"/>
      <c r="I600" s="76"/>
      <c r="J600" s="76"/>
      <c r="K600" s="77"/>
      <c r="L600" s="77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</row>
    <row r="601">
      <c r="A601" s="75"/>
      <c r="B601" s="75"/>
      <c r="C601" s="75"/>
      <c r="D601" s="75"/>
      <c r="E601" s="76"/>
      <c r="F601" s="76"/>
      <c r="G601" s="76"/>
      <c r="H601" s="76"/>
      <c r="I601" s="76"/>
      <c r="J601" s="76"/>
      <c r="K601" s="77"/>
      <c r="L601" s="77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</row>
    <row r="602">
      <c r="A602" s="75"/>
      <c r="B602" s="75"/>
      <c r="C602" s="75"/>
      <c r="D602" s="75"/>
      <c r="E602" s="76"/>
      <c r="F602" s="76"/>
      <c r="G602" s="76"/>
      <c r="H602" s="76"/>
      <c r="I602" s="76"/>
      <c r="J602" s="76"/>
      <c r="K602" s="77"/>
      <c r="L602" s="77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</row>
    <row r="603">
      <c r="A603" s="75"/>
      <c r="B603" s="75"/>
      <c r="C603" s="75"/>
      <c r="D603" s="75"/>
      <c r="E603" s="76"/>
      <c r="F603" s="76"/>
      <c r="G603" s="76"/>
      <c r="H603" s="76"/>
      <c r="I603" s="76"/>
      <c r="J603" s="76"/>
      <c r="K603" s="77"/>
      <c r="L603" s="77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</row>
    <row r="604">
      <c r="A604" s="75"/>
      <c r="B604" s="75"/>
      <c r="C604" s="75"/>
      <c r="D604" s="75"/>
      <c r="E604" s="76"/>
      <c r="F604" s="76"/>
      <c r="G604" s="76"/>
      <c r="H604" s="76"/>
      <c r="I604" s="76"/>
      <c r="J604" s="76"/>
      <c r="K604" s="77"/>
      <c r="L604" s="77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</row>
    <row r="605">
      <c r="A605" s="75"/>
      <c r="B605" s="75"/>
      <c r="C605" s="75"/>
      <c r="D605" s="75"/>
      <c r="E605" s="76"/>
      <c r="F605" s="76"/>
      <c r="G605" s="76"/>
      <c r="H605" s="76"/>
      <c r="I605" s="76"/>
      <c r="J605" s="76"/>
      <c r="K605" s="77"/>
      <c r="L605" s="77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</row>
    <row r="606">
      <c r="A606" s="75"/>
      <c r="B606" s="75"/>
      <c r="C606" s="75"/>
      <c r="D606" s="75"/>
      <c r="E606" s="76"/>
      <c r="F606" s="76"/>
      <c r="G606" s="76"/>
      <c r="H606" s="76"/>
      <c r="I606" s="76"/>
      <c r="J606" s="76"/>
      <c r="K606" s="77"/>
      <c r="L606" s="77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</row>
    <row r="607">
      <c r="A607" s="75"/>
      <c r="B607" s="75"/>
      <c r="C607" s="75"/>
      <c r="D607" s="75"/>
      <c r="E607" s="76"/>
      <c r="F607" s="76"/>
      <c r="G607" s="76"/>
      <c r="H607" s="76"/>
      <c r="I607" s="76"/>
      <c r="J607" s="76"/>
      <c r="K607" s="77"/>
      <c r="L607" s="77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</row>
    <row r="608">
      <c r="A608" s="75"/>
      <c r="B608" s="75"/>
      <c r="C608" s="75"/>
      <c r="D608" s="75"/>
      <c r="E608" s="76"/>
      <c r="F608" s="76"/>
      <c r="G608" s="76"/>
      <c r="H608" s="76"/>
      <c r="I608" s="76"/>
      <c r="J608" s="76"/>
      <c r="K608" s="77"/>
      <c r="L608" s="77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</row>
    <row r="609">
      <c r="A609" s="75"/>
      <c r="B609" s="75"/>
      <c r="C609" s="75"/>
      <c r="D609" s="75"/>
      <c r="E609" s="76"/>
      <c r="F609" s="76"/>
      <c r="G609" s="76"/>
      <c r="H609" s="76"/>
      <c r="I609" s="76"/>
      <c r="J609" s="76"/>
      <c r="K609" s="77"/>
      <c r="L609" s="77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</row>
    <row r="610">
      <c r="A610" s="75"/>
      <c r="B610" s="75"/>
      <c r="C610" s="75"/>
      <c r="D610" s="75"/>
      <c r="E610" s="76"/>
      <c r="F610" s="76"/>
      <c r="G610" s="76"/>
      <c r="H610" s="76"/>
      <c r="I610" s="76"/>
      <c r="J610" s="76"/>
      <c r="K610" s="77"/>
      <c r="L610" s="77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</row>
    <row r="611">
      <c r="A611" s="75"/>
      <c r="B611" s="75"/>
      <c r="C611" s="75"/>
      <c r="D611" s="75"/>
      <c r="E611" s="76"/>
      <c r="F611" s="76"/>
      <c r="G611" s="76"/>
      <c r="H611" s="76"/>
      <c r="I611" s="76"/>
      <c r="J611" s="76"/>
      <c r="K611" s="77"/>
      <c r="L611" s="77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</row>
    <row r="612">
      <c r="A612" s="75"/>
      <c r="B612" s="75"/>
      <c r="C612" s="75"/>
      <c r="D612" s="75"/>
      <c r="E612" s="76"/>
      <c r="F612" s="76"/>
      <c r="G612" s="76"/>
      <c r="H612" s="76"/>
      <c r="I612" s="76"/>
      <c r="J612" s="76"/>
      <c r="K612" s="77"/>
      <c r="L612" s="77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</row>
    <row r="613">
      <c r="A613" s="75"/>
      <c r="B613" s="75"/>
      <c r="C613" s="75"/>
      <c r="D613" s="75"/>
      <c r="E613" s="76"/>
      <c r="F613" s="76"/>
      <c r="G613" s="76"/>
      <c r="H613" s="76"/>
      <c r="I613" s="76"/>
      <c r="J613" s="76"/>
      <c r="K613" s="77"/>
      <c r="L613" s="77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</row>
    <row r="614">
      <c r="A614" s="75"/>
      <c r="B614" s="75"/>
      <c r="C614" s="75"/>
      <c r="D614" s="75"/>
      <c r="E614" s="76"/>
      <c r="F614" s="76"/>
      <c r="G614" s="76"/>
      <c r="H614" s="76"/>
      <c r="I614" s="76"/>
      <c r="J614" s="76"/>
      <c r="K614" s="77"/>
      <c r="L614" s="77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</row>
    <row r="615">
      <c r="A615" s="75"/>
      <c r="B615" s="75"/>
      <c r="C615" s="75"/>
      <c r="D615" s="75"/>
      <c r="E615" s="76"/>
      <c r="F615" s="76"/>
      <c r="G615" s="76"/>
      <c r="H615" s="76"/>
      <c r="I615" s="76"/>
      <c r="J615" s="76"/>
      <c r="K615" s="77"/>
      <c r="L615" s="77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</row>
    <row r="616">
      <c r="A616" s="75"/>
      <c r="B616" s="75"/>
      <c r="C616" s="75"/>
      <c r="D616" s="75"/>
      <c r="E616" s="76"/>
      <c r="F616" s="76"/>
      <c r="G616" s="76"/>
      <c r="H616" s="76"/>
      <c r="I616" s="76"/>
      <c r="J616" s="76"/>
      <c r="K616" s="77"/>
      <c r="L616" s="77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</row>
    <row r="617">
      <c r="A617" s="75"/>
      <c r="B617" s="75"/>
      <c r="C617" s="75"/>
      <c r="D617" s="75"/>
      <c r="E617" s="76"/>
      <c r="F617" s="76"/>
      <c r="G617" s="76"/>
      <c r="H617" s="76"/>
      <c r="I617" s="76"/>
      <c r="J617" s="76"/>
      <c r="K617" s="77"/>
      <c r="L617" s="77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</row>
    <row r="618">
      <c r="A618" s="75"/>
      <c r="B618" s="75"/>
      <c r="C618" s="75"/>
      <c r="D618" s="75"/>
      <c r="E618" s="76"/>
      <c r="F618" s="76"/>
      <c r="G618" s="76"/>
      <c r="H618" s="76"/>
      <c r="I618" s="76"/>
      <c r="J618" s="76"/>
      <c r="K618" s="77"/>
      <c r="L618" s="77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</row>
    <row r="619">
      <c r="A619" s="75"/>
      <c r="B619" s="75"/>
      <c r="C619" s="75"/>
      <c r="D619" s="75"/>
      <c r="E619" s="76"/>
      <c r="F619" s="76"/>
      <c r="G619" s="76"/>
      <c r="H619" s="76"/>
      <c r="I619" s="76"/>
      <c r="J619" s="76"/>
      <c r="K619" s="77"/>
      <c r="L619" s="77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</row>
    <row r="620">
      <c r="A620" s="75"/>
      <c r="B620" s="75"/>
      <c r="C620" s="75"/>
      <c r="D620" s="75"/>
      <c r="E620" s="76"/>
      <c r="F620" s="76"/>
      <c r="G620" s="76"/>
      <c r="H620" s="76"/>
      <c r="I620" s="76"/>
      <c r="J620" s="76"/>
      <c r="K620" s="77"/>
      <c r="L620" s="77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</row>
    <row r="621">
      <c r="A621" s="75"/>
      <c r="B621" s="75"/>
      <c r="C621" s="75"/>
      <c r="D621" s="75"/>
      <c r="E621" s="76"/>
      <c r="F621" s="76"/>
      <c r="G621" s="76"/>
      <c r="H621" s="76"/>
      <c r="I621" s="76"/>
      <c r="J621" s="76"/>
      <c r="K621" s="77"/>
      <c r="L621" s="77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</row>
    <row r="622">
      <c r="A622" s="75"/>
      <c r="B622" s="75"/>
      <c r="C622" s="75"/>
      <c r="D622" s="75"/>
      <c r="E622" s="76"/>
      <c r="F622" s="76"/>
      <c r="G622" s="76"/>
      <c r="H622" s="76"/>
      <c r="I622" s="76"/>
      <c r="J622" s="76"/>
      <c r="K622" s="77"/>
      <c r="L622" s="77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</row>
    <row r="623">
      <c r="A623" s="75"/>
      <c r="B623" s="75"/>
      <c r="C623" s="75"/>
      <c r="D623" s="75"/>
      <c r="E623" s="76"/>
      <c r="F623" s="76"/>
      <c r="G623" s="76"/>
      <c r="H623" s="76"/>
      <c r="I623" s="76"/>
      <c r="J623" s="76"/>
      <c r="K623" s="77"/>
      <c r="L623" s="77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</row>
    <row r="624">
      <c r="A624" s="75"/>
      <c r="B624" s="75"/>
      <c r="C624" s="75"/>
      <c r="D624" s="75"/>
      <c r="E624" s="76"/>
      <c r="F624" s="76"/>
      <c r="G624" s="76"/>
      <c r="H624" s="76"/>
      <c r="I624" s="76"/>
      <c r="J624" s="76"/>
      <c r="K624" s="77"/>
      <c r="L624" s="77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</row>
    <row r="625">
      <c r="A625" s="75"/>
      <c r="B625" s="75"/>
      <c r="C625" s="75"/>
      <c r="D625" s="75"/>
      <c r="E625" s="76"/>
      <c r="F625" s="76"/>
      <c r="G625" s="76"/>
      <c r="H625" s="76"/>
      <c r="I625" s="76"/>
      <c r="J625" s="76"/>
      <c r="K625" s="77"/>
      <c r="L625" s="77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</row>
    <row r="626">
      <c r="A626" s="75"/>
      <c r="B626" s="75"/>
      <c r="C626" s="75"/>
      <c r="D626" s="75"/>
      <c r="E626" s="76"/>
      <c r="F626" s="76"/>
      <c r="G626" s="76"/>
      <c r="H626" s="76"/>
      <c r="I626" s="76"/>
      <c r="J626" s="76"/>
      <c r="K626" s="77"/>
      <c r="L626" s="77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</row>
    <row r="627">
      <c r="A627" s="75"/>
      <c r="B627" s="75"/>
      <c r="C627" s="75"/>
      <c r="D627" s="75"/>
      <c r="E627" s="76"/>
      <c r="F627" s="76"/>
      <c r="G627" s="76"/>
      <c r="H627" s="76"/>
      <c r="I627" s="76"/>
      <c r="J627" s="76"/>
      <c r="K627" s="77"/>
      <c r="L627" s="77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</row>
    <row r="628">
      <c r="A628" s="75"/>
      <c r="B628" s="75"/>
      <c r="C628" s="75"/>
      <c r="D628" s="75"/>
      <c r="E628" s="76"/>
      <c r="F628" s="76"/>
      <c r="G628" s="76"/>
      <c r="H628" s="76"/>
      <c r="I628" s="76"/>
      <c r="J628" s="76"/>
      <c r="K628" s="77"/>
      <c r="L628" s="77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</row>
    <row r="629">
      <c r="A629" s="75"/>
      <c r="B629" s="75"/>
      <c r="C629" s="75"/>
      <c r="D629" s="75"/>
      <c r="E629" s="76"/>
      <c r="F629" s="76"/>
      <c r="G629" s="76"/>
      <c r="H629" s="76"/>
      <c r="I629" s="76"/>
      <c r="J629" s="76"/>
      <c r="K629" s="77"/>
      <c r="L629" s="77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</row>
    <row r="630">
      <c r="A630" s="75"/>
      <c r="B630" s="75"/>
      <c r="C630" s="75"/>
      <c r="D630" s="75"/>
      <c r="E630" s="76"/>
      <c r="F630" s="76"/>
      <c r="G630" s="76"/>
      <c r="H630" s="76"/>
      <c r="I630" s="76"/>
      <c r="J630" s="76"/>
      <c r="K630" s="77"/>
      <c r="L630" s="77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</row>
    <row r="631">
      <c r="A631" s="75"/>
      <c r="B631" s="75"/>
      <c r="C631" s="75"/>
      <c r="D631" s="75"/>
      <c r="E631" s="76"/>
      <c r="F631" s="76"/>
      <c r="G631" s="76"/>
      <c r="H631" s="76"/>
      <c r="I631" s="76"/>
      <c r="J631" s="76"/>
      <c r="K631" s="77"/>
      <c r="L631" s="77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</row>
    <row r="632">
      <c r="A632" s="75"/>
      <c r="B632" s="75"/>
      <c r="C632" s="75"/>
      <c r="D632" s="75"/>
      <c r="E632" s="76"/>
      <c r="F632" s="76"/>
      <c r="G632" s="76"/>
      <c r="H632" s="76"/>
      <c r="I632" s="76"/>
      <c r="J632" s="76"/>
      <c r="K632" s="77"/>
      <c r="L632" s="77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</row>
    <row r="633">
      <c r="A633" s="75"/>
      <c r="B633" s="75"/>
      <c r="C633" s="75"/>
      <c r="D633" s="75"/>
      <c r="E633" s="76"/>
      <c r="F633" s="76"/>
      <c r="G633" s="76"/>
      <c r="H633" s="76"/>
      <c r="I633" s="76"/>
      <c r="J633" s="76"/>
      <c r="K633" s="77"/>
      <c r="L633" s="77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</row>
    <row r="634">
      <c r="A634" s="75"/>
      <c r="B634" s="75"/>
      <c r="C634" s="75"/>
      <c r="D634" s="75"/>
      <c r="E634" s="76"/>
      <c r="F634" s="76"/>
      <c r="G634" s="76"/>
      <c r="H634" s="76"/>
      <c r="I634" s="76"/>
      <c r="J634" s="76"/>
      <c r="K634" s="77"/>
      <c r="L634" s="77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</row>
    <row r="635">
      <c r="A635" s="75"/>
      <c r="B635" s="75"/>
      <c r="C635" s="75"/>
      <c r="D635" s="75"/>
      <c r="E635" s="76"/>
      <c r="F635" s="76"/>
      <c r="G635" s="76"/>
      <c r="H635" s="76"/>
      <c r="I635" s="76"/>
      <c r="J635" s="76"/>
      <c r="K635" s="77"/>
      <c r="L635" s="77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</row>
    <row r="636">
      <c r="A636" s="75"/>
      <c r="B636" s="75"/>
      <c r="C636" s="75"/>
      <c r="D636" s="75"/>
      <c r="E636" s="76"/>
      <c r="F636" s="76"/>
      <c r="G636" s="76"/>
      <c r="H636" s="76"/>
      <c r="I636" s="76"/>
      <c r="J636" s="76"/>
      <c r="K636" s="77"/>
      <c r="L636" s="77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</row>
    <row r="637">
      <c r="A637" s="75"/>
      <c r="B637" s="75"/>
      <c r="C637" s="75"/>
      <c r="D637" s="75"/>
      <c r="E637" s="76"/>
      <c r="F637" s="76"/>
      <c r="G637" s="76"/>
      <c r="H637" s="76"/>
      <c r="I637" s="76"/>
      <c r="J637" s="76"/>
      <c r="K637" s="77"/>
      <c r="L637" s="77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</row>
    <row r="638">
      <c r="A638" s="75"/>
      <c r="B638" s="75"/>
      <c r="C638" s="75"/>
      <c r="D638" s="75"/>
      <c r="E638" s="76"/>
      <c r="F638" s="76"/>
      <c r="G638" s="76"/>
      <c r="H638" s="76"/>
      <c r="I638" s="76"/>
      <c r="J638" s="76"/>
      <c r="K638" s="77"/>
      <c r="L638" s="77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</row>
    <row r="639">
      <c r="A639" s="75"/>
      <c r="B639" s="75"/>
      <c r="C639" s="75"/>
      <c r="D639" s="75"/>
      <c r="E639" s="76"/>
      <c r="F639" s="76"/>
      <c r="G639" s="76"/>
      <c r="H639" s="76"/>
      <c r="I639" s="76"/>
      <c r="J639" s="76"/>
      <c r="K639" s="77"/>
      <c r="L639" s="77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</row>
    <row r="640">
      <c r="A640" s="75"/>
      <c r="B640" s="75"/>
      <c r="C640" s="75"/>
      <c r="D640" s="75"/>
      <c r="E640" s="76"/>
      <c r="F640" s="76"/>
      <c r="G640" s="76"/>
      <c r="H640" s="76"/>
      <c r="I640" s="76"/>
      <c r="J640" s="76"/>
      <c r="K640" s="77"/>
      <c r="L640" s="77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</row>
    <row r="641">
      <c r="A641" s="75"/>
      <c r="B641" s="75"/>
      <c r="C641" s="75"/>
      <c r="D641" s="75"/>
      <c r="E641" s="76"/>
      <c r="F641" s="76"/>
      <c r="G641" s="76"/>
      <c r="H641" s="76"/>
      <c r="I641" s="76"/>
      <c r="J641" s="76"/>
      <c r="K641" s="77"/>
      <c r="L641" s="77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</row>
    <row r="642">
      <c r="A642" s="75"/>
      <c r="B642" s="75"/>
      <c r="C642" s="75"/>
      <c r="D642" s="75"/>
      <c r="E642" s="76"/>
      <c r="F642" s="76"/>
      <c r="G642" s="76"/>
      <c r="H642" s="76"/>
      <c r="I642" s="76"/>
      <c r="J642" s="76"/>
      <c r="K642" s="77"/>
      <c r="L642" s="77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</row>
    <row r="643">
      <c r="A643" s="75"/>
      <c r="B643" s="75"/>
      <c r="C643" s="75"/>
      <c r="D643" s="75"/>
      <c r="E643" s="76"/>
      <c r="F643" s="76"/>
      <c r="G643" s="76"/>
      <c r="H643" s="76"/>
      <c r="I643" s="76"/>
      <c r="J643" s="76"/>
      <c r="K643" s="77"/>
      <c r="L643" s="77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</row>
    <row r="644">
      <c r="A644" s="75"/>
      <c r="B644" s="75"/>
      <c r="C644" s="75"/>
      <c r="D644" s="75"/>
      <c r="E644" s="76"/>
      <c r="F644" s="76"/>
      <c r="G644" s="76"/>
      <c r="H644" s="76"/>
      <c r="I644" s="76"/>
      <c r="J644" s="76"/>
      <c r="K644" s="77"/>
      <c r="L644" s="77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</row>
    <row r="645">
      <c r="A645" s="75"/>
      <c r="B645" s="75"/>
      <c r="C645" s="75"/>
      <c r="D645" s="75"/>
      <c r="E645" s="76"/>
      <c r="F645" s="76"/>
      <c r="G645" s="76"/>
      <c r="H645" s="76"/>
      <c r="I645" s="76"/>
      <c r="J645" s="76"/>
      <c r="K645" s="77"/>
      <c r="L645" s="77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</row>
    <row r="646">
      <c r="A646" s="75"/>
      <c r="B646" s="75"/>
      <c r="C646" s="75"/>
      <c r="D646" s="75"/>
      <c r="E646" s="76"/>
      <c r="F646" s="76"/>
      <c r="G646" s="76"/>
      <c r="H646" s="76"/>
      <c r="I646" s="76"/>
      <c r="J646" s="76"/>
      <c r="K646" s="77"/>
      <c r="L646" s="77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</row>
    <row r="647">
      <c r="A647" s="75"/>
      <c r="B647" s="75"/>
      <c r="C647" s="75"/>
      <c r="D647" s="75"/>
      <c r="E647" s="76"/>
      <c r="F647" s="76"/>
      <c r="G647" s="76"/>
      <c r="H647" s="76"/>
      <c r="I647" s="76"/>
      <c r="J647" s="76"/>
      <c r="K647" s="77"/>
      <c r="L647" s="77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</row>
    <row r="648">
      <c r="A648" s="75"/>
      <c r="B648" s="75"/>
      <c r="C648" s="75"/>
      <c r="D648" s="75"/>
      <c r="E648" s="76"/>
      <c r="F648" s="76"/>
      <c r="G648" s="76"/>
      <c r="H648" s="76"/>
      <c r="I648" s="76"/>
      <c r="J648" s="76"/>
      <c r="K648" s="77"/>
      <c r="L648" s="77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</row>
    <row r="649">
      <c r="A649" s="75"/>
      <c r="B649" s="75"/>
      <c r="C649" s="75"/>
      <c r="D649" s="75"/>
      <c r="E649" s="76"/>
      <c r="F649" s="76"/>
      <c r="G649" s="76"/>
      <c r="H649" s="76"/>
      <c r="I649" s="76"/>
      <c r="J649" s="76"/>
      <c r="K649" s="77"/>
      <c r="L649" s="77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</row>
    <row r="650">
      <c r="A650" s="75"/>
      <c r="B650" s="75"/>
      <c r="C650" s="75"/>
      <c r="D650" s="75"/>
      <c r="E650" s="76"/>
      <c r="F650" s="76"/>
      <c r="G650" s="76"/>
      <c r="H650" s="76"/>
      <c r="I650" s="76"/>
      <c r="J650" s="76"/>
      <c r="K650" s="77"/>
      <c r="L650" s="77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</row>
    <row r="651">
      <c r="A651" s="75"/>
      <c r="B651" s="75"/>
      <c r="C651" s="75"/>
      <c r="D651" s="75"/>
      <c r="E651" s="76"/>
      <c r="F651" s="76"/>
      <c r="G651" s="76"/>
      <c r="H651" s="76"/>
      <c r="I651" s="76"/>
      <c r="J651" s="76"/>
      <c r="K651" s="77"/>
      <c r="L651" s="77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</row>
    <row r="652">
      <c r="A652" s="75"/>
      <c r="B652" s="75"/>
      <c r="C652" s="75"/>
      <c r="D652" s="75"/>
      <c r="E652" s="76"/>
      <c r="F652" s="76"/>
      <c r="G652" s="76"/>
      <c r="H652" s="76"/>
      <c r="I652" s="76"/>
      <c r="J652" s="76"/>
      <c r="K652" s="77"/>
      <c r="L652" s="77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</row>
    <row r="653">
      <c r="A653" s="75"/>
      <c r="B653" s="75"/>
      <c r="C653" s="75"/>
      <c r="D653" s="75"/>
      <c r="E653" s="76"/>
      <c r="F653" s="76"/>
      <c r="G653" s="76"/>
      <c r="H653" s="76"/>
      <c r="I653" s="76"/>
      <c r="J653" s="76"/>
      <c r="K653" s="77"/>
      <c r="L653" s="77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</row>
    <row r="654">
      <c r="A654" s="75"/>
      <c r="B654" s="75"/>
      <c r="C654" s="75"/>
      <c r="D654" s="75"/>
      <c r="E654" s="76"/>
      <c r="F654" s="76"/>
      <c r="G654" s="76"/>
      <c r="H654" s="76"/>
      <c r="I654" s="76"/>
      <c r="J654" s="76"/>
      <c r="K654" s="77"/>
      <c r="L654" s="77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</row>
    <row r="655">
      <c r="A655" s="75"/>
      <c r="B655" s="75"/>
      <c r="C655" s="75"/>
      <c r="D655" s="75"/>
      <c r="E655" s="76"/>
      <c r="F655" s="76"/>
      <c r="G655" s="76"/>
      <c r="H655" s="76"/>
      <c r="I655" s="76"/>
      <c r="J655" s="76"/>
      <c r="K655" s="77"/>
      <c r="L655" s="77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</row>
    <row r="656">
      <c r="A656" s="75"/>
      <c r="B656" s="75"/>
      <c r="C656" s="75"/>
      <c r="D656" s="75"/>
      <c r="E656" s="76"/>
      <c r="F656" s="76"/>
      <c r="G656" s="76"/>
      <c r="H656" s="76"/>
      <c r="I656" s="76"/>
      <c r="J656" s="76"/>
      <c r="K656" s="77"/>
      <c r="L656" s="77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</row>
    <row r="657">
      <c r="A657" s="75"/>
      <c r="B657" s="75"/>
      <c r="C657" s="75"/>
      <c r="D657" s="75"/>
      <c r="E657" s="76"/>
      <c r="F657" s="76"/>
      <c r="G657" s="76"/>
      <c r="H657" s="76"/>
      <c r="I657" s="76"/>
      <c r="J657" s="76"/>
      <c r="K657" s="77"/>
      <c r="L657" s="77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</row>
    <row r="658">
      <c r="A658" s="75"/>
      <c r="B658" s="75"/>
      <c r="C658" s="75"/>
      <c r="D658" s="75"/>
      <c r="E658" s="76"/>
      <c r="F658" s="76"/>
      <c r="G658" s="76"/>
      <c r="H658" s="76"/>
      <c r="I658" s="76"/>
      <c r="J658" s="76"/>
      <c r="K658" s="77"/>
      <c r="L658" s="77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</row>
    <row r="659">
      <c r="A659" s="75"/>
      <c r="B659" s="75"/>
      <c r="C659" s="75"/>
      <c r="D659" s="75"/>
      <c r="E659" s="76"/>
      <c r="F659" s="76"/>
      <c r="G659" s="76"/>
      <c r="H659" s="76"/>
      <c r="I659" s="76"/>
      <c r="J659" s="76"/>
      <c r="K659" s="77"/>
      <c r="L659" s="77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</row>
    <row r="660">
      <c r="A660" s="75"/>
      <c r="B660" s="75"/>
      <c r="C660" s="75"/>
      <c r="D660" s="75"/>
      <c r="E660" s="76"/>
      <c r="F660" s="76"/>
      <c r="G660" s="76"/>
      <c r="H660" s="76"/>
      <c r="I660" s="76"/>
      <c r="J660" s="76"/>
      <c r="K660" s="77"/>
      <c r="L660" s="77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</row>
    <row r="661">
      <c r="A661" s="75"/>
      <c r="B661" s="75"/>
      <c r="C661" s="75"/>
      <c r="D661" s="75"/>
      <c r="E661" s="76"/>
      <c r="F661" s="76"/>
      <c r="G661" s="76"/>
      <c r="H661" s="76"/>
      <c r="I661" s="76"/>
      <c r="J661" s="76"/>
      <c r="K661" s="77"/>
      <c r="L661" s="77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</row>
    <row r="662">
      <c r="A662" s="75"/>
      <c r="B662" s="75"/>
      <c r="C662" s="75"/>
      <c r="D662" s="75"/>
      <c r="E662" s="76"/>
      <c r="F662" s="76"/>
      <c r="G662" s="76"/>
      <c r="H662" s="76"/>
      <c r="I662" s="76"/>
      <c r="J662" s="76"/>
      <c r="K662" s="77"/>
      <c r="L662" s="77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</row>
    <row r="663">
      <c r="A663" s="75"/>
      <c r="B663" s="75"/>
      <c r="C663" s="75"/>
      <c r="D663" s="75"/>
      <c r="E663" s="76"/>
      <c r="F663" s="76"/>
      <c r="G663" s="76"/>
      <c r="H663" s="76"/>
      <c r="I663" s="76"/>
      <c r="J663" s="76"/>
      <c r="K663" s="77"/>
      <c r="L663" s="77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</row>
    <row r="664">
      <c r="A664" s="75"/>
      <c r="B664" s="75"/>
      <c r="C664" s="75"/>
      <c r="D664" s="75"/>
      <c r="E664" s="76"/>
      <c r="F664" s="76"/>
      <c r="G664" s="76"/>
      <c r="H664" s="76"/>
      <c r="I664" s="76"/>
      <c r="J664" s="76"/>
      <c r="K664" s="77"/>
      <c r="L664" s="77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</row>
    <row r="665">
      <c r="A665" s="75"/>
      <c r="B665" s="75"/>
      <c r="C665" s="75"/>
      <c r="D665" s="75"/>
      <c r="E665" s="76"/>
      <c r="F665" s="76"/>
      <c r="G665" s="76"/>
      <c r="H665" s="76"/>
      <c r="I665" s="76"/>
      <c r="J665" s="76"/>
      <c r="K665" s="77"/>
      <c r="L665" s="77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</row>
    <row r="666">
      <c r="A666" s="75"/>
      <c r="B666" s="75"/>
      <c r="C666" s="75"/>
      <c r="D666" s="75"/>
      <c r="E666" s="76"/>
      <c r="F666" s="76"/>
      <c r="G666" s="76"/>
      <c r="H666" s="76"/>
      <c r="I666" s="76"/>
      <c r="J666" s="76"/>
      <c r="K666" s="77"/>
      <c r="L666" s="77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</row>
    <row r="667">
      <c r="A667" s="75"/>
      <c r="B667" s="75"/>
      <c r="C667" s="75"/>
      <c r="D667" s="75"/>
      <c r="E667" s="76"/>
      <c r="F667" s="76"/>
      <c r="G667" s="76"/>
      <c r="H667" s="76"/>
      <c r="I667" s="76"/>
      <c r="J667" s="76"/>
      <c r="K667" s="77"/>
      <c r="L667" s="77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</row>
    <row r="668">
      <c r="A668" s="75"/>
      <c r="B668" s="75"/>
      <c r="C668" s="75"/>
      <c r="D668" s="75"/>
      <c r="E668" s="76"/>
      <c r="F668" s="76"/>
      <c r="G668" s="76"/>
      <c r="H668" s="76"/>
      <c r="I668" s="76"/>
      <c r="J668" s="76"/>
      <c r="K668" s="77"/>
      <c r="L668" s="77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</row>
    <row r="669">
      <c r="A669" s="75"/>
      <c r="B669" s="75"/>
      <c r="C669" s="75"/>
      <c r="D669" s="75"/>
      <c r="E669" s="76"/>
      <c r="F669" s="76"/>
      <c r="G669" s="76"/>
      <c r="H669" s="76"/>
      <c r="I669" s="76"/>
      <c r="J669" s="76"/>
      <c r="K669" s="77"/>
      <c r="L669" s="77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</row>
    <row r="670">
      <c r="A670" s="75"/>
      <c r="B670" s="75"/>
      <c r="C670" s="75"/>
      <c r="D670" s="75"/>
      <c r="E670" s="76"/>
      <c r="F670" s="76"/>
      <c r="G670" s="76"/>
      <c r="H670" s="76"/>
      <c r="I670" s="76"/>
      <c r="J670" s="76"/>
      <c r="K670" s="77"/>
      <c r="L670" s="77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</row>
    <row r="671">
      <c r="A671" s="75"/>
      <c r="B671" s="75"/>
      <c r="C671" s="75"/>
      <c r="D671" s="75"/>
      <c r="E671" s="76"/>
      <c r="F671" s="76"/>
      <c r="G671" s="76"/>
      <c r="H671" s="76"/>
      <c r="I671" s="76"/>
      <c r="J671" s="76"/>
      <c r="K671" s="77"/>
      <c r="L671" s="77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</row>
    <row r="672">
      <c r="A672" s="75"/>
      <c r="B672" s="75"/>
      <c r="C672" s="75"/>
      <c r="D672" s="75"/>
      <c r="E672" s="76"/>
      <c r="F672" s="76"/>
      <c r="G672" s="76"/>
      <c r="H672" s="76"/>
      <c r="I672" s="76"/>
      <c r="J672" s="76"/>
      <c r="K672" s="77"/>
      <c r="L672" s="77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</row>
    <row r="673">
      <c r="A673" s="75"/>
      <c r="B673" s="75"/>
      <c r="C673" s="75"/>
      <c r="D673" s="75"/>
      <c r="E673" s="76"/>
      <c r="F673" s="76"/>
      <c r="G673" s="76"/>
      <c r="H673" s="76"/>
      <c r="I673" s="76"/>
      <c r="J673" s="76"/>
      <c r="K673" s="77"/>
      <c r="L673" s="77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</row>
    <row r="674">
      <c r="A674" s="75"/>
      <c r="B674" s="75"/>
      <c r="C674" s="75"/>
      <c r="D674" s="75"/>
      <c r="E674" s="76"/>
      <c r="F674" s="76"/>
      <c r="G674" s="76"/>
      <c r="H674" s="76"/>
      <c r="I674" s="76"/>
      <c r="J674" s="76"/>
      <c r="K674" s="77"/>
      <c r="L674" s="77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</row>
    <row r="675">
      <c r="A675" s="75"/>
      <c r="B675" s="75"/>
      <c r="C675" s="75"/>
      <c r="D675" s="75"/>
      <c r="E675" s="76"/>
      <c r="F675" s="76"/>
      <c r="G675" s="76"/>
      <c r="H675" s="76"/>
      <c r="I675" s="76"/>
      <c r="J675" s="76"/>
      <c r="K675" s="77"/>
      <c r="L675" s="77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</row>
    <row r="676">
      <c r="A676" s="75"/>
      <c r="B676" s="75"/>
      <c r="C676" s="75"/>
      <c r="D676" s="75"/>
      <c r="E676" s="76"/>
      <c r="F676" s="76"/>
      <c r="G676" s="76"/>
      <c r="H676" s="76"/>
      <c r="I676" s="76"/>
      <c r="J676" s="76"/>
      <c r="K676" s="77"/>
      <c r="L676" s="77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</row>
    <row r="677">
      <c r="A677" s="75"/>
      <c r="B677" s="75"/>
      <c r="C677" s="75"/>
      <c r="D677" s="75"/>
      <c r="E677" s="76"/>
      <c r="F677" s="76"/>
      <c r="G677" s="76"/>
      <c r="H677" s="76"/>
      <c r="I677" s="76"/>
      <c r="J677" s="76"/>
      <c r="K677" s="77"/>
      <c r="L677" s="77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</row>
    <row r="678">
      <c r="A678" s="75"/>
      <c r="B678" s="75"/>
      <c r="C678" s="75"/>
      <c r="D678" s="75"/>
      <c r="E678" s="76"/>
      <c r="F678" s="76"/>
      <c r="G678" s="76"/>
      <c r="H678" s="76"/>
      <c r="I678" s="76"/>
      <c r="J678" s="76"/>
      <c r="K678" s="77"/>
      <c r="L678" s="77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</row>
    <row r="679">
      <c r="A679" s="75"/>
      <c r="B679" s="75"/>
      <c r="C679" s="75"/>
      <c r="D679" s="75"/>
      <c r="E679" s="76"/>
      <c r="F679" s="76"/>
      <c r="G679" s="76"/>
      <c r="H679" s="76"/>
      <c r="I679" s="76"/>
      <c r="J679" s="76"/>
      <c r="K679" s="77"/>
      <c r="L679" s="77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</row>
    <row r="680">
      <c r="A680" s="75"/>
      <c r="B680" s="75"/>
      <c r="C680" s="75"/>
      <c r="D680" s="75"/>
      <c r="E680" s="76"/>
      <c r="F680" s="76"/>
      <c r="G680" s="76"/>
      <c r="H680" s="76"/>
      <c r="I680" s="76"/>
      <c r="J680" s="76"/>
      <c r="K680" s="77"/>
      <c r="L680" s="77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</row>
    <row r="681">
      <c r="A681" s="75"/>
      <c r="B681" s="75"/>
      <c r="C681" s="75"/>
      <c r="D681" s="75"/>
      <c r="E681" s="76"/>
      <c r="F681" s="76"/>
      <c r="G681" s="76"/>
      <c r="H681" s="76"/>
      <c r="I681" s="76"/>
      <c r="J681" s="76"/>
      <c r="K681" s="77"/>
      <c r="L681" s="77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</row>
    <row r="682">
      <c r="A682" s="75"/>
      <c r="B682" s="75"/>
      <c r="C682" s="75"/>
      <c r="D682" s="75"/>
      <c r="E682" s="76"/>
      <c r="F682" s="76"/>
      <c r="G682" s="76"/>
      <c r="H682" s="76"/>
      <c r="I682" s="76"/>
      <c r="J682" s="76"/>
      <c r="K682" s="77"/>
      <c r="L682" s="77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</row>
    <row r="683">
      <c r="A683" s="75"/>
      <c r="B683" s="75"/>
      <c r="C683" s="75"/>
      <c r="D683" s="75"/>
      <c r="E683" s="76"/>
      <c r="F683" s="76"/>
      <c r="G683" s="76"/>
      <c r="H683" s="76"/>
      <c r="I683" s="76"/>
      <c r="J683" s="76"/>
      <c r="K683" s="77"/>
      <c r="L683" s="77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</row>
    <row r="684">
      <c r="A684" s="75"/>
      <c r="B684" s="75"/>
      <c r="C684" s="75"/>
      <c r="D684" s="75"/>
      <c r="E684" s="76"/>
      <c r="F684" s="76"/>
      <c r="G684" s="76"/>
      <c r="H684" s="76"/>
      <c r="I684" s="76"/>
      <c r="J684" s="76"/>
      <c r="K684" s="77"/>
      <c r="L684" s="77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</row>
    <row r="685">
      <c r="A685" s="75"/>
      <c r="B685" s="75"/>
      <c r="C685" s="75"/>
      <c r="D685" s="75"/>
      <c r="E685" s="76"/>
      <c r="F685" s="76"/>
      <c r="G685" s="76"/>
      <c r="H685" s="76"/>
      <c r="I685" s="76"/>
      <c r="J685" s="76"/>
      <c r="K685" s="77"/>
      <c r="L685" s="77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</row>
    <row r="686">
      <c r="A686" s="75"/>
      <c r="B686" s="75"/>
      <c r="C686" s="75"/>
      <c r="D686" s="75"/>
      <c r="E686" s="76"/>
      <c r="F686" s="76"/>
      <c r="G686" s="76"/>
      <c r="H686" s="76"/>
      <c r="I686" s="76"/>
      <c r="J686" s="76"/>
      <c r="K686" s="77"/>
      <c r="L686" s="77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</row>
    <row r="687">
      <c r="A687" s="75"/>
      <c r="B687" s="75"/>
      <c r="C687" s="75"/>
      <c r="D687" s="75"/>
      <c r="E687" s="76"/>
      <c r="F687" s="76"/>
      <c r="G687" s="76"/>
      <c r="H687" s="76"/>
      <c r="I687" s="76"/>
      <c r="J687" s="76"/>
      <c r="K687" s="77"/>
      <c r="L687" s="77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</row>
    <row r="688">
      <c r="A688" s="75"/>
      <c r="B688" s="75"/>
      <c r="C688" s="75"/>
      <c r="D688" s="75"/>
      <c r="E688" s="76"/>
      <c r="F688" s="76"/>
      <c r="G688" s="76"/>
      <c r="H688" s="76"/>
      <c r="I688" s="76"/>
      <c r="J688" s="76"/>
      <c r="K688" s="77"/>
      <c r="L688" s="77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</row>
    <row r="689">
      <c r="A689" s="75"/>
      <c r="B689" s="75"/>
      <c r="C689" s="75"/>
      <c r="D689" s="75"/>
      <c r="E689" s="76"/>
      <c r="F689" s="76"/>
      <c r="G689" s="76"/>
      <c r="H689" s="76"/>
      <c r="I689" s="76"/>
      <c r="J689" s="76"/>
      <c r="K689" s="77"/>
      <c r="L689" s="77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</row>
    <row r="690">
      <c r="A690" s="75"/>
      <c r="B690" s="75"/>
      <c r="C690" s="75"/>
      <c r="D690" s="75"/>
      <c r="E690" s="76"/>
      <c r="F690" s="76"/>
      <c r="G690" s="76"/>
      <c r="H690" s="76"/>
      <c r="I690" s="76"/>
      <c r="J690" s="76"/>
      <c r="K690" s="77"/>
      <c r="L690" s="77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</row>
    <row r="691">
      <c r="A691" s="75"/>
      <c r="B691" s="75"/>
      <c r="C691" s="75"/>
      <c r="D691" s="75"/>
      <c r="E691" s="76"/>
      <c r="F691" s="76"/>
      <c r="G691" s="76"/>
      <c r="H691" s="76"/>
      <c r="I691" s="76"/>
      <c r="J691" s="76"/>
      <c r="K691" s="77"/>
      <c r="L691" s="77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</row>
    <row r="692">
      <c r="A692" s="75"/>
      <c r="B692" s="75"/>
      <c r="C692" s="75"/>
      <c r="D692" s="75"/>
      <c r="E692" s="76"/>
      <c r="F692" s="76"/>
      <c r="G692" s="76"/>
      <c r="H692" s="76"/>
      <c r="I692" s="76"/>
      <c r="J692" s="76"/>
      <c r="K692" s="77"/>
      <c r="L692" s="77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</row>
    <row r="693">
      <c r="A693" s="75"/>
      <c r="B693" s="75"/>
      <c r="C693" s="75"/>
      <c r="D693" s="75"/>
      <c r="E693" s="76"/>
      <c r="F693" s="76"/>
      <c r="G693" s="76"/>
      <c r="H693" s="76"/>
      <c r="I693" s="76"/>
      <c r="J693" s="76"/>
      <c r="K693" s="77"/>
      <c r="L693" s="77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</row>
    <row r="694">
      <c r="A694" s="75"/>
      <c r="B694" s="75"/>
      <c r="C694" s="75"/>
      <c r="D694" s="75"/>
      <c r="E694" s="76"/>
      <c r="F694" s="76"/>
      <c r="G694" s="76"/>
      <c r="H694" s="76"/>
      <c r="I694" s="76"/>
      <c r="J694" s="76"/>
      <c r="K694" s="77"/>
      <c r="L694" s="77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</row>
    <row r="695">
      <c r="A695" s="75"/>
      <c r="B695" s="75"/>
      <c r="C695" s="75"/>
      <c r="D695" s="75"/>
      <c r="E695" s="76"/>
      <c r="F695" s="76"/>
      <c r="G695" s="76"/>
      <c r="H695" s="76"/>
      <c r="I695" s="76"/>
      <c r="J695" s="76"/>
      <c r="K695" s="77"/>
      <c r="L695" s="77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</row>
    <row r="696">
      <c r="A696" s="75"/>
      <c r="B696" s="75"/>
      <c r="C696" s="75"/>
      <c r="D696" s="75"/>
      <c r="E696" s="76"/>
      <c r="F696" s="76"/>
      <c r="G696" s="76"/>
      <c r="H696" s="76"/>
      <c r="I696" s="76"/>
      <c r="J696" s="76"/>
      <c r="K696" s="77"/>
      <c r="L696" s="77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</row>
    <row r="697">
      <c r="A697" s="75"/>
      <c r="B697" s="75"/>
      <c r="C697" s="75"/>
      <c r="D697" s="75"/>
      <c r="E697" s="76"/>
      <c r="F697" s="76"/>
      <c r="G697" s="76"/>
      <c r="H697" s="76"/>
      <c r="I697" s="76"/>
      <c r="J697" s="76"/>
      <c r="K697" s="77"/>
      <c r="L697" s="77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</row>
    <row r="698">
      <c r="A698" s="75"/>
      <c r="B698" s="75"/>
      <c r="C698" s="75"/>
      <c r="D698" s="75"/>
      <c r="E698" s="76"/>
      <c r="F698" s="76"/>
      <c r="G698" s="76"/>
      <c r="H698" s="76"/>
      <c r="I698" s="76"/>
      <c r="J698" s="76"/>
      <c r="K698" s="77"/>
      <c r="L698" s="77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</row>
    <row r="699">
      <c r="A699" s="75"/>
      <c r="B699" s="75"/>
      <c r="C699" s="75"/>
      <c r="D699" s="75"/>
      <c r="E699" s="76"/>
      <c r="F699" s="76"/>
      <c r="G699" s="76"/>
      <c r="H699" s="76"/>
      <c r="I699" s="76"/>
      <c r="J699" s="76"/>
      <c r="K699" s="77"/>
      <c r="L699" s="77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</row>
    <row r="700">
      <c r="A700" s="75"/>
      <c r="B700" s="75"/>
      <c r="C700" s="75"/>
      <c r="D700" s="75"/>
      <c r="E700" s="76"/>
      <c r="F700" s="76"/>
      <c r="G700" s="76"/>
      <c r="H700" s="76"/>
      <c r="I700" s="76"/>
      <c r="J700" s="76"/>
      <c r="K700" s="77"/>
      <c r="L700" s="77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</row>
    <row r="701">
      <c r="A701" s="75"/>
      <c r="B701" s="75"/>
      <c r="C701" s="75"/>
      <c r="D701" s="75"/>
      <c r="E701" s="76"/>
      <c r="F701" s="76"/>
      <c r="G701" s="76"/>
      <c r="H701" s="76"/>
      <c r="I701" s="76"/>
      <c r="J701" s="76"/>
      <c r="K701" s="77"/>
      <c r="L701" s="77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</row>
    <row r="702">
      <c r="A702" s="75"/>
      <c r="B702" s="75"/>
      <c r="C702" s="75"/>
      <c r="D702" s="75"/>
      <c r="E702" s="76"/>
      <c r="F702" s="76"/>
      <c r="G702" s="76"/>
      <c r="H702" s="76"/>
      <c r="I702" s="76"/>
      <c r="J702" s="76"/>
      <c r="K702" s="77"/>
      <c r="L702" s="77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</row>
    <row r="703">
      <c r="A703" s="75"/>
      <c r="B703" s="75"/>
      <c r="C703" s="75"/>
      <c r="D703" s="75"/>
      <c r="E703" s="76"/>
      <c r="F703" s="76"/>
      <c r="G703" s="76"/>
      <c r="H703" s="76"/>
      <c r="I703" s="76"/>
      <c r="J703" s="76"/>
      <c r="K703" s="77"/>
      <c r="L703" s="77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</row>
    <row r="704">
      <c r="A704" s="75"/>
      <c r="B704" s="75"/>
      <c r="C704" s="75"/>
      <c r="D704" s="75"/>
      <c r="E704" s="76"/>
      <c r="F704" s="76"/>
      <c r="G704" s="76"/>
      <c r="H704" s="76"/>
      <c r="I704" s="76"/>
      <c r="J704" s="76"/>
      <c r="K704" s="77"/>
      <c r="L704" s="77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</row>
    <row r="705">
      <c r="A705" s="75"/>
      <c r="B705" s="75"/>
      <c r="C705" s="75"/>
      <c r="D705" s="75"/>
      <c r="E705" s="76"/>
      <c r="F705" s="76"/>
      <c r="G705" s="76"/>
      <c r="H705" s="76"/>
      <c r="I705" s="76"/>
      <c r="J705" s="76"/>
      <c r="K705" s="77"/>
      <c r="L705" s="77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</row>
    <row r="706">
      <c r="A706" s="75"/>
      <c r="B706" s="75"/>
      <c r="C706" s="75"/>
      <c r="D706" s="75"/>
      <c r="E706" s="76"/>
      <c r="F706" s="76"/>
      <c r="G706" s="76"/>
      <c r="H706" s="76"/>
      <c r="I706" s="76"/>
      <c r="J706" s="76"/>
      <c r="K706" s="77"/>
      <c r="L706" s="77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</row>
    <row r="707">
      <c r="A707" s="75"/>
      <c r="B707" s="75"/>
      <c r="C707" s="75"/>
      <c r="D707" s="75"/>
      <c r="E707" s="76"/>
      <c r="F707" s="76"/>
      <c r="G707" s="76"/>
      <c r="H707" s="76"/>
      <c r="I707" s="76"/>
      <c r="J707" s="76"/>
      <c r="K707" s="77"/>
      <c r="L707" s="77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</row>
    <row r="708">
      <c r="A708" s="75"/>
      <c r="B708" s="75"/>
      <c r="C708" s="75"/>
      <c r="D708" s="75"/>
      <c r="E708" s="76"/>
      <c r="F708" s="76"/>
      <c r="G708" s="76"/>
      <c r="H708" s="76"/>
      <c r="I708" s="76"/>
      <c r="J708" s="76"/>
      <c r="K708" s="77"/>
      <c r="L708" s="77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</row>
    <row r="709">
      <c r="A709" s="75"/>
      <c r="B709" s="75"/>
      <c r="C709" s="75"/>
      <c r="D709" s="75"/>
      <c r="E709" s="76"/>
      <c r="F709" s="76"/>
      <c r="G709" s="76"/>
      <c r="H709" s="76"/>
      <c r="I709" s="76"/>
      <c r="J709" s="76"/>
      <c r="K709" s="77"/>
      <c r="L709" s="77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</row>
    <row r="710">
      <c r="A710" s="75"/>
      <c r="B710" s="75"/>
      <c r="C710" s="75"/>
      <c r="D710" s="75"/>
      <c r="E710" s="76"/>
      <c r="F710" s="76"/>
      <c r="G710" s="76"/>
      <c r="H710" s="76"/>
      <c r="I710" s="76"/>
      <c r="J710" s="76"/>
      <c r="K710" s="77"/>
      <c r="L710" s="77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</row>
    <row r="711">
      <c r="A711" s="75"/>
      <c r="B711" s="75"/>
      <c r="C711" s="75"/>
      <c r="D711" s="75"/>
      <c r="E711" s="76"/>
      <c r="F711" s="76"/>
      <c r="G711" s="76"/>
      <c r="H711" s="76"/>
      <c r="I711" s="76"/>
      <c r="J711" s="76"/>
      <c r="K711" s="77"/>
      <c r="L711" s="77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</row>
    <row r="712">
      <c r="A712" s="75"/>
      <c r="B712" s="75"/>
      <c r="C712" s="75"/>
      <c r="D712" s="75"/>
      <c r="E712" s="76"/>
      <c r="F712" s="76"/>
      <c r="G712" s="76"/>
      <c r="H712" s="76"/>
      <c r="I712" s="76"/>
      <c r="J712" s="76"/>
      <c r="K712" s="77"/>
      <c r="L712" s="77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</row>
    <row r="713">
      <c r="A713" s="75"/>
      <c r="B713" s="75"/>
      <c r="C713" s="75"/>
      <c r="D713" s="75"/>
      <c r="E713" s="76"/>
      <c r="F713" s="76"/>
      <c r="G713" s="76"/>
      <c r="H713" s="76"/>
      <c r="I713" s="76"/>
      <c r="J713" s="76"/>
      <c r="K713" s="77"/>
      <c r="L713" s="77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</row>
    <row r="714">
      <c r="A714" s="75"/>
      <c r="B714" s="75"/>
      <c r="C714" s="75"/>
      <c r="D714" s="75"/>
      <c r="E714" s="76"/>
      <c r="F714" s="76"/>
      <c r="G714" s="76"/>
      <c r="H714" s="76"/>
      <c r="I714" s="76"/>
      <c r="J714" s="76"/>
      <c r="K714" s="77"/>
      <c r="L714" s="77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</row>
    <row r="715">
      <c r="A715" s="75"/>
      <c r="B715" s="75"/>
      <c r="C715" s="75"/>
      <c r="D715" s="75"/>
      <c r="E715" s="76"/>
      <c r="F715" s="76"/>
      <c r="G715" s="76"/>
      <c r="H715" s="76"/>
      <c r="I715" s="76"/>
      <c r="J715" s="76"/>
      <c r="K715" s="77"/>
      <c r="L715" s="77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</row>
    <row r="716">
      <c r="A716" s="75"/>
      <c r="B716" s="75"/>
      <c r="C716" s="75"/>
      <c r="D716" s="75"/>
      <c r="E716" s="76"/>
      <c r="F716" s="76"/>
      <c r="G716" s="76"/>
      <c r="H716" s="76"/>
      <c r="I716" s="76"/>
      <c r="J716" s="76"/>
      <c r="K716" s="77"/>
      <c r="L716" s="77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</row>
    <row r="717">
      <c r="A717" s="75"/>
      <c r="B717" s="75"/>
      <c r="C717" s="75"/>
      <c r="D717" s="75"/>
      <c r="E717" s="76"/>
      <c r="F717" s="76"/>
      <c r="G717" s="76"/>
      <c r="H717" s="76"/>
      <c r="I717" s="76"/>
      <c r="J717" s="76"/>
      <c r="K717" s="77"/>
      <c r="L717" s="77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</row>
    <row r="718">
      <c r="A718" s="75"/>
      <c r="B718" s="75"/>
      <c r="C718" s="75"/>
      <c r="D718" s="75"/>
      <c r="E718" s="76"/>
      <c r="F718" s="76"/>
      <c r="G718" s="76"/>
      <c r="H718" s="76"/>
      <c r="I718" s="76"/>
      <c r="J718" s="76"/>
      <c r="K718" s="77"/>
      <c r="L718" s="77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</row>
    <row r="719">
      <c r="A719" s="75"/>
      <c r="B719" s="75"/>
      <c r="C719" s="75"/>
      <c r="D719" s="75"/>
      <c r="E719" s="76"/>
      <c r="F719" s="76"/>
      <c r="G719" s="76"/>
      <c r="H719" s="76"/>
      <c r="I719" s="76"/>
      <c r="J719" s="76"/>
      <c r="K719" s="77"/>
      <c r="L719" s="77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</row>
    <row r="720">
      <c r="A720" s="75"/>
      <c r="B720" s="75"/>
      <c r="C720" s="75"/>
      <c r="D720" s="75"/>
      <c r="E720" s="76"/>
      <c r="F720" s="76"/>
      <c r="G720" s="76"/>
      <c r="H720" s="76"/>
      <c r="I720" s="76"/>
      <c r="J720" s="76"/>
      <c r="K720" s="77"/>
      <c r="L720" s="77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</row>
    <row r="721">
      <c r="A721" s="75"/>
      <c r="B721" s="75"/>
      <c r="C721" s="75"/>
      <c r="D721" s="75"/>
      <c r="E721" s="76"/>
      <c r="F721" s="76"/>
      <c r="G721" s="76"/>
      <c r="H721" s="76"/>
      <c r="I721" s="76"/>
      <c r="J721" s="76"/>
      <c r="K721" s="77"/>
      <c r="L721" s="77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</row>
    <row r="722">
      <c r="A722" s="75"/>
      <c r="B722" s="75"/>
      <c r="C722" s="75"/>
      <c r="D722" s="75"/>
      <c r="E722" s="76"/>
      <c r="F722" s="76"/>
      <c r="G722" s="76"/>
      <c r="H722" s="76"/>
      <c r="I722" s="76"/>
      <c r="J722" s="76"/>
      <c r="K722" s="77"/>
      <c r="L722" s="77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</row>
    <row r="723">
      <c r="A723" s="75"/>
      <c r="B723" s="75"/>
      <c r="C723" s="75"/>
      <c r="D723" s="75"/>
      <c r="E723" s="76"/>
      <c r="F723" s="76"/>
      <c r="G723" s="76"/>
      <c r="H723" s="76"/>
      <c r="I723" s="76"/>
      <c r="J723" s="76"/>
      <c r="K723" s="77"/>
      <c r="L723" s="77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</row>
    <row r="724">
      <c r="A724" s="75"/>
      <c r="B724" s="75"/>
      <c r="C724" s="75"/>
      <c r="D724" s="75"/>
      <c r="E724" s="76"/>
      <c r="F724" s="76"/>
      <c r="G724" s="76"/>
      <c r="H724" s="76"/>
      <c r="I724" s="76"/>
      <c r="J724" s="76"/>
      <c r="K724" s="77"/>
      <c r="L724" s="77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</row>
    <row r="725">
      <c r="A725" s="75"/>
      <c r="B725" s="75"/>
      <c r="C725" s="75"/>
      <c r="D725" s="75"/>
      <c r="E725" s="76"/>
      <c r="F725" s="76"/>
      <c r="G725" s="76"/>
      <c r="H725" s="76"/>
      <c r="I725" s="76"/>
      <c r="J725" s="76"/>
      <c r="K725" s="77"/>
      <c r="L725" s="77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</row>
    <row r="726">
      <c r="A726" s="75"/>
      <c r="B726" s="75"/>
      <c r="C726" s="75"/>
      <c r="D726" s="75"/>
      <c r="E726" s="76"/>
      <c r="F726" s="76"/>
      <c r="G726" s="76"/>
      <c r="H726" s="76"/>
      <c r="I726" s="76"/>
      <c r="J726" s="76"/>
      <c r="K726" s="77"/>
      <c r="L726" s="77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</row>
    <row r="727">
      <c r="A727" s="75"/>
      <c r="B727" s="75"/>
      <c r="C727" s="75"/>
      <c r="D727" s="75"/>
      <c r="E727" s="76"/>
      <c r="F727" s="76"/>
      <c r="G727" s="76"/>
      <c r="H727" s="76"/>
      <c r="I727" s="76"/>
      <c r="J727" s="76"/>
      <c r="K727" s="77"/>
      <c r="L727" s="77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</row>
    <row r="728">
      <c r="A728" s="75"/>
      <c r="B728" s="75"/>
      <c r="C728" s="75"/>
      <c r="D728" s="75"/>
      <c r="E728" s="76"/>
      <c r="F728" s="76"/>
      <c r="G728" s="76"/>
      <c r="H728" s="76"/>
      <c r="I728" s="76"/>
      <c r="J728" s="76"/>
      <c r="K728" s="77"/>
      <c r="L728" s="77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</row>
    <row r="729">
      <c r="A729" s="75"/>
      <c r="B729" s="75"/>
      <c r="C729" s="75"/>
      <c r="D729" s="75"/>
      <c r="E729" s="76"/>
      <c r="F729" s="76"/>
      <c r="G729" s="76"/>
      <c r="H729" s="76"/>
      <c r="I729" s="76"/>
      <c r="J729" s="76"/>
      <c r="K729" s="77"/>
      <c r="L729" s="77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</row>
    <row r="730">
      <c r="A730" s="75"/>
      <c r="B730" s="75"/>
      <c r="C730" s="75"/>
      <c r="D730" s="75"/>
      <c r="E730" s="76"/>
      <c r="F730" s="76"/>
      <c r="G730" s="76"/>
      <c r="H730" s="76"/>
      <c r="I730" s="76"/>
      <c r="J730" s="76"/>
      <c r="K730" s="77"/>
      <c r="L730" s="77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</row>
    <row r="731">
      <c r="A731" s="75"/>
      <c r="B731" s="75"/>
      <c r="C731" s="75"/>
      <c r="D731" s="75"/>
      <c r="E731" s="76"/>
      <c r="F731" s="76"/>
      <c r="G731" s="76"/>
      <c r="H731" s="76"/>
      <c r="I731" s="76"/>
      <c r="J731" s="76"/>
      <c r="K731" s="77"/>
      <c r="L731" s="77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</row>
    <row r="732">
      <c r="A732" s="75"/>
      <c r="B732" s="75"/>
      <c r="C732" s="75"/>
      <c r="D732" s="75"/>
      <c r="E732" s="76"/>
      <c r="F732" s="76"/>
      <c r="G732" s="76"/>
      <c r="H732" s="76"/>
      <c r="I732" s="76"/>
      <c r="J732" s="76"/>
      <c r="K732" s="77"/>
      <c r="L732" s="77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</row>
    <row r="733">
      <c r="A733" s="75"/>
      <c r="B733" s="75"/>
      <c r="C733" s="75"/>
      <c r="D733" s="75"/>
      <c r="E733" s="76"/>
      <c r="F733" s="76"/>
      <c r="G733" s="76"/>
      <c r="H733" s="76"/>
      <c r="I733" s="76"/>
      <c r="J733" s="76"/>
      <c r="K733" s="77"/>
      <c r="L733" s="77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</row>
    <row r="734">
      <c r="A734" s="75"/>
      <c r="B734" s="75"/>
      <c r="C734" s="75"/>
      <c r="D734" s="75"/>
      <c r="E734" s="76"/>
      <c r="F734" s="76"/>
      <c r="G734" s="76"/>
      <c r="H734" s="76"/>
      <c r="I734" s="76"/>
      <c r="J734" s="76"/>
      <c r="K734" s="77"/>
      <c r="L734" s="77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</row>
    <row r="735">
      <c r="A735" s="75"/>
      <c r="B735" s="75"/>
      <c r="C735" s="75"/>
      <c r="D735" s="75"/>
      <c r="E735" s="76"/>
      <c r="F735" s="76"/>
      <c r="G735" s="76"/>
      <c r="H735" s="76"/>
      <c r="I735" s="76"/>
      <c r="J735" s="76"/>
      <c r="K735" s="77"/>
      <c r="L735" s="77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</row>
    <row r="736">
      <c r="A736" s="75"/>
      <c r="B736" s="75"/>
      <c r="C736" s="75"/>
      <c r="D736" s="75"/>
      <c r="E736" s="76"/>
      <c r="F736" s="76"/>
      <c r="G736" s="76"/>
      <c r="H736" s="76"/>
      <c r="I736" s="76"/>
      <c r="J736" s="76"/>
      <c r="K736" s="77"/>
      <c r="L736" s="77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</row>
    <row r="737">
      <c r="A737" s="75"/>
      <c r="B737" s="75"/>
      <c r="C737" s="75"/>
      <c r="D737" s="75"/>
      <c r="E737" s="76"/>
      <c r="F737" s="76"/>
      <c r="G737" s="76"/>
      <c r="H737" s="76"/>
      <c r="I737" s="76"/>
      <c r="J737" s="76"/>
      <c r="K737" s="77"/>
      <c r="L737" s="77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</row>
    <row r="738">
      <c r="A738" s="75"/>
      <c r="B738" s="75"/>
      <c r="C738" s="75"/>
      <c r="D738" s="75"/>
      <c r="E738" s="76"/>
      <c r="F738" s="76"/>
      <c r="G738" s="76"/>
      <c r="H738" s="76"/>
      <c r="I738" s="76"/>
      <c r="J738" s="76"/>
      <c r="K738" s="77"/>
      <c r="L738" s="77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</row>
    <row r="739">
      <c r="A739" s="75"/>
      <c r="B739" s="75"/>
      <c r="C739" s="75"/>
      <c r="D739" s="75"/>
      <c r="E739" s="76"/>
      <c r="F739" s="76"/>
      <c r="G739" s="76"/>
      <c r="H739" s="76"/>
      <c r="I739" s="76"/>
      <c r="J739" s="76"/>
      <c r="K739" s="77"/>
      <c r="L739" s="77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</row>
    <row r="740">
      <c r="A740" s="75"/>
      <c r="B740" s="75"/>
      <c r="C740" s="75"/>
      <c r="D740" s="75"/>
      <c r="E740" s="76"/>
      <c r="F740" s="76"/>
      <c r="G740" s="76"/>
      <c r="H740" s="76"/>
      <c r="I740" s="76"/>
      <c r="J740" s="76"/>
      <c r="K740" s="77"/>
      <c r="L740" s="77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</row>
    <row r="741">
      <c r="A741" s="75"/>
      <c r="B741" s="75"/>
      <c r="C741" s="75"/>
      <c r="D741" s="75"/>
      <c r="E741" s="76"/>
      <c r="F741" s="76"/>
      <c r="G741" s="76"/>
      <c r="H741" s="76"/>
      <c r="I741" s="76"/>
      <c r="J741" s="76"/>
      <c r="K741" s="77"/>
      <c r="L741" s="77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</row>
    <row r="742">
      <c r="A742" s="75"/>
      <c r="B742" s="75"/>
      <c r="C742" s="75"/>
      <c r="D742" s="75"/>
      <c r="E742" s="76"/>
      <c r="F742" s="76"/>
      <c r="G742" s="76"/>
      <c r="H742" s="76"/>
      <c r="I742" s="76"/>
      <c r="J742" s="76"/>
      <c r="K742" s="77"/>
      <c r="L742" s="77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</row>
    <row r="743">
      <c r="A743" s="75"/>
      <c r="B743" s="75"/>
      <c r="C743" s="75"/>
      <c r="D743" s="75"/>
      <c r="E743" s="76"/>
      <c r="F743" s="76"/>
      <c r="G743" s="76"/>
      <c r="H743" s="76"/>
      <c r="I743" s="76"/>
      <c r="J743" s="76"/>
      <c r="K743" s="77"/>
      <c r="L743" s="77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</row>
    <row r="744">
      <c r="A744" s="75"/>
      <c r="B744" s="75"/>
      <c r="C744" s="75"/>
      <c r="D744" s="75"/>
      <c r="E744" s="76"/>
      <c r="F744" s="76"/>
      <c r="G744" s="76"/>
      <c r="H744" s="76"/>
      <c r="I744" s="76"/>
      <c r="J744" s="76"/>
      <c r="K744" s="77"/>
      <c r="L744" s="77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</row>
    <row r="745">
      <c r="A745" s="75"/>
      <c r="B745" s="75"/>
      <c r="C745" s="75"/>
      <c r="D745" s="75"/>
      <c r="E745" s="76"/>
      <c r="F745" s="76"/>
      <c r="G745" s="76"/>
      <c r="H745" s="76"/>
      <c r="I745" s="76"/>
      <c r="J745" s="76"/>
      <c r="K745" s="77"/>
      <c r="L745" s="77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</row>
    <row r="746">
      <c r="A746" s="75"/>
      <c r="B746" s="75"/>
      <c r="C746" s="75"/>
      <c r="D746" s="75"/>
      <c r="E746" s="76"/>
      <c r="F746" s="76"/>
      <c r="G746" s="76"/>
      <c r="H746" s="76"/>
      <c r="I746" s="76"/>
      <c r="J746" s="76"/>
      <c r="K746" s="77"/>
      <c r="L746" s="77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</row>
    <row r="747">
      <c r="A747" s="75"/>
      <c r="B747" s="75"/>
      <c r="C747" s="75"/>
      <c r="D747" s="75"/>
      <c r="E747" s="76"/>
      <c r="F747" s="76"/>
      <c r="G747" s="76"/>
      <c r="H747" s="76"/>
      <c r="I747" s="76"/>
      <c r="J747" s="76"/>
      <c r="K747" s="77"/>
      <c r="L747" s="77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</row>
    <row r="748">
      <c r="A748" s="75"/>
      <c r="B748" s="75"/>
      <c r="C748" s="75"/>
      <c r="D748" s="75"/>
      <c r="E748" s="76"/>
      <c r="F748" s="76"/>
      <c r="G748" s="76"/>
      <c r="H748" s="76"/>
      <c r="I748" s="76"/>
      <c r="J748" s="76"/>
      <c r="K748" s="77"/>
      <c r="L748" s="77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</row>
    <row r="749">
      <c r="A749" s="75"/>
      <c r="B749" s="75"/>
      <c r="C749" s="75"/>
      <c r="D749" s="75"/>
      <c r="E749" s="76"/>
      <c r="F749" s="76"/>
      <c r="G749" s="76"/>
      <c r="H749" s="76"/>
      <c r="I749" s="76"/>
      <c r="J749" s="76"/>
      <c r="K749" s="77"/>
      <c r="L749" s="77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</row>
    <row r="750">
      <c r="A750" s="75"/>
      <c r="B750" s="75"/>
      <c r="C750" s="75"/>
      <c r="D750" s="75"/>
      <c r="E750" s="76"/>
      <c r="F750" s="76"/>
      <c r="G750" s="76"/>
      <c r="H750" s="76"/>
      <c r="I750" s="76"/>
      <c r="J750" s="76"/>
      <c r="K750" s="77"/>
      <c r="L750" s="77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</row>
    <row r="751">
      <c r="A751" s="75"/>
      <c r="B751" s="75"/>
      <c r="C751" s="75"/>
      <c r="D751" s="75"/>
      <c r="E751" s="76"/>
      <c r="F751" s="76"/>
      <c r="G751" s="76"/>
      <c r="H751" s="76"/>
      <c r="I751" s="76"/>
      <c r="J751" s="76"/>
      <c r="K751" s="77"/>
      <c r="L751" s="77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</row>
    <row r="752">
      <c r="A752" s="75"/>
      <c r="B752" s="75"/>
      <c r="C752" s="75"/>
      <c r="D752" s="75"/>
      <c r="E752" s="76"/>
      <c r="F752" s="76"/>
      <c r="G752" s="76"/>
      <c r="H752" s="76"/>
      <c r="I752" s="76"/>
      <c r="J752" s="76"/>
      <c r="K752" s="77"/>
      <c r="L752" s="77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</row>
    <row r="753">
      <c r="A753" s="75"/>
      <c r="B753" s="75"/>
      <c r="C753" s="75"/>
      <c r="D753" s="75"/>
      <c r="E753" s="76"/>
      <c r="F753" s="76"/>
      <c r="G753" s="76"/>
      <c r="H753" s="76"/>
      <c r="I753" s="76"/>
      <c r="J753" s="76"/>
      <c r="K753" s="77"/>
      <c r="L753" s="77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</row>
    <row r="754">
      <c r="A754" s="75"/>
      <c r="B754" s="75"/>
      <c r="C754" s="75"/>
      <c r="D754" s="75"/>
      <c r="E754" s="76"/>
      <c r="F754" s="76"/>
      <c r="G754" s="76"/>
      <c r="H754" s="76"/>
      <c r="I754" s="76"/>
      <c r="J754" s="76"/>
      <c r="K754" s="77"/>
      <c r="L754" s="77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</row>
    <row r="755">
      <c r="A755" s="75"/>
      <c r="B755" s="75"/>
      <c r="C755" s="75"/>
      <c r="D755" s="75"/>
      <c r="E755" s="76"/>
      <c r="F755" s="76"/>
      <c r="G755" s="76"/>
      <c r="H755" s="76"/>
      <c r="I755" s="76"/>
      <c r="J755" s="76"/>
      <c r="K755" s="77"/>
      <c r="L755" s="77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</row>
    <row r="756">
      <c r="A756" s="75"/>
      <c r="B756" s="75"/>
      <c r="C756" s="75"/>
      <c r="D756" s="75"/>
      <c r="E756" s="76"/>
      <c r="F756" s="76"/>
      <c r="G756" s="76"/>
      <c r="H756" s="76"/>
      <c r="I756" s="76"/>
      <c r="J756" s="76"/>
      <c r="K756" s="77"/>
      <c r="L756" s="77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</row>
    <row r="757">
      <c r="A757" s="75"/>
      <c r="B757" s="75"/>
      <c r="C757" s="75"/>
      <c r="D757" s="75"/>
      <c r="E757" s="76"/>
      <c r="F757" s="76"/>
      <c r="G757" s="76"/>
      <c r="H757" s="76"/>
      <c r="I757" s="76"/>
      <c r="J757" s="76"/>
      <c r="K757" s="77"/>
      <c r="L757" s="77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</row>
    <row r="758">
      <c r="A758" s="75"/>
      <c r="B758" s="75"/>
      <c r="C758" s="75"/>
      <c r="D758" s="75"/>
      <c r="E758" s="76"/>
      <c r="F758" s="76"/>
      <c r="G758" s="76"/>
      <c r="H758" s="76"/>
      <c r="I758" s="76"/>
      <c r="J758" s="76"/>
      <c r="K758" s="77"/>
      <c r="L758" s="77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</row>
    <row r="759">
      <c r="A759" s="75"/>
      <c r="B759" s="75"/>
      <c r="C759" s="75"/>
      <c r="D759" s="75"/>
      <c r="E759" s="76"/>
      <c r="F759" s="76"/>
      <c r="G759" s="76"/>
      <c r="H759" s="76"/>
      <c r="I759" s="76"/>
      <c r="J759" s="76"/>
      <c r="K759" s="77"/>
      <c r="L759" s="77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</row>
    <row r="760">
      <c r="A760" s="75"/>
      <c r="B760" s="75"/>
      <c r="C760" s="75"/>
      <c r="D760" s="75"/>
      <c r="E760" s="76"/>
      <c r="F760" s="76"/>
      <c r="G760" s="76"/>
      <c r="H760" s="76"/>
      <c r="I760" s="76"/>
      <c r="J760" s="76"/>
      <c r="K760" s="77"/>
      <c r="L760" s="77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</row>
    <row r="761">
      <c r="A761" s="75"/>
      <c r="B761" s="75"/>
      <c r="C761" s="75"/>
      <c r="D761" s="75"/>
      <c r="E761" s="76"/>
      <c r="F761" s="76"/>
      <c r="G761" s="76"/>
      <c r="H761" s="76"/>
      <c r="I761" s="76"/>
      <c r="J761" s="76"/>
      <c r="K761" s="77"/>
      <c r="L761" s="77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</row>
    <row r="762">
      <c r="A762" s="75"/>
      <c r="B762" s="75"/>
      <c r="C762" s="75"/>
      <c r="D762" s="75"/>
      <c r="E762" s="76"/>
      <c r="F762" s="76"/>
      <c r="G762" s="76"/>
      <c r="H762" s="76"/>
      <c r="I762" s="76"/>
      <c r="J762" s="76"/>
      <c r="K762" s="77"/>
      <c r="L762" s="77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</row>
    <row r="763">
      <c r="A763" s="75"/>
      <c r="B763" s="75"/>
      <c r="C763" s="75"/>
      <c r="D763" s="75"/>
      <c r="E763" s="76"/>
      <c r="F763" s="76"/>
      <c r="G763" s="76"/>
      <c r="H763" s="76"/>
      <c r="I763" s="76"/>
      <c r="J763" s="76"/>
      <c r="K763" s="77"/>
      <c r="L763" s="77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</row>
    <row r="764">
      <c r="A764" s="75"/>
      <c r="B764" s="75"/>
      <c r="C764" s="75"/>
      <c r="D764" s="75"/>
      <c r="E764" s="76"/>
      <c r="F764" s="76"/>
      <c r="G764" s="76"/>
      <c r="H764" s="76"/>
      <c r="I764" s="76"/>
      <c r="J764" s="76"/>
      <c r="K764" s="77"/>
      <c r="L764" s="77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</row>
    <row r="765">
      <c r="A765" s="75"/>
      <c r="B765" s="75"/>
      <c r="C765" s="75"/>
      <c r="D765" s="75"/>
      <c r="E765" s="76"/>
      <c r="F765" s="76"/>
      <c r="G765" s="76"/>
      <c r="H765" s="76"/>
      <c r="I765" s="76"/>
      <c r="J765" s="76"/>
      <c r="K765" s="77"/>
      <c r="L765" s="77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</row>
    <row r="766">
      <c r="A766" s="75"/>
      <c r="B766" s="75"/>
      <c r="C766" s="75"/>
      <c r="D766" s="75"/>
      <c r="E766" s="76"/>
      <c r="F766" s="76"/>
      <c r="G766" s="76"/>
      <c r="H766" s="76"/>
      <c r="I766" s="76"/>
      <c r="J766" s="76"/>
      <c r="K766" s="77"/>
      <c r="L766" s="77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</row>
    <row r="767">
      <c r="A767" s="75"/>
      <c r="B767" s="75"/>
      <c r="C767" s="75"/>
      <c r="D767" s="75"/>
      <c r="E767" s="76"/>
      <c r="F767" s="76"/>
      <c r="G767" s="76"/>
      <c r="H767" s="76"/>
      <c r="I767" s="76"/>
      <c r="J767" s="76"/>
      <c r="K767" s="77"/>
      <c r="L767" s="77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</row>
    <row r="768">
      <c r="A768" s="75"/>
      <c r="B768" s="75"/>
      <c r="C768" s="75"/>
      <c r="D768" s="75"/>
      <c r="E768" s="76"/>
      <c r="F768" s="76"/>
      <c r="G768" s="76"/>
      <c r="H768" s="76"/>
      <c r="I768" s="76"/>
      <c r="J768" s="76"/>
      <c r="K768" s="77"/>
      <c r="L768" s="77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</row>
    <row r="769">
      <c r="A769" s="75"/>
      <c r="B769" s="75"/>
      <c r="C769" s="75"/>
      <c r="D769" s="75"/>
      <c r="E769" s="76"/>
      <c r="F769" s="76"/>
      <c r="G769" s="76"/>
      <c r="H769" s="76"/>
      <c r="I769" s="76"/>
      <c r="J769" s="76"/>
      <c r="K769" s="77"/>
      <c r="L769" s="77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</row>
    <row r="770">
      <c r="A770" s="75"/>
      <c r="B770" s="75"/>
      <c r="C770" s="75"/>
      <c r="D770" s="75"/>
      <c r="E770" s="76"/>
      <c r="F770" s="76"/>
      <c r="G770" s="76"/>
      <c r="H770" s="76"/>
      <c r="I770" s="76"/>
      <c r="J770" s="76"/>
      <c r="K770" s="77"/>
      <c r="L770" s="77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</row>
    <row r="771">
      <c r="A771" s="75"/>
      <c r="B771" s="75"/>
      <c r="C771" s="75"/>
      <c r="D771" s="75"/>
      <c r="E771" s="76"/>
      <c r="F771" s="76"/>
      <c r="G771" s="76"/>
      <c r="H771" s="76"/>
      <c r="I771" s="76"/>
      <c r="J771" s="76"/>
      <c r="K771" s="77"/>
      <c r="L771" s="77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</row>
    <row r="772">
      <c r="A772" s="75"/>
      <c r="B772" s="75"/>
      <c r="C772" s="75"/>
      <c r="D772" s="75"/>
      <c r="E772" s="76"/>
      <c r="F772" s="76"/>
      <c r="G772" s="76"/>
      <c r="H772" s="76"/>
      <c r="I772" s="76"/>
      <c r="J772" s="76"/>
      <c r="K772" s="77"/>
      <c r="L772" s="77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</row>
    <row r="773">
      <c r="A773" s="75"/>
      <c r="B773" s="75"/>
      <c r="C773" s="75"/>
      <c r="D773" s="75"/>
      <c r="E773" s="76"/>
      <c r="F773" s="76"/>
      <c r="G773" s="76"/>
      <c r="H773" s="76"/>
      <c r="I773" s="76"/>
      <c r="J773" s="76"/>
      <c r="K773" s="77"/>
      <c r="L773" s="77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</row>
    <row r="774">
      <c r="A774" s="75"/>
      <c r="B774" s="75"/>
      <c r="C774" s="75"/>
      <c r="D774" s="75"/>
      <c r="E774" s="76"/>
      <c r="F774" s="76"/>
      <c r="G774" s="76"/>
      <c r="H774" s="76"/>
      <c r="I774" s="76"/>
      <c r="J774" s="76"/>
      <c r="K774" s="77"/>
      <c r="L774" s="77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</row>
    <row r="775">
      <c r="A775" s="75"/>
      <c r="B775" s="75"/>
      <c r="C775" s="75"/>
      <c r="D775" s="75"/>
      <c r="E775" s="76"/>
      <c r="F775" s="76"/>
      <c r="G775" s="76"/>
      <c r="H775" s="76"/>
      <c r="I775" s="76"/>
      <c r="J775" s="76"/>
      <c r="K775" s="77"/>
      <c r="L775" s="77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</row>
    <row r="776">
      <c r="A776" s="75"/>
      <c r="B776" s="75"/>
      <c r="C776" s="75"/>
      <c r="D776" s="75"/>
      <c r="E776" s="76"/>
      <c r="F776" s="76"/>
      <c r="G776" s="76"/>
      <c r="H776" s="76"/>
      <c r="I776" s="76"/>
      <c r="J776" s="76"/>
      <c r="K776" s="77"/>
      <c r="L776" s="77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</row>
    <row r="777">
      <c r="A777" s="75"/>
      <c r="B777" s="75"/>
      <c r="C777" s="75"/>
      <c r="D777" s="75"/>
      <c r="E777" s="76"/>
      <c r="F777" s="76"/>
      <c r="G777" s="76"/>
      <c r="H777" s="76"/>
      <c r="I777" s="76"/>
      <c r="J777" s="76"/>
      <c r="K777" s="77"/>
      <c r="L777" s="77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</row>
    <row r="778">
      <c r="A778" s="75"/>
      <c r="B778" s="75"/>
      <c r="C778" s="75"/>
      <c r="D778" s="75"/>
      <c r="E778" s="76"/>
      <c r="F778" s="76"/>
      <c r="G778" s="76"/>
      <c r="H778" s="76"/>
      <c r="I778" s="76"/>
      <c r="J778" s="76"/>
      <c r="K778" s="77"/>
      <c r="L778" s="77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</row>
    <row r="779">
      <c r="A779" s="75"/>
      <c r="B779" s="75"/>
      <c r="C779" s="75"/>
      <c r="D779" s="75"/>
      <c r="E779" s="76"/>
      <c r="F779" s="76"/>
      <c r="G779" s="76"/>
      <c r="H779" s="76"/>
      <c r="I779" s="76"/>
      <c r="J779" s="76"/>
      <c r="K779" s="77"/>
      <c r="L779" s="77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</row>
    <row r="780">
      <c r="A780" s="75"/>
      <c r="B780" s="75"/>
      <c r="C780" s="75"/>
      <c r="D780" s="75"/>
      <c r="E780" s="76"/>
      <c r="F780" s="76"/>
      <c r="G780" s="76"/>
      <c r="H780" s="76"/>
      <c r="I780" s="76"/>
      <c r="J780" s="76"/>
      <c r="K780" s="77"/>
      <c r="L780" s="77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</row>
    <row r="781">
      <c r="A781" s="75"/>
      <c r="B781" s="75"/>
      <c r="C781" s="75"/>
      <c r="D781" s="75"/>
      <c r="E781" s="76"/>
      <c r="F781" s="76"/>
      <c r="G781" s="76"/>
      <c r="H781" s="76"/>
      <c r="I781" s="76"/>
      <c r="J781" s="76"/>
      <c r="K781" s="77"/>
      <c r="L781" s="77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</row>
    <row r="782">
      <c r="A782" s="75"/>
      <c r="B782" s="75"/>
      <c r="C782" s="75"/>
      <c r="D782" s="75"/>
      <c r="E782" s="76"/>
      <c r="F782" s="76"/>
      <c r="G782" s="76"/>
      <c r="H782" s="76"/>
      <c r="I782" s="76"/>
      <c r="J782" s="76"/>
      <c r="K782" s="77"/>
      <c r="L782" s="77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</row>
    <row r="783">
      <c r="A783" s="75"/>
      <c r="B783" s="75"/>
      <c r="C783" s="75"/>
      <c r="D783" s="75"/>
      <c r="E783" s="76"/>
      <c r="F783" s="76"/>
      <c r="G783" s="76"/>
      <c r="H783" s="76"/>
      <c r="I783" s="76"/>
      <c r="J783" s="76"/>
      <c r="K783" s="77"/>
      <c r="L783" s="77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</row>
    <row r="784">
      <c r="A784" s="75"/>
      <c r="B784" s="75"/>
      <c r="C784" s="75"/>
      <c r="D784" s="75"/>
      <c r="E784" s="76"/>
      <c r="F784" s="76"/>
      <c r="G784" s="76"/>
      <c r="H784" s="76"/>
      <c r="I784" s="76"/>
      <c r="J784" s="76"/>
      <c r="K784" s="77"/>
      <c r="L784" s="77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</row>
    <row r="785">
      <c r="A785" s="75"/>
      <c r="B785" s="75"/>
      <c r="C785" s="75"/>
      <c r="D785" s="75"/>
      <c r="E785" s="76"/>
      <c r="F785" s="76"/>
      <c r="G785" s="76"/>
      <c r="H785" s="76"/>
      <c r="I785" s="76"/>
      <c r="J785" s="76"/>
      <c r="K785" s="77"/>
      <c r="L785" s="77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</row>
    <row r="786">
      <c r="A786" s="75"/>
      <c r="B786" s="75"/>
      <c r="C786" s="75"/>
      <c r="D786" s="75"/>
      <c r="E786" s="76"/>
      <c r="F786" s="76"/>
      <c r="G786" s="76"/>
      <c r="H786" s="76"/>
      <c r="I786" s="76"/>
      <c r="J786" s="76"/>
      <c r="K786" s="77"/>
      <c r="L786" s="77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</row>
    <row r="787">
      <c r="A787" s="75"/>
      <c r="B787" s="75"/>
      <c r="C787" s="75"/>
      <c r="D787" s="75"/>
      <c r="E787" s="76"/>
      <c r="F787" s="76"/>
      <c r="G787" s="76"/>
      <c r="H787" s="76"/>
      <c r="I787" s="76"/>
      <c r="J787" s="76"/>
      <c r="K787" s="77"/>
      <c r="L787" s="77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</row>
    <row r="788">
      <c r="A788" s="75"/>
      <c r="B788" s="75"/>
      <c r="C788" s="75"/>
      <c r="D788" s="75"/>
      <c r="E788" s="76"/>
      <c r="F788" s="76"/>
      <c r="G788" s="76"/>
      <c r="H788" s="76"/>
      <c r="I788" s="76"/>
      <c r="J788" s="76"/>
      <c r="K788" s="77"/>
      <c r="L788" s="77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</row>
    <row r="789">
      <c r="A789" s="75"/>
      <c r="B789" s="75"/>
      <c r="C789" s="75"/>
      <c r="D789" s="75"/>
      <c r="E789" s="76"/>
      <c r="F789" s="76"/>
      <c r="G789" s="76"/>
      <c r="H789" s="76"/>
      <c r="I789" s="76"/>
      <c r="J789" s="76"/>
      <c r="K789" s="77"/>
      <c r="L789" s="77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</row>
    <row r="790">
      <c r="A790" s="75"/>
      <c r="B790" s="75"/>
      <c r="C790" s="75"/>
      <c r="D790" s="75"/>
      <c r="E790" s="76"/>
      <c r="F790" s="76"/>
      <c r="G790" s="76"/>
      <c r="H790" s="76"/>
      <c r="I790" s="76"/>
      <c r="J790" s="76"/>
      <c r="K790" s="77"/>
      <c r="L790" s="77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</row>
    <row r="791">
      <c r="A791" s="75"/>
      <c r="B791" s="75"/>
      <c r="C791" s="75"/>
      <c r="D791" s="75"/>
      <c r="E791" s="76"/>
      <c r="F791" s="76"/>
      <c r="G791" s="76"/>
      <c r="H791" s="76"/>
      <c r="I791" s="76"/>
      <c r="J791" s="76"/>
      <c r="K791" s="77"/>
      <c r="L791" s="77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</row>
    <row r="792">
      <c r="A792" s="75"/>
      <c r="B792" s="75"/>
      <c r="C792" s="75"/>
      <c r="D792" s="75"/>
      <c r="E792" s="76"/>
      <c r="F792" s="76"/>
      <c r="G792" s="76"/>
      <c r="H792" s="76"/>
      <c r="I792" s="76"/>
      <c r="J792" s="76"/>
      <c r="K792" s="77"/>
      <c r="L792" s="77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</row>
    <row r="793">
      <c r="A793" s="75"/>
      <c r="B793" s="75"/>
      <c r="C793" s="75"/>
      <c r="D793" s="75"/>
      <c r="E793" s="76"/>
      <c r="F793" s="76"/>
      <c r="G793" s="76"/>
      <c r="H793" s="76"/>
      <c r="I793" s="76"/>
      <c r="J793" s="76"/>
      <c r="K793" s="77"/>
      <c r="L793" s="77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</row>
    <row r="794">
      <c r="A794" s="75"/>
      <c r="B794" s="75"/>
      <c r="C794" s="75"/>
      <c r="D794" s="75"/>
      <c r="E794" s="76"/>
      <c r="F794" s="76"/>
      <c r="G794" s="76"/>
      <c r="H794" s="76"/>
      <c r="I794" s="76"/>
      <c r="J794" s="76"/>
      <c r="K794" s="77"/>
      <c r="L794" s="77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</row>
    <row r="795">
      <c r="A795" s="75"/>
      <c r="B795" s="75"/>
      <c r="C795" s="75"/>
      <c r="D795" s="75"/>
      <c r="E795" s="76"/>
      <c r="F795" s="76"/>
      <c r="G795" s="76"/>
      <c r="H795" s="76"/>
      <c r="I795" s="76"/>
      <c r="J795" s="76"/>
      <c r="K795" s="77"/>
      <c r="L795" s="77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</row>
    <row r="796">
      <c r="A796" s="75"/>
      <c r="B796" s="75"/>
      <c r="C796" s="75"/>
      <c r="D796" s="75"/>
      <c r="E796" s="76"/>
      <c r="F796" s="76"/>
      <c r="G796" s="76"/>
      <c r="H796" s="76"/>
      <c r="I796" s="76"/>
      <c r="J796" s="76"/>
      <c r="K796" s="77"/>
      <c r="L796" s="77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</row>
    <row r="797">
      <c r="A797" s="75"/>
      <c r="B797" s="75"/>
      <c r="C797" s="75"/>
      <c r="D797" s="75"/>
      <c r="E797" s="76"/>
      <c r="F797" s="76"/>
      <c r="G797" s="76"/>
      <c r="H797" s="76"/>
      <c r="I797" s="76"/>
      <c r="J797" s="76"/>
      <c r="K797" s="77"/>
      <c r="L797" s="77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</row>
    <row r="798">
      <c r="A798" s="75"/>
      <c r="B798" s="75"/>
      <c r="C798" s="75"/>
      <c r="D798" s="75"/>
      <c r="E798" s="76"/>
      <c r="F798" s="76"/>
      <c r="G798" s="76"/>
      <c r="H798" s="76"/>
      <c r="I798" s="76"/>
      <c r="J798" s="76"/>
      <c r="K798" s="77"/>
      <c r="L798" s="77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</row>
    <row r="799">
      <c r="A799" s="75"/>
      <c r="B799" s="75"/>
      <c r="C799" s="75"/>
      <c r="D799" s="75"/>
      <c r="E799" s="76"/>
      <c r="F799" s="76"/>
      <c r="G799" s="76"/>
      <c r="H799" s="76"/>
      <c r="I799" s="76"/>
      <c r="J799" s="76"/>
      <c r="K799" s="77"/>
      <c r="L799" s="77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</row>
    <row r="800">
      <c r="A800" s="75"/>
      <c r="B800" s="75"/>
      <c r="C800" s="75"/>
      <c r="D800" s="75"/>
      <c r="E800" s="76"/>
      <c r="F800" s="76"/>
      <c r="G800" s="76"/>
      <c r="H800" s="76"/>
      <c r="I800" s="76"/>
      <c r="J800" s="76"/>
      <c r="K800" s="77"/>
      <c r="L800" s="77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</row>
    <row r="801">
      <c r="A801" s="75"/>
      <c r="B801" s="75"/>
      <c r="C801" s="75"/>
      <c r="D801" s="75"/>
      <c r="E801" s="76"/>
      <c r="F801" s="76"/>
      <c r="G801" s="76"/>
      <c r="H801" s="76"/>
      <c r="I801" s="76"/>
      <c r="J801" s="76"/>
      <c r="K801" s="77"/>
      <c r="L801" s="77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</row>
    <row r="802">
      <c r="A802" s="75"/>
      <c r="B802" s="75"/>
      <c r="C802" s="75"/>
      <c r="D802" s="75"/>
      <c r="E802" s="76"/>
      <c r="F802" s="76"/>
      <c r="G802" s="76"/>
      <c r="H802" s="76"/>
      <c r="I802" s="76"/>
      <c r="J802" s="76"/>
      <c r="K802" s="77"/>
      <c r="L802" s="77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</row>
    <row r="803">
      <c r="A803" s="75"/>
      <c r="B803" s="75"/>
      <c r="C803" s="75"/>
      <c r="D803" s="75"/>
      <c r="E803" s="76"/>
      <c r="F803" s="76"/>
      <c r="G803" s="76"/>
      <c r="H803" s="76"/>
      <c r="I803" s="76"/>
      <c r="J803" s="76"/>
      <c r="K803" s="77"/>
      <c r="L803" s="77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</row>
    <row r="804">
      <c r="A804" s="75"/>
      <c r="B804" s="75"/>
      <c r="C804" s="75"/>
      <c r="D804" s="75"/>
      <c r="E804" s="76"/>
      <c r="F804" s="76"/>
      <c r="G804" s="76"/>
      <c r="H804" s="76"/>
      <c r="I804" s="76"/>
      <c r="J804" s="76"/>
      <c r="K804" s="77"/>
      <c r="L804" s="77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</row>
    <row r="805">
      <c r="A805" s="75"/>
      <c r="B805" s="75"/>
      <c r="C805" s="75"/>
      <c r="D805" s="75"/>
      <c r="E805" s="76"/>
      <c r="F805" s="76"/>
      <c r="G805" s="76"/>
      <c r="H805" s="76"/>
      <c r="I805" s="76"/>
      <c r="J805" s="76"/>
      <c r="K805" s="77"/>
      <c r="L805" s="77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</row>
    <row r="806">
      <c r="A806" s="75"/>
      <c r="B806" s="75"/>
      <c r="C806" s="75"/>
      <c r="D806" s="75"/>
      <c r="E806" s="76"/>
      <c r="F806" s="76"/>
      <c r="G806" s="76"/>
      <c r="H806" s="76"/>
      <c r="I806" s="76"/>
      <c r="J806" s="76"/>
      <c r="K806" s="77"/>
      <c r="L806" s="77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</row>
    <row r="807">
      <c r="A807" s="75"/>
      <c r="B807" s="75"/>
      <c r="C807" s="75"/>
      <c r="D807" s="75"/>
      <c r="E807" s="76"/>
      <c r="F807" s="76"/>
      <c r="G807" s="76"/>
      <c r="H807" s="76"/>
      <c r="I807" s="76"/>
      <c r="J807" s="76"/>
      <c r="K807" s="77"/>
      <c r="L807" s="77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</row>
    <row r="808">
      <c r="A808" s="75"/>
      <c r="B808" s="75"/>
      <c r="C808" s="75"/>
      <c r="D808" s="75"/>
      <c r="E808" s="76"/>
      <c r="F808" s="76"/>
      <c r="G808" s="76"/>
      <c r="H808" s="76"/>
      <c r="I808" s="76"/>
      <c r="J808" s="76"/>
      <c r="K808" s="77"/>
      <c r="L808" s="77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</row>
    <row r="809">
      <c r="A809" s="75"/>
      <c r="B809" s="75"/>
      <c r="C809" s="75"/>
      <c r="D809" s="75"/>
      <c r="E809" s="76"/>
      <c r="F809" s="76"/>
      <c r="G809" s="76"/>
      <c r="H809" s="76"/>
      <c r="I809" s="76"/>
      <c r="J809" s="76"/>
      <c r="K809" s="77"/>
      <c r="L809" s="77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</row>
    <row r="810">
      <c r="A810" s="75"/>
      <c r="B810" s="75"/>
      <c r="C810" s="75"/>
      <c r="D810" s="75"/>
      <c r="E810" s="76"/>
      <c r="F810" s="76"/>
      <c r="G810" s="76"/>
      <c r="H810" s="76"/>
      <c r="I810" s="76"/>
      <c r="J810" s="76"/>
      <c r="K810" s="77"/>
      <c r="L810" s="77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</row>
    <row r="811">
      <c r="A811" s="75"/>
      <c r="B811" s="75"/>
      <c r="C811" s="75"/>
      <c r="D811" s="75"/>
      <c r="E811" s="76"/>
      <c r="F811" s="76"/>
      <c r="G811" s="76"/>
      <c r="H811" s="76"/>
      <c r="I811" s="76"/>
      <c r="J811" s="76"/>
      <c r="K811" s="77"/>
      <c r="L811" s="77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</row>
    <row r="812">
      <c r="A812" s="75"/>
      <c r="B812" s="75"/>
      <c r="C812" s="75"/>
      <c r="D812" s="75"/>
      <c r="E812" s="76"/>
      <c r="F812" s="76"/>
      <c r="G812" s="76"/>
      <c r="H812" s="76"/>
      <c r="I812" s="76"/>
      <c r="J812" s="76"/>
      <c r="K812" s="77"/>
      <c r="L812" s="77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</row>
    <row r="813">
      <c r="A813" s="75"/>
      <c r="B813" s="75"/>
      <c r="C813" s="75"/>
      <c r="D813" s="75"/>
      <c r="E813" s="76"/>
      <c r="F813" s="76"/>
      <c r="G813" s="76"/>
      <c r="H813" s="76"/>
      <c r="I813" s="76"/>
      <c r="J813" s="76"/>
      <c r="K813" s="77"/>
      <c r="L813" s="77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</row>
    <row r="814">
      <c r="A814" s="75"/>
      <c r="B814" s="75"/>
      <c r="C814" s="75"/>
      <c r="D814" s="75"/>
      <c r="E814" s="76"/>
      <c r="F814" s="76"/>
      <c r="G814" s="76"/>
      <c r="H814" s="76"/>
      <c r="I814" s="76"/>
      <c r="J814" s="76"/>
      <c r="K814" s="77"/>
      <c r="L814" s="77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</row>
    <row r="815">
      <c r="A815" s="75"/>
      <c r="B815" s="75"/>
      <c r="C815" s="75"/>
      <c r="D815" s="75"/>
      <c r="E815" s="76"/>
      <c r="F815" s="76"/>
      <c r="G815" s="76"/>
      <c r="H815" s="76"/>
      <c r="I815" s="76"/>
      <c r="J815" s="76"/>
      <c r="K815" s="77"/>
      <c r="L815" s="77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</row>
    <row r="816">
      <c r="A816" s="75"/>
      <c r="B816" s="75"/>
      <c r="C816" s="75"/>
      <c r="D816" s="75"/>
      <c r="E816" s="76"/>
      <c r="F816" s="76"/>
      <c r="G816" s="76"/>
      <c r="H816" s="76"/>
      <c r="I816" s="76"/>
      <c r="J816" s="76"/>
      <c r="K816" s="77"/>
      <c r="L816" s="77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</row>
    <row r="817">
      <c r="A817" s="75"/>
      <c r="B817" s="75"/>
      <c r="C817" s="75"/>
      <c r="D817" s="75"/>
      <c r="E817" s="76"/>
      <c r="F817" s="76"/>
      <c r="G817" s="76"/>
      <c r="H817" s="76"/>
      <c r="I817" s="76"/>
      <c r="J817" s="76"/>
      <c r="K817" s="77"/>
      <c r="L817" s="77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</row>
    <row r="818">
      <c r="A818" s="75"/>
      <c r="B818" s="75"/>
      <c r="C818" s="75"/>
      <c r="D818" s="75"/>
      <c r="E818" s="76"/>
      <c r="F818" s="76"/>
      <c r="G818" s="76"/>
      <c r="H818" s="76"/>
      <c r="I818" s="76"/>
      <c r="J818" s="76"/>
      <c r="K818" s="77"/>
      <c r="L818" s="77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</row>
    <row r="819">
      <c r="A819" s="75"/>
      <c r="B819" s="75"/>
      <c r="C819" s="75"/>
      <c r="D819" s="75"/>
      <c r="E819" s="76"/>
      <c r="F819" s="76"/>
      <c r="G819" s="76"/>
      <c r="H819" s="76"/>
      <c r="I819" s="76"/>
      <c r="J819" s="76"/>
      <c r="K819" s="77"/>
      <c r="L819" s="77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</row>
    <row r="820">
      <c r="A820" s="75"/>
      <c r="B820" s="75"/>
      <c r="C820" s="75"/>
      <c r="D820" s="75"/>
      <c r="E820" s="76"/>
      <c r="F820" s="76"/>
      <c r="G820" s="76"/>
      <c r="H820" s="76"/>
      <c r="I820" s="76"/>
      <c r="J820" s="76"/>
      <c r="K820" s="77"/>
      <c r="L820" s="77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</row>
    <row r="821">
      <c r="A821" s="75"/>
      <c r="B821" s="75"/>
      <c r="C821" s="75"/>
      <c r="D821" s="75"/>
      <c r="E821" s="76"/>
      <c r="F821" s="76"/>
      <c r="G821" s="76"/>
      <c r="H821" s="76"/>
      <c r="I821" s="76"/>
      <c r="J821" s="76"/>
      <c r="K821" s="77"/>
      <c r="L821" s="77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</row>
    <row r="822">
      <c r="A822" s="75"/>
      <c r="B822" s="75"/>
      <c r="C822" s="75"/>
      <c r="D822" s="75"/>
      <c r="E822" s="76"/>
      <c r="F822" s="76"/>
      <c r="G822" s="76"/>
      <c r="H822" s="76"/>
      <c r="I822" s="76"/>
      <c r="J822" s="76"/>
      <c r="K822" s="77"/>
      <c r="L822" s="77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</row>
    <row r="823">
      <c r="A823" s="75"/>
      <c r="B823" s="75"/>
      <c r="C823" s="75"/>
      <c r="D823" s="75"/>
      <c r="E823" s="76"/>
      <c r="F823" s="76"/>
      <c r="G823" s="76"/>
      <c r="H823" s="76"/>
      <c r="I823" s="76"/>
      <c r="J823" s="76"/>
      <c r="K823" s="77"/>
      <c r="L823" s="77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</row>
    <row r="824">
      <c r="A824" s="75"/>
      <c r="B824" s="75"/>
      <c r="C824" s="75"/>
      <c r="D824" s="75"/>
      <c r="E824" s="76"/>
      <c r="F824" s="76"/>
      <c r="G824" s="76"/>
      <c r="H824" s="76"/>
      <c r="I824" s="76"/>
      <c r="J824" s="76"/>
      <c r="K824" s="77"/>
      <c r="L824" s="77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</row>
    <row r="825">
      <c r="A825" s="75"/>
      <c r="B825" s="75"/>
      <c r="C825" s="75"/>
      <c r="D825" s="75"/>
      <c r="E825" s="76"/>
      <c r="F825" s="76"/>
      <c r="G825" s="76"/>
      <c r="H825" s="76"/>
      <c r="I825" s="76"/>
      <c r="J825" s="76"/>
      <c r="K825" s="77"/>
      <c r="L825" s="77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</row>
    <row r="826">
      <c r="A826" s="75"/>
      <c r="B826" s="75"/>
      <c r="C826" s="75"/>
      <c r="D826" s="75"/>
      <c r="E826" s="76"/>
      <c r="F826" s="76"/>
      <c r="G826" s="76"/>
      <c r="H826" s="76"/>
      <c r="I826" s="76"/>
      <c r="J826" s="76"/>
      <c r="K826" s="77"/>
      <c r="L826" s="77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</row>
    <row r="827">
      <c r="A827" s="75"/>
      <c r="B827" s="75"/>
      <c r="C827" s="75"/>
      <c r="D827" s="75"/>
      <c r="E827" s="76"/>
      <c r="F827" s="76"/>
      <c r="G827" s="76"/>
      <c r="H827" s="76"/>
      <c r="I827" s="76"/>
      <c r="J827" s="76"/>
      <c r="K827" s="77"/>
      <c r="L827" s="77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</row>
    <row r="828">
      <c r="A828" s="75"/>
      <c r="B828" s="75"/>
      <c r="C828" s="75"/>
      <c r="D828" s="75"/>
      <c r="E828" s="76"/>
      <c r="F828" s="76"/>
      <c r="G828" s="76"/>
      <c r="H828" s="76"/>
      <c r="I828" s="76"/>
      <c r="J828" s="76"/>
      <c r="K828" s="77"/>
      <c r="L828" s="77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</row>
    <row r="829">
      <c r="A829" s="75"/>
      <c r="B829" s="75"/>
      <c r="C829" s="75"/>
      <c r="D829" s="75"/>
      <c r="E829" s="76"/>
      <c r="F829" s="76"/>
      <c r="G829" s="76"/>
      <c r="H829" s="76"/>
      <c r="I829" s="76"/>
      <c r="J829" s="76"/>
      <c r="K829" s="77"/>
      <c r="L829" s="77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</row>
    <row r="830">
      <c r="A830" s="75"/>
      <c r="B830" s="75"/>
      <c r="C830" s="75"/>
      <c r="D830" s="75"/>
      <c r="E830" s="76"/>
      <c r="F830" s="76"/>
      <c r="G830" s="76"/>
      <c r="H830" s="76"/>
      <c r="I830" s="76"/>
      <c r="J830" s="76"/>
      <c r="K830" s="77"/>
      <c r="L830" s="77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</row>
    <row r="831">
      <c r="A831" s="75"/>
      <c r="B831" s="75"/>
      <c r="C831" s="75"/>
      <c r="D831" s="75"/>
      <c r="E831" s="76"/>
      <c r="F831" s="76"/>
      <c r="G831" s="76"/>
      <c r="H831" s="76"/>
      <c r="I831" s="76"/>
      <c r="J831" s="76"/>
      <c r="K831" s="77"/>
      <c r="L831" s="77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</row>
    <row r="832">
      <c r="A832" s="75"/>
      <c r="B832" s="75"/>
      <c r="C832" s="75"/>
      <c r="D832" s="75"/>
      <c r="E832" s="76"/>
      <c r="F832" s="76"/>
      <c r="G832" s="76"/>
      <c r="H832" s="76"/>
      <c r="I832" s="76"/>
      <c r="J832" s="76"/>
      <c r="K832" s="77"/>
      <c r="L832" s="77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</row>
    <row r="833">
      <c r="A833" s="75"/>
      <c r="B833" s="75"/>
      <c r="C833" s="75"/>
      <c r="D833" s="75"/>
      <c r="E833" s="76"/>
      <c r="F833" s="76"/>
      <c r="G833" s="76"/>
      <c r="H833" s="76"/>
      <c r="I833" s="76"/>
      <c r="J833" s="76"/>
      <c r="K833" s="77"/>
      <c r="L833" s="77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</row>
    <row r="834">
      <c r="A834" s="75"/>
      <c r="B834" s="75"/>
      <c r="C834" s="75"/>
      <c r="D834" s="75"/>
      <c r="E834" s="76"/>
      <c r="F834" s="76"/>
      <c r="G834" s="76"/>
      <c r="H834" s="76"/>
      <c r="I834" s="76"/>
      <c r="J834" s="76"/>
      <c r="K834" s="77"/>
      <c r="L834" s="77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</row>
    <row r="835">
      <c r="A835" s="75"/>
      <c r="B835" s="75"/>
      <c r="C835" s="75"/>
      <c r="D835" s="75"/>
      <c r="E835" s="76"/>
      <c r="F835" s="76"/>
      <c r="G835" s="76"/>
      <c r="H835" s="76"/>
      <c r="I835" s="76"/>
      <c r="J835" s="76"/>
      <c r="K835" s="77"/>
      <c r="L835" s="77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</row>
    <row r="836">
      <c r="A836" s="75"/>
      <c r="B836" s="75"/>
      <c r="C836" s="75"/>
      <c r="D836" s="75"/>
      <c r="E836" s="76"/>
      <c r="F836" s="76"/>
      <c r="G836" s="76"/>
      <c r="H836" s="76"/>
      <c r="I836" s="76"/>
      <c r="J836" s="76"/>
      <c r="K836" s="77"/>
      <c r="L836" s="77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</row>
    <row r="837">
      <c r="A837" s="75"/>
      <c r="B837" s="75"/>
      <c r="C837" s="75"/>
      <c r="D837" s="75"/>
      <c r="E837" s="76"/>
      <c r="F837" s="76"/>
      <c r="G837" s="76"/>
      <c r="H837" s="76"/>
      <c r="I837" s="76"/>
      <c r="J837" s="76"/>
      <c r="K837" s="77"/>
      <c r="L837" s="77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</row>
    <row r="838">
      <c r="A838" s="75"/>
      <c r="B838" s="75"/>
      <c r="C838" s="75"/>
      <c r="D838" s="75"/>
      <c r="E838" s="76"/>
      <c r="F838" s="76"/>
      <c r="G838" s="76"/>
      <c r="H838" s="76"/>
      <c r="I838" s="76"/>
      <c r="J838" s="76"/>
      <c r="K838" s="77"/>
      <c r="L838" s="77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</row>
    <row r="839">
      <c r="A839" s="75"/>
      <c r="B839" s="75"/>
      <c r="C839" s="75"/>
      <c r="D839" s="75"/>
      <c r="E839" s="76"/>
      <c r="F839" s="76"/>
      <c r="G839" s="76"/>
      <c r="H839" s="76"/>
      <c r="I839" s="76"/>
      <c r="J839" s="76"/>
      <c r="K839" s="77"/>
      <c r="L839" s="77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</row>
    <row r="840">
      <c r="A840" s="75"/>
      <c r="B840" s="75"/>
      <c r="C840" s="75"/>
      <c r="D840" s="75"/>
      <c r="E840" s="76"/>
      <c r="F840" s="76"/>
      <c r="G840" s="76"/>
      <c r="H840" s="76"/>
      <c r="I840" s="76"/>
      <c r="J840" s="76"/>
      <c r="K840" s="77"/>
      <c r="L840" s="77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</row>
    <row r="841">
      <c r="A841" s="75"/>
      <c r="B841" s="75"/>
      <c r="C841" s="75"/>
      <c r="D841" s="75"/>
      <c r="E841" s="76"/>
      <c r="F841" s="76"/>
      <c r="G841" s="76"/>
      <c r="H841" s="76"/>
      <c r="I841" s="76"/>
      <c r="J841" s="76"/>
      <c r="K841" s="77"/>
      <c r="L841" s="77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</row>
    <row r="842">
      <c r="A842" s="75"/>
      <c r="B842" s="75"/>
      <c r="C842" s="75"/>
      <c r="D842" s="75"/>
      <c r="E842" s="76"/>
      <c r="F842" s="76"/>
      <c r="G842" s="76"/>
      <c r="H842" s="76"/>
      <c r="I842" s="76"/>
      <c r="J842" s="76"/>
      <c r="K842" s="77"/>
      <c r="L842" s="77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</row>
    <row r="843">
      <c r="A843" s="75"/>
      <c r="B843" s="75"/>
      <c r="C843" s="75"/>
      <c r="D843" s="75"/>
      <c r="E843" s="76"/>
      <c r="F843" s="76"/>
      <c r="G843" s="76"/>
      <c r="H843" s="76"/>
      <c r="I843" s="76"/>
      <c r="J843" s="76"/>
      <c r="K843" s="77"/>
      <c r="L843" s="77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</row>
    <row r="844">
      <c r="A844" s="75"/>
      <c r="B844" s="75"/>
      <c r="C844" s="75"/>
      <c r="D844" s="75"/>
      <c r="E844" s="76"/>
      <c r="F844" s="76"/>
      <c r="G844" s="76"/>
      <c r="H844" s="76"/>
      <c r="I844" s="76"/>
      <c r="J844" s="76"/>
      <c r="K844" s="77"/>
      <c r="L844" s="77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</row>
    <row r="845">
      <c r="A845" s="75"/>
      <c r="B845" s="75"/>
      <c r="C845" s="75"/>
      <c r="D845" s="75"/>
      <c r="E845" s="76"/>
      <c r="F845" s="76"/>
      <c r="G845" s="76"/>
      <c r="H845" s="76"/>
      <c r="I845" s="76"/>
      <c r="J845" s="76"/>
      <c r="K845" s="77"/>
      <c r="L845" s="77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</row>
    <row r="846">
      <c r="A846" s="75"/>
      <c r="B846" s="75"/>
      <c r="C846" s="75"/>
      <c r="D846" s="75"/>
      <c r="E846" s="76"/>
      <c r="F846" s="76"/>
      <c r="G846" s="76"/>
      <c r="H846" s="76"/>
      <c r="I846" s="76"/>
      <c r="J846" s="76"/>
      <c r="K846" s="77"/>
      <c r="L846" s="77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</row>
    <row r="847">
      <c r="A847" s="75"/>
      <c r="B847" s="75"/>
      <c r="C847" s="75"/>
      <c r="D847" s="75"/>
      <c r="E847" s="76"/>
      <c r="F847" s="76"/>
      <c r="G847" s="76"/>
      <c r="H847" s="76"/>
      <c r="I847" s="76"/>
      <c r="J847" s="76"/>
      <c r="K847" s="77"/>
      <c r="L847" s="77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</row>
    <row r="848">
      <c r="A848" s="75"/>
      <c r="B848" s="75"/>
      <c r="C848" s="75"/>
      <c r="D848" s="75"/>
      <c r="E848" s="76"/>
      <c r="F848" s="76"/>
      <c r="G848" s="76"/>
      <c r="H848" s="76"/>
      <c r="I848" s="76"/>
      <c r="J848" s="76"/>
      <c r="K848" s="77"/>
      <c r="L848" s="77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</row>
    <row r="849">
      <c r="A849" s="75"/>
      <c r="B849" s="75"/>
      <c r="C849" s="75"/>
      <c r="D849" s="75"/>
      <c r="E849" s="76"/>
      <c r="F849" s="76"/>
      <c r="G849" s="76"/>
      <c r="H849" s="76"/>
      <c r="I849" s="76"/>
      <c r="J849" s="76"/>
      <c r="K849" s="77"/>
      <c r="L849" s="77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</row>
    <row r="850">
      <c r="A850" s="75"/>
      <c r="B850" s="75"/>
      <c r="C850" s="75"/>
      <c r="D850" s="75"/>
      <c r="E850" s="76"/>
      <c r="F850" s="76"/>
      <c r="G850" s="76"/>
      <c r="H850" s="76"/>
      <c r="I850" s="76"/>
      <c r="J850" s="76"/>
      <c r="K850" s="77"/>
      <c r="L850" s="77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</row>
    <row r="851">
      <c r="A851" s="75"/>
      <c r="B851" s="75"/>
      <c r="C851" s="75"/>
      <c r="D851" s="75"/>
      <c r="E851" s="76"/>
      <c r="F851" s="76"/>
      <c r="G851" s="76"/>
      <c r="H851" s="76"/>
      <c r="I851" s="76"/>
      <c r="J851" s="76"/>
      <c r="K851" s="77"/>
      <c r="L851" s="77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</row>
    <row r="852">
      <c r="A852" s="75"/>
      <c r="B852" s="75"/>
      <c r="C852" s="75"/>
      <c r="D852" s="75"/>
      <c r="E852" s="76"/>
      <c r="F852" s="76"/>
      <c r="G852" s="76"/>
      <c r="H852" s="76"/>
      <c r="I852" s="76"/>
      <c r="J852" s="76"/>
      <c r="K852" s="77"/>
      <c r="L852" s="77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</row>
    <row r="853">
      <c r="A853" s="75"/>
      <c r="B853" s="75"/>
      <c r="C853" s="75"/>
      <c r="D853" s="75"/>
      <c r="E853" s="76"/>
      <c r="F853" s="76"/>
      <c r="G853" s="76"/>
      <c r="H853" s="76"/>
      <c r="I853" s="76"/>
      <c r="J853" s="76"/>
      <c r="K853" s="77"/>
      <c r="L853" s="77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</row>
    <row r="854">
      <c r="A854" s="75"/>
      <c r="B854" s="75"/>
      <c r="C854" s="75"/>
      <c r="D854" s="75"/>
      <c r="E854" s="76"/>
      <c r="F854" s="76"/>
      <c r="G854" s="76"/>
      <c r="H854" s="76"/>
      <c r="I854" s="76"/>
      <c r="J854" s="76"/>
      <c r="K854" s="77"/>
      <c r="L854" s="77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</row>
    <row r="855">
      <c r="A855" s="75"/>
      <c r="B855" s="75"/>
      <c r="C855" s="75"/>
      <c r="D855" s="75"/>
      <c r="E855" s="76"/>
      <c r="F855" s="76"/>
      <c r="G855" s="76"/>
      <c r="H855" s="76"/>
      <c r="I855" s="76"/>
      <c r="J855" s="76"/>
      <c r="K855" s="77"/>
      <c r="L855" s="77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</row>
    <row r="856">
      <c r="A856" s="75"/>
      <c r="B856" s="75"/>
      <c r="C856" s="75"/>
      <c r="D856" s="75"/>
      <c r="E856" s="76"/>
      <c r="F856" s="76"/>
      <c r="G856" s="76"/>
      <c r="H856" s="76"/>
      <c r="I856" s="76"/>
      <c r="J856" s="76"/>
      <c r="K856" s="77"/>
      <c r="L856" s="77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</row>
    <row r="857">
      <c r="A857" s="75"/>
      <c r="B857" s="75"/>
      <c r="C857" s="75"/>
      <c r="D857" s="75"/>
      <c r="E857" s="76"/>
      <c r="F857" s="76"/>
      <c r="G857" s="76"/>
      <c r="H857" s="76"/>
      <c r="I857" s="76"/>
      <c r="J857" s="76"/>
      <c r="K857" s="77"/>
      <c r="L857" s="77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</row>
    <row r="858">
      <c r="A858" s="75"/>
      <c r="B858" s="75"/>
      <c r="C858" s="75"/>
      <c r="D858" s="75"/>
      <c r="E858" s="76"/>
      <c r="F858" s="76"/>
      <c r="G858" s="76"/>
      <c r="H858" s="76"/>
      <c r="I858" s="76"/>
      <c r="J858" s="76"/>
      <c r="K858" s="77"/>
      <c r="L858" s="77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</row>
    <row r="859">
      <c r="A859" s="75"/>
      <c r="B859" s="75"/>
      <c r="C859" s="75"/>
      <c r="D859" s="75"/>
      <c r="E859" s="76"/>
      <c r="F859" s="76"/>
      <c r="G859" s="76"/>
      <c r="H859" s="76"/>
      <c r="I859" s="76"/>
      <c r="J859" s="76"/>
      <c r="K859" s="77"/>
      <c r="L859" s="77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</row>
    <row r="860">
      <c r="A860" s="75"/>
      <c r="B860" s="75"/>
      <c r="C860" s="75"/>
      <c r="D860" s="75"/>
      <c r="E860" s="76"/>
      <c r="F860" s="76"/>
      <c r="G860" s="76"/>
      <c r="H860" s="76"/>
      <c r="I860" s="76"/>
      <c r="J860" s="76"/>
      <c r="K860" s="77"/>
      <c r="L860" s="77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</row>
    <row r="861">
      <c r="A861" s="75"/>
      <c r="B861" s="75"/>
      <c r="C861" s="75"/>
      <c r="D861" s="75"/>
      <c r="E861" s="76"/>
      <c r="F861" s="76"/>
      <c r="G861" s="76"/>
      <c r="H861" s="76"/>
      <c r="I861" s="76"/>
      <c r="J861" s="76"/>
      <c r="K861" s="77"/>
      <c r="L861" s="77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</row>
    <row r="862">
      <c r="A862" s="75"/>
      <c r="B862" s="75"/>
      <c r="C862" s="75"/>
      <c r="D862" s="75"/>
      <c r="E862" s="76"/>
      <c r="F862" s="76"/>
      <c r="G862" s="76"/>
      <c r="H862" s="76"/>
      <c r="I862" s="76"/>
      <c r="J862" s="76"/>
      <c r="K862" s="77"/>
      <c r="L862" s="77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</row>
    <row r="863">
      <c r="A863" s="75"/>
      <c r="B863" s="75"/>
      <c r="C863" s="75"/>
      <c r="D863" s="75"/>
      <c r="E863" s="76"/>
      <c r="F863" s="76"/>
      <c r="G863" s="76"/>
      <c r="H863" s="76"/>
      <c r="I863" s="76"/>
      <c r="J863" s="76"/>
      <c r="K863" s="77"/>
      <c r="L863" s="77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</row>
    <row r="864">
      <c r="A864" s="75"/>
      <c r="B864" s="75"/>
      <c r="C864" s="75"/>
      <c r="D864" s="75"/>
      <c r="E864" s="76"/>
      <c r="F864" s="76"/>
      <c r="G864" s="76"/>
      <c r="H864" s="76"/>
      <c r="I864" s="76"/>
      <c r="J864" s="76"/>
      <c r="K864" s="77"/>
      <c r="L864" s="77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</row>
    <row r="865">
      <c r="A865" s="75"/>
      <c r="B865" s="75"/>
      <c r="C865" s="75"/>
      <c r="D865" s="75"/>
      <c r="E865" s="76"/>
      <c r="F865" s="76"/>
      <c r="G865" s="76"/>
      <c r="H865" s="76"/>
      <c r="I865" s="76"/>
      <c r="J865" s="76"/>
      <c r="K865" s="77"/>
      <c r="L865" s="77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</row>
    <row r="866">
      <c r="A866" s="75"/>
      <c r="B866" s="75"/>
      <c r="C866" s="75"/>
      <c r="D866" s="75"/>
      <c r="E866" s="76"/>
      <c r="F866" s="76"/>
      <c r="G866" s="76"/>
      <c r="H866" s="76"/>
      <c r="I866" s="76"/>
      <c r="J866" s="76"/>
      <c r="K866" s="77"/>
      <c r="L866" s="77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</row>
    <row r="867">
      <c r="A867" s="75"/>
      <c r="B867" s="75"/>
      <c r="C867" s="75"/>
      <c r="D867" s="75"/>
      <c r="E867" s="76"/>
      <c r="F867" s="76"/>
      <c r="G867" s="76"/>
      <c r="H867" s="76"/>
      <c r="I867" s="76"/>
      <c r="J867" s="76"/>
      <c r="K867" s="77"/>
      <c r="L867" s="77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</row>
    <row r="868">
      <c r="A868" s="75"/>
      <c r="B868" s="75"/>
      <c r="C868" s="75"/>
      <c r="D868" s="75"/>
      <c r="E868" s="76"/>
      <c r="F868" s="76"/>
      <c r="G868" s="76"/>
      <c r="H868" s="76"/>
      <c r="I868" s="76"/>
      <c r="J868" s="76"/>
      <c r="K868" s="77"/>
      <c r="L868" s="77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</row>
    <row r="869">
      <c r="A869" s="75"/>
      <c r="B869" s="75"/>
      <c r="C869" s="75"/>
      <c r="D869" s="75"/>
      <c r="E869" s="76"/>
      <c r="F869" s="76"/>
      <c r="G869" s="76"/>
      <c r="H869" s="76"/>
      <c r="I869" s="76"/>
      <c r="J869" s="76"/>
      <c r="K869" s="77"/>
      <c r="L869" s="77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</row>
    <row r="870">
      <c r="A870" s="75"/>
      <c r="B870" s="75"/>
      <c r="C870" s="75"/>
      <c r="D870" s="75"/>
      <c r="E870" s="76"/>
      <c r="F870" s="76"/>
      <c r="G870" s="76"/>
      <c r="H870" s="76"/>
      <c r="I870" s="76"/>
      <c r="J870" s="76"/>
      <c r="K870" s="77"/>
      <c r="L870" s="77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</row>
    <row r="871">
      <c r="A871" s="75"/>
      <c r="B871" s="75"/>
      <c r="C871" s="75"/>
      <c r="D871" s="75"/>
      <c r="E871" s="76"/>
      <c r="F871" s="76"/>
      <c r="G871" s="76"/>
      <c r="H871" s="76"/>
      <c r="I871" s="76"/>
      <c r="J871" s="76"/>
      <c r="K871" s="77"/>
      <c r="L871" s="77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</row>
    <row r="872">
      <c r="A872" s="75"/>
      <c r="B872" s="75"/>
      <c r="C872" s="75"/>
      <c r="D872" s="75"/>
      <c r="E872" s="76"/>
      <c r="F872" s="76"/>
      <c r="G872" s="76"/>
      <c r="H872" s="76"/>
      <c r="I872" s="76"/>
      <c r="J872" s="76"/>
      <c r="K872" s="77"/>
      <c r="L872" s="77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</row>
    <row r="873">
      <c r="A873" s="75"/>
      <c r="B873" s="75"/>
      <c r="C873" s="75"/>
      <c r="D873" s="75"/>
      <c r="E873" s="76"/>
      <c r="F873" s="76"/>
      <c r="G873" s="76"/>
      <c r="H873" s="76"/>
      <c r="I873" s="76"/>
      <c r="J873" s="76"/>
      <c r="K873" s="77"/>
      <c r="L873" s="77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</row>
    <row r="874">
      <c r="A874" s="75"/>
      <c r="B874" s="75"/>
      <c r="C874" s="75"/>
      <c r="D874" s="75"/>
      <c r="E874" s="76"/>
      <c r="F874" s="76"/>
      <c r="G874" s="76"/>
      <c r="H874" s="76"/>
      <c r="I874" s="76"/>
      <c r="J874" s="76"/>
      <c r="K874" s="77"/>
      <c r="L874" s="77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</row>
    <row r="875">
      <c r="A875" s="75"/>
      <c r="B875" s="75"/>
      <c r="C875" s="75"/>
      <c r="D875" s="75"/>
      <c r="E875" s="76"/>
      <c r="F875" s="76"/>
      <c r="G875" s="76"/>
      <c r="H875" s="76"/>
      <c r="I875" s="76"/>
      <c r="J875" s="76"/>
      <c r="K875" s="77"/>
      <c r="L875" s="77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</row>
    <row r="876">
      <c r="A876" s="75"/>
      <c r="B876" s="75"/>
      <c r="C876" s="75"/>
      <c r="D876" s="75"/>
      <c r="E876" s="76"/>
      <c r="F876" s="76"/>
      <c r="G876" s="76"/>
      <c r="H876" s="76"/>
      <c r="I876" s="76"/>
      <c r="J876" s="76"/>
      <c r="K876" s="77"/>
      <c r="L876" s="77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</row>
    <row r="877">
      <c r="A877" s="75"/>
      <c r="B877" s="75"/>
      <c r="C877" s="75"/>
      <c r="D877" s="75"/>
      <c r="E877" s="76"/>
      <c r="F877" s="76"/>
      <c r="G877" s="76"/>
      <c r="H877" s="76"/>
      <c r="I877" s="76"/>
      <c r="J877" s="76"/>
      <c r="K877" s="77"/>
      <c r="L877" s="77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</row>
    <row r="878">
      <c r="A878" s="75"/>
      <c r="B878" s="75"/>
      <c r="C878" s="75"/>
      <c r="D878" s="75"/>
      <c r="E878" s="76"/>
      <c r="F878" s="76"/>
      <c r="G878" s="76"/>
      <c r="H878" s="76"/>
      <c r="I878" s="76"/>
      <c r="J878" s="76"/>
      <c r="K878" s="77"/>
      <c r="L878" s="77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</row>
    <row r="879">
      <c r="A879" s="75"/>
      <c r="B879" s="75"/>
      <c r="C879" s="75"/>
      <c r="D879" s="75"/>
      <c r="E879" s="76"/>
      <c r="F879" s="76"/>
      <c r="G879" s="76"/>
      <c r="H879" s="76"/>
      <c r="I879" s="76"/>
      <c r="J879" s="76"/>
      <c r="K879" s="77"/>
      <c r="L879" s="77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</row>
    <row r="880">
      <c r="A880" s="75"/>
      <c r="B880" s="75"/>
      <c r="C880" s="75"/>
      <c r="D880" s="75"/>
      <c r="E880" s="76"/>
      <c r="F880" s="76"/>
      <c r="G880" s="76"/>
      <c r="H880" s="76"/>
      <c r="I880" s="76"/>
      <c r="J880" s="76"/>
      <c r="K880" s="77"/>
      <c r="L880" s="77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</row>
    <row r="881">
      <c r="A881" s="75"/>
      <c r="B881" s="75"/>
      <c r="C881" s="75"/>
      <c r="D881" s="75"/>
      <c r="E881" s="76"/>
      <c r="F881" s="76"/>
      <c r="G881" s="76"/>
      <c r="H881" s="76"/>
      <c r="I881" s="76"/>
      <c r="J881" s="76"/>
      <c r="K881" s="77"/>
      <c r="L881" s="77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</row>
    <row r="882">
      <c r="A882" s="75"/>
      <c r="B882" s="75"/>
      <c r="C882" s="75"/>
      <c r="D882" s="75"/>
      <c r="E882" s="76"/>
      <c r="F882" s="76"/>
      <c r="G882" s="76"/>
      <c r="H882" s="76"/>
      <c r="I882" s="76"/>
      <c r="J882" s="76"/>
      <c r="K882" s="77"/>
      <c r="L882" s="77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</row>
    <row r="883">
      <c r="A883" s="75"/>
      <c r="B883" s="75"/>
      <c r="C883" s="75"/>
      <c r="D883" s="75"/>
      <c r="E883" s="76"/>
      <c r="F883" s="76"/>
      <c r="G883" s="76"/>
      <c r="H883" s="76"/>
      <c r="I883" s="76"/>
      <c r="J883" s="76"/>
      <c r="K883" s="77"/>
      <c r="L883" s="77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</row>
    <row r="884">
      <c r="A884" s="75"/>
      <c r="B884" s="75"/>
      <c r="C884" s="75"/>
      <c r="D884" s="75"/>
      <c r="E884" s="76"/>
      <c r="F884" s="76"/>
      <c r="G884" s="76"/>
      <c r="H884" s="76"/>
      <c r="I884" s="76"/>
      <c r="J884" s="76"/>
      <c r="K884" s="77"/>
      <c r="L884" s="77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</row>
    <row r="885">
      <c r="A885" s="75"/>
      <c r="B885" s="75"/>
      <c r="C885" s="75"/>
      <c r="D885" s="75"/>
      <c r="E885" s="76"/>
      <c r="F885" s="76"/>
      <c r="G885" s="76"/>
      <c r="H885" s="76"/>
      <c r="I885" s="76"/>
      <c r="J885" s="76"/>
      <c r="K885" s="77"/>
      <c r="L885" s="77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</row>
    <row r="886">
      <c r="A886" s="75"/>
      <c r="B886" s="75"/>
      <c r="C886" s="75"/>
      <c r="D886" s="75"/>
      <c r="E886" s="76"/>
      <c r="F886" s="76"/>
      <c r="G886" s="76"/>
      <c r="H886" s="76"/>
      <c r="I886" s="76"/>
      <c r="J886" s="76"/>
      <c r="K886" s="77"/>
      <c r="L886" s="77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</row>
    <row r="887">
      <c r="A887" s="75"/>
      <c r="B887" s="75"/>
      <c r="C887" s="75"/>
      <c r="D887" s="75"/>
      <c r="E887" s="76"/>
      <c r="F887" s="76"/>
      <c r="G887" s="76"/>
      <c r="H887" s="76"/>
      <c r="I887" s="76"/>
      <c r="J887" s="76"/>
      <c r="K887" s="77"/>
      <c r="L887" s="77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</row>
    <row r="888">
      <c r="A888" s="75"/>
      <c r="B888" s="75"/>
      <c r="C888" s="75"/>
      <c r="D888" s="75"/>
      <c r="E888" s="76"/>
      <c r="F888" s="76"/>
      <c r="G888" s="76"/>
      <c r="H888" s="76"/>
      <c r="I888" s="76"/>
      <c r="J888" s="76"/>
      <c r="K888" s="77"/>
      <c r="L888" s="77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</row>
    <row r="889">
      <c r="A889" s="75"/>
      <c r="B889" s="75"/>
      <c r="C889" s="75"/>
      <c r="D889" s="75"/>
      <c r="E889" s="76"/>
      <c r="F889" s="76"/>
      <c r="G889" s="76"/>
      <c r="H889" s="76"/>
      <c r="I889" s="76"/>
      <c r="J889" s="76"/>
      <c r="K889" s="77"/>
      <c r="L889" s="77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</row>
    <row r="890">
      <c r="A890" s="75"/>
      <c r="B890" s="75"/>
      <c r="C890" s="75"/>
      <c r="D890" s="75"/>
      <c r="E890" s="76"/>
      <c r="F890" s="76"/>
      <c r="G890" s="76"/>
      <c r="H890" s="76"/>
      <c r="I890" s="76"/>
      <c r="J890" s="76"/>
      <c r="K890" s="77"/>
      <c r="L890" s="77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</row>
    <row r="891">
      <c r="A891" s="75"/>
      <c r="B891" s="75"/>
      <c r="C891" s="75"/>
      <c r="D891" s="75"/>
      <c r="E891" s="76"/>
      <c r="F891" s="76"/>
      <c r="G891" s="76"/>
      <c r="H891" s="76"/>
      <c r="I891" s="76"/>
      <c r="J891" s="76"/>
      <c r="K891" s="77"/>
      <c r="L891" s="77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</row>
    <row r="892">
      <c r="A892" s="75"/>
      <c r="B892" s="75"/>
      <c r="C892" s="75"/>
      <c r="D892" s="75"/>
      <c r="E892" s="76"/>
      <c r="F892" s="76"/>
      <c r="G892" s="76"/>
      <c r="H892" s="76"/>
      <c r="I892" s="76"/>
      <c r="J892" s="76"/>
      <c r="K892" s="77"/>
      <c r="L892" s="77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</row>
    <row r="893">
      <c r="A893" s="75"/>
      <c r="B893" s="75"/>
      <c r="C893" s="75"/>
      <c r="D893" s="75"/>
      <c r="E893" s="76"/>
      <c r="F893" s="76"/>
      <c r="G893" s="76"/>
      <c r="H893" s="76"/>
      <c r="I893" s="76"/>
      <c r="J893" s="76"/>
      <c r="K893" s="77"/>
      <c r="L893" s="77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</row>
    <row r="894">
      <c r="A894" s="75"/>
      <c r="B894" s="75"/>
      <c r="C894" s="75"/>
      <c r="D894" s="75"/>
      <c r="E894" s="76"/>
      <c r="F894" s="76"/>
      <c r="G894" s="76"/>
      <c r="H894" s="76"/>
      <c r="I894" s="76"/>
      <c r="J894" s="76"/>
      <c r="K894" s="77"/>
      <c r="L894" s="77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</row>
    <row r="895">
      <c r="A895" s="75"/>
      <c r="B895" s="75"/>
      <c r="C895" s="75"/>
      <c r="D895" s="75"/>
      <c r="E895" s="76"/>
      <c r="F895" s="76"/>
      <c r="G895" s="76"/>
      <c r="H895" s="76"/>
      <c r="I895" s="76"/>
      <c r="J895" s="76"/>
      <c r="K895" s="77"/>
      <c r="L895" s="77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</row>
    <row r="896">
      <c r="A896" s="75"/>
      <c r="B896" s="75"/>
      <c r="C896" s="75"/>
      <c r="D896" s="75"/>
      <c r="E896" s="76"/>
      <c r="F896" s="76"/>
      <c r="G896" s="76"/>
      <c r="H896" s="76"/>
      <c r="I896" s="76"/>
      <c r="J896" s="76"/>
      <c r="K896" s="77"/>
      <c r="L896" s="77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</row>
    <row r="897">
      <c r="A897" s="75"/>
      <c r="B897" s="75"/>
      <c r="C897" s="75"/>
      <c r="D897" s="75"/>
      <c r="E897" s="76"/>
      <c r="F897" s="76"/>
      <c r="G897" s="76"/>
      <c r="H897" s="76"/>
      <c r="I897" s="76"/>
      <c r="J897" s="76"/>
      <c r="K897" s="77"/>
      <c r="L897" s="77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</row>
    <row r="898">
      <c r="A898" s="75"/>
      <c r="B898" s="75"/>
      <c r="C898" s="75"/>
      <c r="D898" s="75"/>
      <c r="E898" s="76"/>
      <c r="F898" s="76"/>
      <c r="G898" s="76"/>
      <c r="H898" s="76"/>
      <c r="I898" s="76"/>
      <c r="J898" s="76"/>
      <c r="K898" s="77"/>
      <c r="L898" s="77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</row>
    <row r="899">
      <c r="A899" s="75"/>
      <c r="B899" s="75"/>
      <c r="C899" s="75"/>
      <c r="D899" s="75"/>
      <c r="E899" s="76"/>
      <c r="F899" s="76"/>
      <c r="G899" s="76"/>
      <c r="H899" s="76"/>
      <c r="I899" s="76"/>
      <c r="J899" s="76"/>
      <c r="K899" s="77"/>
      <c r="L899" s="77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</row>
    <row r="900">
      <c r="A900" s="75"/>
      <c r="B900" s="75"/>
      <c r="C900" s="75"/>
      <c r="D900" s="75"/>
      <c r="E900" s="76"/>
      <c r="F900" s="76"/>
      <c r="G900" s="76"/>
      <c r="H900" s="76"/>
      <c r="I900" s="76"/>
      <c r="J900" s="76"/>
      <c r="K900" s="77"/>
      <c r="L900" s="77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</row>
    <row r="901">
      <c r="A901" s="75"/>
      <c r="B901" s="75"/>
      <c r="C901" s="75"/>
      <c r="D901" s="75"/>
      <c r="E901" s="76"/>
      <c r="F901" s="76"/>
      <c r="G901" s="76"/>
      <c r="H901" s="76"/>
      <c r="I901" s="76"/>
      <c r="J901" s="76"/>
      <c r="K901" s="77"/>
      <c r="L901" s="77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</row>
    <row r="902">
      <c r="A902" s="75"/>
      <c r="B902" s="75"/>
      <c r="C902" s="75"/>
      <c r="D902" s="75"/>
      <c r="E902" s="76"/>
      <c r="F902" s="76"/>
      <c r="G902" s="76"/>
      <c r="H902" s="76"/>
      <c r="I902" s="76"/>
      <c r="J902" s="76"/>
      <c r="K902" s="77"/>
      <c r="L902" s="77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</row>
    <row r="903">
      <c r="A903" s="75"/>
      <c r="B903" s="75"/>
      <c r="C903" s="75"/>
      <c r="D903" s="75"/>
      <c r="E903" s="76"/>
      <c r="F903" s="76"/>
      <c r="G903" s="76"/>
      <c r="H903" s="76"/>
      <c r="I903" s="76"/>
      <c r="J903" s="76"/>
      <c r="K903" s="77"/>
      <c r="L903" s="77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</row>
    <row r="904">
      <c r="A904" s="75"/>
      <c r="B904" s="75"/>
      <c r="C904" s="75"/>
      <c r="D904" s="75"/>
      <c r="E904" s="76"/>
      <c r="F904" s="76"/>
      <c r="G904" s="76"/>
      <c r="H904" s="76"/>
      <c r="I904" s="76"/>
      <c r="J904" s="76"/>
      <c r="K904" s="77"/>
      <c r="L904" s="77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</row>
    <row r="905">
      <c r="A905" s="75"/>
      <c r="B905" s="75"/>
      <c r="C905" s="75"/>
      <c r="D905" s="75"/>
      <c r="E905" s="76"/>
      <c r="F905" s="76"/>
      <c r="G905" s="76"/>
      <c r="H905" s="76"/>
      <c r="I905" s="76"/>
      <c r="J905" s="76"/>
      <c r="K905" s="77"/>
      <c r="L905" s="77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</row>
    <row r="906">
      <c r="A906" s="75"/>
      <c r="B906" s="75"/>
      <c r="C906" s="75"/>
      <c r="D906" s="75"/>
      <c r="E906" s="76"/>
      <c r="F906" s="76"/>
      <c r="G906" s="76"/>
      <c r="H906" s="76"/>
      <c r="I906" s="76"/>
      <c r="J906" s="76"/>
      <c r="K906" s="77"/>
      <c r="L906" s="77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</row>
    <row r="907">
      <c r="A907" s="75"/>
      <c r="B907" s="75"/>
      <c r="C907" s="75"/>
      <c r="D907" s="75"/>
      <c r="E907" s="76"/>
      <c r="F907" s="76"/>
      <c r="G907" s="76"/>
      <c r="H907" s="76"/>
      <c r="I907" s="76"/>
      <c r="J907" s="76"/>
      <c r="K907" s="77"/>
      <c r="L907" s="77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</row>
    <row r="908">
      <c r="A908" s="75"/>
      <c r="B908" s="75"/>
      <c r="C908" s="75"/>
      <c r="D908" s="75"/>
      <c r="E908" s="76"/>
      <c r="F908" s="76"/>
      <c r="G908" s="76"/>
      <c r="H908" s="76"/>
      <c r="I908" s="76"/>
      <c r="J908" s="76"/>
      <c r="K908" s="77"/>
      <c r="L908" s="77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</row>
    <row r="909">
      <c r="A909" s="75"/>
      <c r="B909" s="75"/>
      <c r="C909" s="75"/>
      <c r="D909" s="75"/>
      <c r="E909" s="76"/>
      <c r="F909" s="76"/>
      <c r="G909" s="76"/>
      <c r="H909" s="76"/>
      <c r="I909" s="76"/>
      <c r="J909" s="76"/>
      <c r="K909" s="77"/>
      <c r="L909" s="77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</row>
    <row r="910">
      <c r="A910" s="75"/>
      <c r="B910" s="75"/>
      <c r="C910" s="75"/>
      <c r="D910" s="75"/>
      <c r="E910" s="76"/>
      <c r="F910" s="76"/>
      <c r="G910" s="76"/>
      <c r="H910" s="76"/>
      <c r="I910" s="76"/>
      <c r="J910" s="76"/>
      <c r="K910" s="77"/>
      <c r="L910" s="77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</row>
    <row r="911">
      <c r="A911" s="75"/>
      <c r="B911" s="75"/>
      <c r="C911" s="75"/>
      <c r="D911" s="75"/>
      <c r="E911" s="76"/>
      <c r="F911" s="76"/>
      <c r="G911" s="76"/>
      <c r="H911" s="76"/>
      <c r="I911" s="76"/>
      <c r="J911" s="76"/>
      <c r="K911" s="77"/>
      <c r="L911" s="77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</row>
    <row r="912">
      <c r="A912" s="75"/>
      <c r="B912" s="75"/>
      <c r="C912" s="75"/>
      <c r="D912" s="75"/>
      <c r="E912" s="76"/>
      <c r="F912" s="76"/>
      <c r="G912" s="76"/>
      <c r="H912" s="76"/>
      <c r="I912" s="76"/>
      <c r="J912" s="76"/>
      <c r="K912" s="77"/>
      <c r="L912" s="77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</row>
    <row r="913">
      <c r="A913" s="75"/>
      <c r="B913" s="75"/>
      <c r="C913" s="75"/>
      <c r="D913" s="75"/>
      <c r="E913" s="76"/>
      <c r="F913" s="76"/>
      <c r="G913" s="76"/>
      <c r="H913" s="76"/>
      <c r="I913" s="76"/>
      <c r="J913" s="76"/>
      <c r="K913" s="77"/>
      <c r="L913" s="77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</row>
    <row r="914">
      <c r="A914" s="75"/>
      <c r="B914" s="75"/>
      <c r="C914" s="75"/>
      <c r="D914" s="75"/>
      <c r="E914" s="76"/>
      <c r="F914" s="76"/>
      <c r="G914" s="76"/>
      <c r="H914" s="76"/>
      <c r="I914" s="76"/>
      <c r="J914" s="76"/>
      <c r="K914" s="77"/>
      <c r="L914" s="77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</row>
    <row r="915">
      <c r="A915" s="75"/>
      <c r="B915" s="75"/>
      <c r="C915" s="75"/>
      <c r="D915" s="75"/>
      <c r="E915" s="76"/>
      <c r="F915" s="76"/>
      <c r="G915" s="76"/>
      <c r="H915" s="76"/>
      <c r="I915" s="76"/>
      <c r="J915" s="76"/>
      <c r="K915" s="77"/>
      <c r="L915" s="77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</row>
    <row r="916">
      <c r="A916" s="75"/>
      <c r="B916" s="75"/>
      <c r="C916" s="75"/>
      <c r="D916" s="75"/>
      <c r="E916" s="76"/>
      <c r="F916" s="76"/>
      <c r="G916" s="76"/>
      <c r="H916" s="76"/>
      <c r="I916" s="76"/>
      <c r="J916" s="76"/>
      <c r="K916" s="77"/>
      <c r="L916" s="77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</row>
    <row r="917">
      <c r="A917" s="75"/>
      <c r="B917" s="75"/>
      <c r="C917" s="75"/>
      <c r="D917" s="75"/>
      <c r="E917" s="76"/>
      <c r="F917" s="76"/>
      <c r="G917" s="76"/>
      <c r="H917" s="76"/>
      <c r="I917" s="76"/>
      <c r="J917" s="76"/>
      <c r="K917" s="77"/>
      <c r="L917" s="77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</row>
    <row r="918">
      <c r="A918" s="75"/>
      <c r="B918" s="75"/>
      <c r="C918" s="75"/>
      <c r="D918" s="75"/>
      <c r="E918" s="76"/>
      <c r="F918" s="76"/>
      <c r="G918" s="76"/>
      <c r="H918" s="76"/>
      <c r="I918" s="76"/>
      <c r="J918" s="76"/>
      <c r="K918" s="77"/>
      <c r="L918" s="77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</row>
    <row r="919">
      <c r="A919" s="75"/>
      <c r="B919" s="75"/>
      <c r="C919" s="75"/>
      <c r="D919" s="75"/>
      <c r="E919" s="76"/>
      <c r="F919" s="76"/>
      <c r="G919" s="76"/>
      <c r="H919" s="76"/>
      <c r="I919" s="76"/>
      <c r="J919" s="76"/>
      <c r="K919" s="77"/>
      <c r="L919" s="77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</row>
    <row r="920">
      <c r="A920" s="75"/>
      <c r="B920" s="75"/>
      <c r="C920" s="75"/>
      <c r="D920" s="75"/>
      <c r="E920" s="76"/>
      <c r="F920" s="76"/>
      <c r="G920" s="76"/>
      <c r="H920" s="76"/>
      <c r="I920" s="76"/>
      <c r="J920" s="76"/>
      <c r="K920" s="77"/>
      <c r="L920" s="77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</row>
    <row r="921">
      <c r="A921" s="75"/>
      <c r="B921" s="75"/>
      <c r="C921" s="75"/>
      <c r="D921" s="75"/>
      <c r="E921" s="76"/>
      <c r="F921" s="76"/>
      <c r="G921" s="76"/>
      <c r="H921" s="76"/>
      <c r="I921" s="76"/>
      <c r="J921" s="76"/>
      <c r="K921" s="77"/>
      <c r="L921" s="77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</row>
    <row r="922">
      <c r="A922" s="75"/>
      <c r="B922" s="75"/>
      <c r="C922" s="75"/>
      <c r="D922" s="75"/>
      <c r="E922" s="76"/>
      <c r="F922" s="76"/>
      <c r="G922" s="76"/>
      <c r="H922" s="76"/>
      <c r="I922" s="76"/>
      <c r="J922" s="76"/>
      <c r="K922" s="77"/>
      <c r="L922" s="77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</row>
    <row r="923">
      <c r="A923" s="75"/>
      <c r="B923" s="75"/>
      <c r="C923" s="75"/>
      <c r="D923" s="75"/>
      <c r="E923" s="76"/>
      <c r="F923" s="76"/>
      <c r="G923" s="76"/>
      <c r="H923" s="76"/>
      <c r="I923" s="76"/>
      <c r="J923" s="76"/>
      <c r="K923" s="77"/>
      <c r="L923" s="77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</row>
    <row r="924">
      <c r="A924" s="75"/>
      <c r="B924" s="75"/>
      <c r="C924" s="75"/>
      <c r="D924" s="75"/>
      <c r="E924" s="76"/>
      <c r="F924" s="76"/>
      <c r="G924" s="76"/>
      <c r="H924" s="76"/>
      <c r="I924" s="76"/>
      <c r="J924" s="76"/>
      <c r="K924" s="77"/>
      <c r="L924" s="77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</row>
    <row r="925">
      <c r="A925" s="75"/>
      <c r="B925" s="75"/>
      <c r="C925" s="75"/>
      <c r="D925" s="75"/>
      <c r="E925" s="76"/>
      <c r="F925" s="76"/>
      <c r="G925" s="76"/>
      <c r="H925" s="76"/>
      <c r="I925" s="76"/>
      <c r="J925" s="76"/>
      <c r="K925" s="77"/>
      <c r="L925" s="77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</row>
    <row r="926">
      <c r="A926" s="75"/>
      <c r="B926" s="75"/>
      <c r="C926" s="75"/>
      <c r="D926" s="75"/>
      <c r="E926" s="76"/>
      <c r="F926" s="76"/>
      <c r="G926" s="76"/>
      <c r="H926" s="76"/>
      <c r="I926" s="76"/>
      <c r="J926" s="76"/>
      <c r="K926" s="77"/>
      <c r="L926" s="77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</row>
    <row r="927">
      <c r="A927" s="75"/>
      <c r="B927" s="75"/>
      <c r="C927" s="75"/>
      <c r="D927" s="75"/>
      <c r="E927" s="76"/>
      <c r="F927" s="76"/>
      <c r="G927" s="76"/>
      <c r="H927" s="76"/>
      <c r="I927" s="76"/>
      <c r="J927" s="76"/>
      <c r="K927" s="77"/>
      <c r="L927" s="77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</row>
    <row r="928">
      <c r="A928" s="75"/>
      <c r="B928" s="75"/>
      <c r="C928" s="75"/>
      <c r="D928" s="75"/>
      <c r="E928" s="76"/>
      <c r="F928" s="76"/>
      <c r="G928" s="76"/>
      <c r="H928" s="76"/>
      <c r="I928" s="76"/>
      <c r="J928" s="76"/>
      <c r="K928" s="77"/>
      <c r="L928" s="77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</row>
    <row r="929">
      <c r="A929" s="75"/>
      <c r="B929" s="75"/>
      <c r="C929" s="75"/>
      <c r="D929" s="75"/>
      <c r="E929" s="76"/>
      <c r="F929" s="76"/>
      <c r="G929" s="76"/>
      <c r="H929" s="76"/>
      <c r="I929" s="76"/>
      <c r="J929" s="76"/>
      <c r="K929" s="77"/>
      <c r="L929" s="77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</row>
    <row r="930">
      <c r="A930" s="75"/>
      <c r="B930" s="75"/>
      <c r="C930" s="75"/>
      <c r="D930" s="75"/>
      <c r="E930" s="76"/>
      <c r="F930" s="76"/>
      <c r="G930" s="76"/>
      <c r="H930" s="76"/>
      <c r="I930" s="76"/>
      <c r="J930" s="76"/>
      <c r="K930" s="77"/>
      <c r="L930" s="77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</row>
    <row r="931">
      <c r="A931" s="75"/>
      <c r="B931" s="75"/>
      <c r="C931" s="75"/>
      <c r="D931" s="75"/>
      <c r="E931" s="76"/>
      <c r="F931" s="76"/>
      <c r="G931" s="76"/>
      <c r="H931" s="76"/>
      <c r="I931" s="76"/>
      <c r="J931" s="76"/>
      <c r="K931" s="77"/>
      <c r="L931" s="77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</row>
    <row r="932">
      <c r="A932" s="75"/>
      <c r="B932" s="75"/>
      <c r="C932" s="75"/>
      <c r="D932" s="75"/>
      <c r="E932" s="76"/>
      <c r="F932" s="76"/>
      <c r="G932" s="76"/>
      <c r="H932" s="76"/>
      <c r="I932" s="76"/>
      <c r="J932" s="76"/>
      <c r="K932" s="77"/>
      <c r="L932" s="77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</row>
    <row r="933">
      <c r="A933" s="75"/>
      <c r="B933" s="75"/>
      <c r="C933" s="75"/>
      <c r="D933" s="75"/>
      <c r="E933" s="76"/>
      <c r="F933" s="76"/>
      <c r="G933" s="76"/>
      <c r="H933" s="76"/>
      <c r="I933" s="76"/>
      <c r="J933" s="76"/>
      <c r="K933" s="77"/>
      <c r="L933" s="77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</row>
    <row r="934">
      <c r="A934" s="75"/>
      <c r="B934" s="75"/>
      <c r="C934" s="75"/>
      <c r="D934" s="75"/>
      <c r="E934" s="76"/>
      <c r="F934" s="76"/>
      <c r="G934" s="76"/>
      <c r="H934" s="76"/>
      <c r="I934" s="76"/>
      <c r="J934" s="76"/>
      <c r="K934" s="77"/>
      <c r="L934" s="77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</row>
    <row r="935">
      <c r="A935" s="75"/>
      <c r="B935" s="75"/>
      <c r="C935" s="75"/>
      <c r="D935" s="75"/>
      <c r="E935" s="76"/>
      <c r="F935" s="76"/>
      <c r="G935" s="76"/>
      <c r="H935" s="76"/>
      <c r="I935" s="76"/>
      <c r="J935" s="76"/>
      <c r="K935" s="77"/>
      <c r="L935" s="77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</row>
    <row r="936">
      <c r="A936" s="75"/>
      <c r="B936" s="75"/>
      <c r="C936" s="75"/>
      <c r="D936" s="75"/>
      <c r="E936" s="76"/>
      <c r="F936" s="76"/>
      <c r="G936" s="76"/>
      <c r="H936" s="76"/>
      <c r="I936" s="76"/>
      <c r="J936" s="76"/>
      <c r="K936" s="77"/>
      <c r="L936" s="77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</row>
    <row r="937">
      <c r="A937" s="75"/>
      <c r="B937" s="75"/>
      <c r="C937" s="75"/>
      <c r="D937" s="75"/>
      <c r="E937" s="76"/>
      <c r="F937" s="76"/>
      <c r="G937" s="76"/>
      <c r="H937" s="76"/>
      <c r="I937" s="76"/>
      <c r="J937" s="76"/>
      <c r="K937" s="77"/>
      <c r="L937" s="77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</row>
    <row r="938">
      <c r="A938" s="75"/>
      <c r="B938" s="75"/>
      <c r="C938" s="75"/>
      <c r="D938" s="75"/>
      <c r="E938" s="76"/>
      <c r="F938" s="76"/>
      <c r="G938" s="76"/>
      <c r="H938" s="76"/>
      <c r="I938" s="76"/>
      <c r="J938" s="76"/>
      <c r="K938" s="77"/>
      <c r="L938" s="77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</row>
    <row r="939">
      <c r="A939" s="75"/>
      <c r="B939" s="75"/>
      <c r="C939" s="75"/>
      <c r="D939" s="75"/>
      <c r="E939" s="76"/>
      <c r="F939" s="76"/>
      <c r="G939" s="76"/>
      <c r="H939" s="76"/>
      <c r="I939" s="76"/>
      <c r="J939" s="76"/>
      <c r="K939" s="77"/>
      <c r="L939" s="77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</row>
    <row r="940">
      <c r="A940" s="75"/>
      <c r="B940" s="75"/>
      <c r="C940" s="75"/>
      <c r="D940" s="75"/>
      <c r="E940" s="76"/>
      <c r="F940" s="76"/>
      <c r="G940" s="76"/>
      <c r="H940" s="76"/>
      <c r="I940" s="76"/>
      <c r="J940" s="76"/>
      <c r="K940" s="77"/>
      <c r="L940" s="77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</row>
    <row r="941">
      <c r="A941" s="75"/>
      <c r="B941" s="75"/>
      <c r="C941" s="75"/>
      <c r="D941" s="75"/>
      <c r="E941" s="76"/>
      <c r="F941" s="76"/>
      <c r="G941" s="76"/>
      <c r="H941" s="76"/>
      <c r="I941" s="76"/>
      <c r="J941" s="76"/>
      <c r="K941" s="77"/>
      <c r="L941" s="77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</row>
    <row r="942">
      <c r="A942" s="75"/>
      <c r="B942" s="75"/>
      <c r="C942" s="75"/>
      <c r="D942" s="75"/>
      <c r="E942" s="76"/>
      <c r="F942" s="76"/>
      <c r="G942" s="76"/>
      <c r="H942" s="76"/>
      <c r="I942" s="76"/>
      <c r="J942" s="76"/>
      <c r="K942" s="77"/>
      <c r="L942" s="77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</row>
    <row r="943">
      <c r="A943" s="75"/>
      <c r="B943" s="75"/>
      <c r="C943" s="75"/>
      <c r="D943" s="75"/>
      <c r="E943" s="76"/>
      <c r="F943" s="76"/>
      <c r="G943" s="76"/>
      <c r="H943" s="76"/>
      <c r="I943" s="76"/>
      <c r="J943" s="76"/>
      <c r="K943" s="77"/>
      <c r="L943" s="77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</row>
    <row r="944">
      <c r="A944" s="75"/>
      <c r="B944" s="75"/>
      <c r="C944" s="75"/>
      <c r="D944" s="75"/>
      <c r="E944" s="76"/>
      <c r="F944" s="76"/>
      <c r="G944" s="76"/>
      <c r="H944" s="76"/>
      <c r="I944" s="76"/>
      <c r="J944" s="76"/>
      <c r="K944" s="77"/>
      <c r="L944" s="77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</row>
    <row r="945">
      <c r="A945" s="75"/>
      <c r="B945" s="75"/>
      <c r="C945" s="75"/>
      <c r="D945" s="75"/>
      <c r="E945" s="76"/>
      <c r="F945" s="76"/>
      <c r="G945" s="76"/>
      <c r="H945" s="76"/>
      <c r="I945" s="76"/>
      <c r="J945" s="76"/>
      <c r="K945" s="77"/>
      <c r="L945" s="77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</row>
    <row r="946">
      <c r="A946" s="75"/>
      <c r="B946" s="75"/>
      <c r="C946" s="75"/>
      <c r="D946" s="75"/>
      <c r="E946" s="76"/>
      <c r="F946" s="76"/>
      <c r="G946" s="76"/>
      <c r="H946" s="76"/>
      <c r="I946" s="76"/>
      <c r="J946" s="76"/>
      <c r="K946" s="77"/>
      <c r="L946" s="77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</row>
    <row r="947">
      <c r="A947" s="75"/>
      <c r="B947" s="75"/>
      <c r="C947" s="75"/>
      <c r="D947" s="75"/>
      <c r="E947" s="76"/>
      <c r="F947" s="76"/>
      <c r="G947" s="76"/>
      <c r="H947" s="76"/>
      <c r="I947" s="76"/>
      <c r="J947" s="76"/>
      <c r="K947" s="77"/>
      <c r="L947" s="77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</row>
    <row r="948">
      <c r="A948" s="75"/>
      <c r="B948" s="75"/>
      <c r="C948" s="75"/>
      <c r="D948" s="75"/>
      <c r="E948" s="76"/>
      <c r="F948" s="76"/>
      <c r="G948" s="76"/>
      <c r="H948" s="76"/>
      <c r="I948" s="76"/>
      <c r="J948" s="76"/>
      <c r="K948" s="77"/>
      <c r="L948" s="77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</row>
    <row r="949">
      <c r="A949" s="75"/>
      <c r="B949" s="75"/>
      <c r="C949" s="75"/>
      <c r="D949" s="75"/>
      <c r="E949" s="76"/>
      <c r="F949" s="76"/>
      <c r="G949" s="76"/>
      <c r="H949" s="76"/>
      <c r="I949" s="76"/>
      <c r="J949" s="76"/>
      <c r="K949" s="77"/>
      <c r="L949" s="77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</row>
    <row r="950">
      <c r="A950" s="75"/>
      <c r="B950" s="75"/>
      <c r="C950" s="75"/>
      <c r="D950" s="75"/>
      <c r="E950" s="76"/>
      <c r="F950" s="76"/>
      <c r="G950" s="76"/>
      <c r="H950" s="76"/>
      <c r="I950" s="76"/>
      <c r="J950" s="76"/>
      <c r="K950" s="77"/>
      <c r="L950" s="77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</row>
    <row r="951">
      <c r="A951" s="75"/>
      <c r="B951" s="75"/>
      <c r="C951" s="75"/>
      <c r="D951" s="75"/>
      <c r="E951" s="76"/>
      <c r="F951" s="76"/>
      <c r="G951" s="76"/>
      <c r="H951" s="76"/>
      <c r="I951" s="76"/>
      <c r="J951" s="76"/>
      <c r="K951" s="77"/>
      <c r="L951" s="77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</row>
    <row r="952">
      <c r="A952" s="75"/>
      <c r="B952" s="75"/>
      <c r="C952" s="75"/>
      <c r="D952" s="75"/>
      <c r="E952" s="76"/>
      <c r="F952" s="76"/>
      <c r="G952" s="76"/>
      <c r="H952" s="76"/>
      <c r="I952" s="76"/>
      <c r="J952" s="76"/>
      <c r="K952" s="77"/>
      <c r="L952" s="77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</row>
    <row r="953">
      <c r="A953" s="75"/>
      <c r="B953" s="75"/>
      <c r="C953" s="75"/>
      <c r="D953" s="75"/>
      <c r="E953" s="76"/>
      <c r="F953" s="76"/>
      <c r="G953" s="76"/>
      <c r="H953" s="76"/>
      <c r="I953" s="76"/>
      <c r="J953" s="76"/>
      <c r="K953" s="77"/>
      <c r="L953" s="77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</row>
    <row r="954">
      <c r="A954" s="75"/>
      <c r="B954" s="75"/>
      <c r="C954" s="75"/>
      <c r="D954" s="75"/>
      <c r="E954" s="76"/>
      <c r="F954" s="76"/>
      <c r="G954" s="76"/>
      <c r="H954" s="76"/>
      <c r="I954" s="76"/>
      <c r="J954" s="76"/>
      <c r="K954" s="77"/>
      <c r="L954" s="77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</row>
    <row r="955">
      <c r="A955" s="75"/>
      <c r="B955" s="75"/>
      <c r="C955" s="75"/>
      <c r="D955" s="75"/>
      <c r="E955" s="76"/>
      <c r="F955" s="76"/>
      <c r="G955" s="76"/>
      <c r="H955" s="76"/>
      <c r="I955" s="76"/>
      <c r="J955" s="76"/>
      <c r="K955" s="77"/>
      <c r="L955" s="77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</row>
    <row r="956">
      <c r="A956" s="75"/>
      <c r="B956" s="75"/>
      <c r="C956" s="75"/>
      <c r="D956" s="75"/>
      <c r="E956" s="76"/>
      <c r="F956" s="76"/>
      <c r="G956" s="76"/>
      <c r="H956" s="76"/>
      <c r="I956" s="76"/>
      <c r="J956" s="76"/>
      <c r="K956" s="77"/>
      <c r="L956" s="77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</row>
    <row r="957">
      <c r="A957" s="75"/>
      <c r="B957" s="75"/>
      <c r="C957" s="75"/>
      <c r="D957" s="75"/>
      <c r="E957" s="76"/>
      <c r="F957" s="76"/>
      <c r="G957" s="76"/>
      <c r="H957" s="76"/>
      <c r="I957" s="76"/>
      <c r="J957" s="76"/>
      <c r="K957" s="77"/>
      <c r="L957" s="77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</row>
    <row r="958">
      <c r="A958" s="75"/>
      <c r="B958" s="75"/>
      <c r="C958" s="75"/>
      <c r="D958" s="75"/>
      <c r="E958" s="76"/>
      <c r="F958" s="76"/>
      <c r="G958" s="76"/>
      <c r="H958" s="76"/>
      <c r="I958" s="76"/>
      <c r="J958" s="76"/>
      <c r="K958" s="77"/>
      <c r="L958" s="77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</row>
    <row r="959">
      <c r="A959" s="75"/>
      <c r="B959" s="75"/>
      <c r="C959" s="75"/>
      <c r="D959" s="75"/>
      <c r="E959" s="76"/>
      <c r="F959" s="76"/>
      <c r="G959" s="76"/>
      <c r="H959" s="76"/>
      <c r="I959" s="76"/>
      <c r="J959" s="76"/>
      <c r="K959" s="77"/>
      <c r="L959" s="77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</row>
    <row r="960">
      <c r="A960" s="75"/>
      <c r="B960" s="75"/>
      <c r="C960" s="75"/>
      <c r="D960" s="75"/>
      <c r="E960" s="76"/>
      <c r="F960" s="76"/>
      <c r="G960" s="76"/>
      <c r="H960" s="76"/>
      <c r="I960" s="76"/>
      <c r="J960" s="76"/>
      <c r="K960" s="77"/>
      <c r="L960" s="77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</row>
    <row r="961">
      <c r="A961" s="75"/>
      <c r="B961" s="75"/>
      <c r="C961" s="75"/>
      <c r="D961" s="75"/>
      <c r="E961" s="76"/>
      <c r="F961" s="76"/>
      <c r="G961" s="76"/>
      <c r="H961" s="76"/>
      <c r="I961" s="76"/>
      <c r="J961" s="76"/>
      <c r="K961" s="77"/>
      <c r="L961" s="77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</row>
    <row r="962">
      <c r="A962" s="75"/>
      <c r="B962" s="75"/>
      <c r="C962" s="75"/>
      <c r="D962" s="75"/>
      <c r="E962" s="76"/>
      <c r="F962" s="76"/>
      <c r="G962" s="76"/>
      <c r="H962" s="76"/>
      <c r="I962" s="76"/>
      <c r="J962" s="76"/>
      <c r="K962" s="77"/>
      <c r="L962" s="77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</row>
    <row r="963">
      <c r="A963" s="75"/>
      <c r="B963" s="75"/>
      <c r="C963" s="75"/>
      <c r="D963" s="75"/>
      <c r="E963" s="76"/>
      <c r="F963" s="76"/>
      <c r="G963" s="76"/>
      <c r="H963" s="76"/>
      <c r="I963" s="76"/>
      <c r="J963" s="76"/>
      <c r="K963" s="77"/>
      <c r="L963" s="77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</row>
    <row r="964">
      <c r="A964" s="75"/>
      <c r="B964" s="75"/>
      <c r="C964" s="75"/>
      <c r="D964" s="75"/>
      <c r="E964" s="76"/>
      <c r="F964" s="76"/>
      <c r="G964" s="76"/>
      <c r="H964" s="76"/>
      <c r="I964" s="76"/>
      <c r="J964" s="76"/>
      <c r="K964" s="77"/>
      <c r="L964" s="77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</row>
    <row r="965">
      <c r="A965" s="75"/>
      <c r="B965" s="75"/>
      <c r="C965" s="75"/>
      <c r="D965" s="75"/>
      <c r="E965" s="76"/>
      <c r="F965" s="76"/>
      <c r="G965" s="76"/>
      <c r="H965" s="76"/>
      <c r="I965" s="76"/>
      <c r="J965" s="76"/>
      <c r="K965" s="77"/>
      <c r="L965" s="77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</row>
    <row r="966">
      <c r="A966" s="75"/>
      <c r="B966" s="75"/>
      <c r="C966" s="75"/>
      <c r="D966" s="75"/>
      <c r="E966" s="76"/>
      <c r="F966" s="76"/>
      <c r="G966" s="76"/>
      <c r="H966" s="76"/>
      <c r="I966" s="76"/>
      <c r="J966" s="76"/>
      <c r="K966" s="77"/>
      <c r="L966" s="77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</row>
    <row r="967">
      <c r="A967" s="75"/>
      <c r="B967" s="75"/>
      <c r="C967" s="75"/>
      <c r="D967" s="75"/>
      <c r="E967" s="76"/>
      <c r="F967" s="76"/>
      <c r="G967" s="76"/>
      <c r="H967" s="76"/>
      <c r="I967" s="76"/>
      <c r="J967" s="76"/>
      <c r="K967" s="77"/>
      <c r="L967" s="77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</row>
    <row r="968">
      <c r="A968" s="75"/>
      <c r="B968" s="75"/>
      <c r="C968" s="75"/>
      <c r="D968" s="75"/>
      <c r="E968" s="76"/>
      <c r="F968" s="76"/>
      <c r="G968" s="76"/>
      <c r="H968" s="76"/>
      <c r="I968" s="76"/>
      <c r="J968" s="76"/>
      <c r="K968" s="77"/>
      <c r="L968" s="77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</row>
    <row r="969">
      <c r="A969" s="75"/>
      <c r="B969" s="75"/>
      <c r="C969" s="75"/>
      <c r="D969" s="75"/>
      <c r="E969" s="76"/>
      <c r="F969" s="76"/>
      <c r="G969" s="76"/>
      <c r="H969" s="76"/>
      <c r="I969" s="76"/>
      <c r="J969" s="76"/>
      <c r="K969" s="77"/>
      <c r="L969" s="77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</row>
    <row r="970">
      <c r="A970" s="75"/>
      <c r="B970" s="75"/>
      <c r="C970" s="75"/>
      <c r="D970" s="75"/>
      <c r="E970" s="76"/>
      <c r="F970" s="76"/>
      <c r="G970" s="76"/>
      <c r="H970" s="76"/>
      <c r="I970" s="76"/>
      <c r="J970" s="76"/>
      <c r="K970" s="77"/>
      <c r="L970" s="77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</row>
    <row r="971">
      <c r="A971" s="75"/>
      <c r="B971" s="75"/>
      <c r="C971" s="75"/>
      <c r="D971" s="75"/>
      <c r="E971" s="76"/>
      <c r="F971" s="76"/>
      <c r="G971" s="76"/>
      <c r="H971" s="76"/>
      <c r="I971" s="76"/>
      <c r="J971" s="76"/>
      <c r="K971" s="77"/>
      <c r="L971" s="77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</row>
    <row r="972">
      <c r="A972" s="75"/>
      <c r="B972" s="75"/>
      <c r="C972" s="75"/>
      <c r="D972" s="75"/>
      <c r="E972" s="76"/>
      <c r="F972" s="76"/>
      <c r="G972" s="76"/>
      <c r="H972" s="76"/>
      <c r="I972" s="76"/>
      <c r="J972" s="76"/>
      <c r="K972" s="77"/>
      <c r="L972" s="77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</row>
    <row r="973">
      <c r="A973" s="75"/>
      <c r="B973" s="75"/>
      <c r="C973" s="75"/>
      <c r="D973" s="75"/>
      <c r="E973" s="76"/>
      <c r="F973" s="76"/>
      <c r="G973" s="76"/>
      <c r="H973" s="76"/>
      <c r="I973" s="76"/>
      <c r="J973" s="76"/>
      <c r="K973" s="77"/>
      <c r="L973" s="77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</row>
    <row r="974">
      <c r="A974" s="75"/>
      <c r="B974" s="75"/>
      <c r="C974" s="75"/>
      <c r="D974" s="75"/>
      <c r="E974" s="76"/>
      <c r="F974" s="76"/>
      <c r="G974" s="76"/>
      <c r="H974" s="76"/>
      <c r="I974" s="76"/>
      <c r="J974" s="76"/>
      <c r="K974" s="77"/>
      <c r="L974" s="77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</row>
    <row r="975">
      <c r="A975" s="75"/>
      <c r="B975" s="75"/>
      <c r="C975" s="75"/>
      <c r="D975" s="75"/>
      <c r="E975" s="76"/>
      <c r="F975" s="76"/>
      <c r="G975" s="76"/>
      <c r="H975" s="76"/>
      <c r="I975" s="76"/>
      <c r="J975" s="76"/>
      <c r="K975" s="77"/>
      <c r="L975" s="77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</row>
    <row r="976">
      <c r="A976" s="75"/>
      <c r="B976" s="75"/>
      <c r="C976" s="75"/>
      <c r="D976" s="75"/>
      <c r="E976" s="76"/>
      <c r="F976" s="76"/>
      <c r="G976" s="76"/>
      <c r="H976" s="76"/>
      <c r="I976" s="76"/>
      <c r="J976" s="76"/>
      <c r="K976" s="77"/>
      <c r="L976" s="77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</row>
    <row r="977">
      <c r="A977" s="75"/>
      <c r="B977" s="75"/>
      <c r="C977" s="75"/>
      <c r="D977" s="75"/>
      <c r="E977" s="76"/>
      <c r="F977" s="76"/>
      <c r="G977" s="76"/>
      <c r="H977" s="76"/>
      <c r="I977" s="76"/>
      <c r="J977" s="76"/>
      <c r="K977" s="77"/>
      <c r="L977" s="77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</row>
    <row r="978">
      <c r="A978" s="75"/>
      <c r="B978" s="75"/>
      <c r="C978" s="75"/>
      <c r="D978" s="75"/>
      <c r="E978" s="76"/>
      <c r="F978" s="76"/>
      <c r="G978" s="76"/>
      <c r="H978" s="76"/>
      <c r="I978" s="76"/>
      <c r="J978" s="76"/>
      <c r="K978" s="77"/>
      <c r="L978" s="77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</row>
    <row r="979">
      <c r="A979" s="75"/>
      <c r="B979" s="75"/>
      <c r="C979" s="75"/>
      <c r="D979" s="75"/>
      <c r="E979" s="76"/>
      <c r="F979" s="76"/>
      <c r="G979" s="76"/>
      <c r="H979" s="76"/>
      <c r="I979" s="76"/>
      <c r="J979" s="76"/>
      <c r="K979" s="77"/>
      <c r="L979" s="77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</row>
    <row r="980">
      <c r="A980" s="75"/>
      <c r="B980" s="75"/>
      <c r="C980" s="75"/>
      <c r="D980" s="75"/>
      <c r="E980" s="76"/>
      <c r="F980" s="76"/>
      <c r="G980" s="76"/>
      <c r="H980" s="76"/>
      <c r="I980" s="76"/>
      <c r="J980" s="76"/>
      <c r="K980" s="77"/>
      <c r="L980" s="77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</row>
    <row r="981">
      <c r="A981" s="75"/>
      <c r="B981" s="75"/>
      <c r="C981" s="75"/>
      <c r="D981" s="75"/>
      <c r="E981" s="76"/>
      <c r="F981" s="76"/>
      <c r="G981" s="76"/>
      <c r="H981" s="76"/>
      <c r="I981" s="76"/>
      <c r="J981" s="76"/>
      <c r="K981" s="77"/>
      <c r="L981" s="77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</row>
    <row r="982">
      <c r="A982" s="75"/>
      <c r="B982" s="75"/>
      <c r="C982" s="75"/>
      <c r="D982" s="75"/>
      <c r="E982" s="76"/>
      <c r="F982" s="76"/>
      <c r="G982" s="76"/>
      <c r="H982" s="76"/>
      <c r="I982" s="76"/>
      <c r="J982" s="76"/>
      <c r="K982" s="77"/>
      <c r="L982" s="77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</row>
    <row r="983">
      <c r="A983" s="75"/>
      <c r="B983" s="75"/>
      <c r="C983" s="75"/>
      <c r="D983" s="75"/>
      <c r="E983" s="76"/>
      <c r="F983" s="76"/>
      <c r="G983" s="76"/>
      <c r="H983" s="76"/>
      <c r="I983" s="76"/>
      <c r="J983" s="76"/>
      <c r="K983" s="77"/>
      <c r="L983" s="77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</row>
    <row r="984">
      <c r="A984" s="75"/>
      <c r="B984" s="75"/>
      <c r="C984" s="75"/>
      <c r="D984" s="75"/>
      <c r="E984" s="76"/>
      <c r="F984" s="76"/>
      <c r="G984" s="76"/>
      <c r="H984" s="76"/>
      <c r="I984" s="76"/>
      <c r="J984" s="76"/>
      <c r="K984" s="77"/>
      <c r="L984" s="77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</row>
    <row r="985">
      <c r="A985" s="75"/>
      <c r="B985" s="75"/>
      <c r="C985" s="75"/>
      <c r="D985" s="75"/>
      <c r="E985" s="76"/>
      <c r="F985" s="76"/>
      <c r="G985" s="76"/>
      <c r="H985" s="76"/>
      <c r="I985" s="76"/>
      <c r="J985" s="76"/>
      <c r="K985" s="77"/>
      <c r="L985" s="77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</row>
    <row r="986">
      <c r="A986" s="75"/>
      <c r="B986" s="75"/>
      <c r="C986" s="75"/>
      <c r="D986" s="75"/>
      <c r="E986" s="76"/>
      <c r="F986" s="76"/>
      <c r="G986" s="76"/>
      <c r="H986" s="76"/>
      <c r="I986" s="76"/>
      <c r="J986" s="76"/>
      <c r="K986" s="77"/>
      <c r="L986" s="77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</row>
    <row r="987">
      <c r="A987" s="75"/>
      <c r="B987" s="75"/>
      <c r="C987" s="75"/>
      <c r="D987" s="75"/>
      <c r="E987" s="76"/>
      <c r="F987" s="76"/>
      <c r="G987" s="76"/>
      <c r="H987" s="76"/>
      <c r="I987" s="76"/>
      <c r="J987" s="76"/>
      <c r="K987" s="77"/>
      <c r="L987" s="77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</row>
    <row r="988">
      <c r="A988" s="75"/>
      <c r="B988" s="75"/>
      <c r="C988" s="75"/>
      <c r="D988" s="75"/>
      <c r="E988" s="76"/>
      <c r="F988" s="76"/>
      <c r="G988" s="76"/>
      <c r="H988" s="76"/>
      <c r="I988" s="76"/>
      <c r="J988" s="76"/>
      <c r="K988" s="77"/>
      <c r="L988" s="77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</row>
    <row r="989">
      <c r="A989" s="75"/>
      <c r="B989" s="75"/>
      <c r="C989" s="75"/>
      <c r="D989" s="75"/>
      <c r="E989" s="76"/>
      <c r="F989" s="76"/>
      <c r="G989" s="76"/>
      <c r="H989" s="76"/>
      <c r="I989" s="76"/>
      <c r="J989" s="76"/>
      <c r="K989" s="77"/>
      <c r="L989" s="77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</row>
    <row r="990">
      <c r="A990" s="75"/>
      <c r="B990" s="75"/>
      <c r="C990" s="75"/>
      <c r="D990" s="75"/>
      <c r="E990" s="76"/>
      <c r="F990" s="76"/>
      <c r="G990" s="76"/>
      <c r="H990" s="76"/>
      <c r="I990" s="76"/>
      <c r="J990" s="76"/>
      <c r="K990" s="77"/>
      <c r="L990" s="77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</row>
    <row r="991">
      <c r="A991" s="75"/>
      <c r="B991" s="75"/>
      <c r="C991" s="75"/>
      <c r="D991" s="75"/>
      <c r="E991" s="76"/>
      <c r="F991" s="76"/>
      <c r="G991" s="76"/>
      <c r="H991" s="76"/>
      <c r="I991" s="76"/>
      <c r="J991" s="76"/>
      <c r="K991" s="77"/>
      <c r="L991" s="77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</row>
    <row r="992">
      <c r="A992" s="75"/>
      <c r="B992" s="75"/>
      <c r="C992" s="75"/>
      <c r="D992" s="75"/>
      <c r="E992" s="76"/>
      <c r="F992" s="76"/>
      <c r="G992" s="76"/>
      <c r="H992" s="76"/>
      <c r="I992" s="76"/>
      <c r="J992" s="76"/>
      <c r="K992" s="77"/>
      <c r="L992" s="77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</row>
    <row r="993">
      <c r="A993" s="75"/>
      <c r="B993" s="75"/>
      <c r="C993" s="75"/>
      <c r="D993" s="75"/>
      <c r="E993" s="76"/>
      <c r="F993" s="76"/>
      <c r="G993" s="76"/>
      <c r="H993" s="76"/>
      <c r="I993" s="76"/>
      <c r="J993" s="76"/>
      <c r="K993" s="77"/>
      <c r="L993" s="77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</row>
    <row r="994">
      <c r="A994" s="75"/>
      <c r="B994" s="75"/>
      <c r="C994" s="75"/>
      <c r="D994" s="75"/>
      <c r="E994" s="76"/>
      <c r="F994" s="76"/>
      <c r="G994" s="76"/>
      <c r="H994" s="76"/>
      <c r="I994" s="76"/>
      <c r="J994" s="76"/>
      <c r="K994" s="77"/>
      <c r="L994" s="77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</row>
    <row r="995">
      <c r="A995" s="75"/>
      <c r="B995" s="75"/>
      <c r="C995" s="75"/>
      <c r="D995" s="75"/>
      <c r="E995" s="76"/>
      <c r="F995" s="76"/>
      <c r="G995" s="76"/>
      <c r="H995" s="76"/>
      <c r="I995" s="76"/>
      <c r="J995" s="76"/>
      <c r="K995" s="77"/>
      <c r="L995" s="77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</row>
    <row r="996">
      <c r="A996" s="75"/>
      <c r="B996" s="75"/>
      <c r="C996" s="75"/>
      <c r="D996" s="75"/>
      <c r="E996" s="76"/>
      <c r="F996" s="76"/>
      <c r="G996" s="76"/>
      <c r="H996" s="76"/>
      <c r="I996" s="76"/>
      <c r="J996" s="76"/>
      <c r="K996" s="77"/>
      <c r="L996" s="77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</row>
    <row r="997">
      <c r="A997" s="75"/>
      <c r="B997" s="75"/>
      <c r="C997" s="75"/>
      <c r="D997" s="75"/>
      <c r="E997" s="76"/>
      <c r="F997" s="76"/>
      <c r="G997" s="76"/>
      <c r="H997" s="76"/>
      <c r="I997" s="76"/>
      <c r="J997" s="76"/>
      <c r="K997" s="77"/>
      <c r="L997" s="77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</row>
    <row r="998">
      <c r="A998" s="75"/>
      <c r="B998" s="75"/>
      <c r="C998" s="75"/>
      <c r="D998" s="75"/>
      <c r="E998" s="76"/>
      <c r="F998" s="76"/>
      <c r="G998" s="76"/>
      <c r="H998" s="76"/>
      <c r="I998" s="76"/>
      <c r="J998" s="76"/>
      <c r="K998" s="77"/>
      <c r="L998" s="77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</row>
    <row r="999">
      <c r="A999" s="75"/>
      <c r="B999" s="75"/>
      <c r="C999" s="75"/>
      <c r="D999" s="75"/>
      <c r="E999" s="76"/>
      <c r="F999" s="76"/>
      <c r="G999" s="76"/>
      <c r="H999" s="76"/>
      <c r="I999" s="76"/>
      <c r="J999" s="76"/>
      <c r="K999" s="77"/>
      <c r="L999" s="77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</row>
    <row r="1000">
      <c r="A1000" s="75"/>
      <c r="B1000" s="75"/>
      <c r="C1000" s="75"/>
      <c r="D1000" s="75"/>
      <c r="E1000" s="76"/>
      <c r="F1000" s="76"/>
      <c r="G1000" s="76"/>
      <c r="H1000" s="76"/>
      <c r="I1000" s="76"/>
      <c r="J1000" s="76"/>
      <c r="K1000" s="77"/>
      <c r="L1000" s="77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</row>
    <row r="1001">
      <c r="A1001" s="75"/>
      <c r="B1001" s="75"/>
      <c r="C1001" s="75"/>
      <c r="D1001" s="75"/>
      <c r="E1001" s="76"/>
      <c r="F1001" s="76"/>
      <c r="G1001" s="76"/>
      <c r="H1001" s="76"/>
      <c r="I1001" s="76"/>
      <c r="J1001" s="76"/>
      <c r="K1001" s="77"/>
      <c r="L1001" s="77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  <c r="AD1001" s="66"/>
      <c r="AE1001" s="66"/>
    </row>
  </sheetData>
  <mergeCells count="4">
    <mergeCell ref="Z2:AA2"/>
    <mergeCell ref="Z3:Z6"/>
    <mergeCell ref="AA3:AA6"/>
    <mergeCell ref="AB3:AB6"/>
  </mergeCells>
  <hyperlinks>
    <hyperlink display="Return to Leaderboard" location="Leaderboard!A1" ref="Z2"/>
  </hyperlink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7.57"/>
    <col customWidth="1" min="3" max="3" width="10.0"/>
    <col customWidth="1" min="4" max="4" width="11.57"/>
    <col customWidth="1" min="5" max="5" width="15.29"/>
    <col customWidth="1" min="6" max="6" width="13.57"/>
    <col customWidth="1" min="7" max="7" width="24.29"/>
    <col customWidth="1" min="8" max="8" width="11.14"/>
    <col customWidth="1" min="9" max="9" width="15.43"/>
    <col customWidth="1" min="10" max="10" width="12.71"/>
    <col customWidth="1" min="11" max="11" width="34.0"/>
    <col customWidth="1" min="12" max="12" width="11.14"/>
    <col customWidth="1" min="13" max="13" width="11.57"/>
    <col customWidth="1" min="14" max="14" width="11.43"/>
    <col customWidth="1" min="15" max="16" width="11.14"/>
    <col customWidth="1" min="17" max="17" width="28.14"/>
    <col customWidth="1" min="18" max="18" width="15.29"/>
    <col customWidth="1" min="19" max="19" width="15.86"/>
    <col customWidth="1" min="20" max="25" width="8.71"/>
  </cols>
  <sheetData>
    <row r="1">
      <c r="A1" s="79" t="s">
        <v>231</v>
      </c>
      <c r="B1" s="79" t="s">
        <v>232</v>
      </c>
      <c r="C1" s="79" t="s">
        <v>233</v>
      </c>
      <c r="D1" s="79" t="s">
        <v>234</v>
      </c>
      <c r="E1" s="79" t="s">
        <v>21</v>
      </c>
      <c r="F1" s="79" t="s">
        <v>235</v>
      </c>
      <c r="G1" s="79" t="s">
        <v>236</v>
      </c>
      <c r="H1" s="79" t="s">
        <v>237</v>
      </c>
      <c r="I1" s="79" t="s">
        <v>238</v>
      </c>
      <c r="J1" s="79" t="s">
        <v>239</v>
      </c>
      <c r="K1" s="79" t="s">
        <v>240</v>
      </c>
      <c r="L1" s="79" t="s">
        <v>241</v>
      </c>
      <c r="M1" s="80" t="s">
        <v>242</v>
      </c>
      <c r="N1" s="80" t="s">
        <v>243</v>
      </c>
      <c r="O1" s="80" t="s">
        <v>244</v>
      </c>
      <c r="P1" s="80" t="s">
        <v>245</v>
      </c>
      <c r="Q1" s="80" t="s">
        <v>20</v>
      </c>
      <c r="R1" s="80" t="s">
        <v>246</v>
      </c>
      <c r="S1" s="80" t="s">
        <v>247</v>
      </c>
    </row>
    <row r="2">
      <c r="A2" s="81">
        <v>46059.5857609838</v>
      </c>
      <c r="B2" s="82" t="s">
        <v>248</v>
      </c>
      <c r="C2" s="82" t="s">
        <v>249</v>
      </c>
      <c r="D2" s="82" t="s">
        <v>250</v>
      </c>
      <c r="E2" s="82" t="s">
        <v>251</v>
      </c>
      <c r="F2" s="82" t="s">
        <v>47</v>
      </c>
      <c r="G2" s="82" t="s">
        <v>252</v>
      </c>
      <c r="H2" s="82" t="s">
        <v>46</v>
      </c>
      <c r="I2" s="82" t="s">
        <v>81</v>
      </c>
      <c r="J2" s="82" t="s">
        <v>49</v>
      </c>
      <c r="K2" s="82" t="s">
        <v>253</v>
      </c>
      <c r="L2" s="83">
        <v>27.0</v>
      </c>
      <c r="M2" s="84" t="str">
        <f t="shared" ref="M2:M53" si="1">IF(G2="","",TRIM(LEFT(G2,FIND(",",G2)-1)))</f>
        <v>Austria</v>
      </c>
      <c r="N2" s="84" t="str">
        <f t="shared" ref="N2:N53" si="2">IF(G2="","",TRIM(MID(G2,FIND(",",G2)+1,100)))</f>
        <v>Netherlands</v>
      </c>
      <c r="O2" s="84" t="str">
        <f t="shared" ref="O2:O53" si="3">IF(K2="","",IFERROR(TRIM(LEFT(SUBSTITUTE(TRIM(LEFT(K2,FIND(",",K2&amp;",")-1)),"⚪",""),FIND(" (",SUBSTITUTE(TRIM(LEFT(K2,FIND(",",K2&amp;",")-1)),"⚪","")&amp;" (")-1)),TRIM(SUBSTITUTE(TRIM(LEFT(K2,FIND(",",K2&amp;",")-1)),"⚪",""))))</f>
        <v>New Zealand</v>
      </c>
      <c r="P2" s="84" t="str">
        <f t="shared" ref="P2:P53" si="4">IF(K2="","",IFERROR(TRIM(LEFT(SUBSTITUTE(TRIM(MID(K2,FIND(",",K2)+1,100)),"⚪",""),FIND(" (",SUBSTITUTE(TRIM(MID(K2,FIND(",",K2)+1,100)),"⚪","")&amp;" (")-1)),TRIM(SUBSTITUTE(TRIM(MID(K2,FIND(",",K2)+1,100)),"⚪",""))))</f>
        <v>Ukraine</v>
      </c>
      <c r="Q2" s="84" t="str">
        <f t="shared" ref="Q2:Q53" si="5">IF(C2="","",C2&amp;"_"&amp;D2&amp;"_"&amp;E2)</f>
        <v>Brad_Hagstrom_King Towsk</v>
      </c>
      <c r="R2" s="84" t="str">
        <f t="shared" ref="R2:R53" si="6">IF(C2="","",IF(AND(F2&lt;&gt;"",M2&lt;&gt;"",N2&lt;&gt;"",H2&lt;&gt;"",I2&lt;&gt;"",J2&lt;&gt;"",O2&lt;&gt;"",P2&lt;&gt;""),"OK","INCOMPLETE"))</f>
        <v>OK</v>
      </c>
      <c r="S2" s="84" t="str">
        <f t="shared" ref="S2:S53" si="7">IF(C2="","",IF(R2="INCOMPLETE","Missing picks","Valid"))</f>
        <v>Valid</v>
      </c>
    </row>
    <row r="3">
      <c r="A3" s="85">
        <v>46050.792510960644</v>
      </c>
      <c r="B3" s="86" t="s">
        <v>254</v>
      </c>
      <c r="C3" s="86" t="s">
        <v>255</v>
      </c>
      <c r="D3" s="86" t="s">
        <v>256</v>
      </c>
      <c r="E3" s="86" t="s">
        <v>255</v>
      </c>
      <c r="F3" s="86" t="s">
        <v>59</v>
      </c>
      <c r="G3" s="86" t="s">
        <v>252</v>
      </c>
      <c r="H3" s="86" t="s">
        <v>77</v>
      </c>
      <c r="I3" s="86" t="s">
        <v>85</v>
      </c>
      <c r="J3" s="86" t="s">
        <v>49</v>
      </c>
      <c r="K3" s="86" t="s">
        <v>257</v>
      </c>
      <c r="L3" s="87">
        <v>27.0</v>
      </c>
      <c r="M3" s="84" t="str">
        <f t="shared" si="1"/>
        <v>Austria</v>
      </c>
      <c r="N3" s="84" t="str">
        <f t="shared" si="2"/>
        <v>Netherlands</v>
      </c>
      <c r="O3" s="84" t="str">
        <f t="shared" si="3"/>
        <v>Croatia</v>
      </c>
      <c r="P3" s="84" t="str">
        <f t="shared" si="4"/>
        <v>Ukraine</v>
      </c>
      <c r="Q3" s="84" t="str">
        <f t="shared" si="5"/>
        <v>Wyatt_Eisen_Wyatt</v>
      </c>
      <c r="R3" s="84" t="str">
        <f t="shared" si="6"/>
        <v>OK</v>
      </c>
      <c r="S3" s="84" t="str">
        <f t="shared" si="7"/>
        <v>Valid</v>
      </c>
    </row>
    <row r="4">
      <c r="A4" s="81">
        <v>46050.89993773148</v>
      </c>
      <c r="B4" s="82" t="s">
        <v>258</v>
      </c>
      <c r="C4" s="82" t="s">
        <v>259</v>
      </c>
      <c r="D4" s="82" t="s">
        <v>260</v>
      </c>
      <c r="E4" s="82" t="s">
        <v>261</v>
      </c>
      <c r="F4" s="82" t="s">
        <v>47</v>
      </c>
      <c r="G4" s="82" t="s">
        <v>262</v>
      </c>
      <c r="H4" s="82" t="s">
        <v>53</v>
      </c>
      <c r="I4" s="82" t="s">
        <v>85</v>
      </c>
      <c r="J4" s="82" t="s">
        <v>79</v>
      </c>
      <c r="K4" s="82" t="s">
        <v>263</v>
      </c>
      <c r="L4" s="83">
        <v>52.0</v>
      </c>
      <c r="M4" s="84" t="str">
        <f t="shared" si="1"/>
        <v>Netherlands</v>
      </c>
      <c r="N4" s="84" t="str">
        <f t="shared" si="2"/>
        <v>Sweden</v>
      </c>
      <c r="O4" s="84" t="str">
        <f t="shared" si="3"/>
        <v>Belgium</v>
      </c>
      <c r="P4" s="84" t="str">
        <f t="shared" si="4"/>
        <v>Denmark</v>
      </c>
      <c r="Q4" s="84" t="str">
        <f t="shared" si="5"/>
        <v>Jack_Jansen_Jack Jansen</v>
      </c>
      <c r="R4" s="84" t="str">
        <f t="shared" si="6"/>
        <v>OK</v>
      </c>
      <c r="S4" s="84" t="str">
        <f t="shared" si="7"/>
        <v>Valid</v>
      </c>
    </row>
    <row r="5">
      <c r="A5" s="85">
        <v>46051.382959270835</v>
      </c>
      <c r="B5" s="86" t="s">
        <v>264</v>
      </c>
      <c r="C5" s="86" t="s">
        <v>265</v>
      </c>
      <c r="D5" s="86" t="s">
        <v>266</v>
      </c>
      <c r="E5" s="86" t="s">
        <v>267</v>
      </c>
      <c r="F5" s="86" t="s">
        <v>47</v>
      </c>
      <c r="G5" s="86" t="s">
        <v>268</v>
      </c>
      <c r="H5" s="86" t="s">
        <v>53</v>
      </c>
      <c r="I5" s="86" t="s">
        <v>85</v>
      </c>
      <c r="J5" s="86" t="s">
        <v>49</v>
      </c>
      <c r="K5" s="86" t="s">
        <v>269</v>
      </c>
      <c r="L5" s="87">
        <v>29.0</v>
      </c>
      <c r="M5" s="84" t="str">
        <f t="shared" si="1"/>
        <v>Austria</v>
      </c>
      <c r="N5" s="84" t="str">
        <f t="shared" si="2"/>
        <v>Sweden</v>
      </c>
      <c r="O5" s="84" t="str">
        <f t="shared" si="3"/>
        <v>Chile</v>
      </c>
      <c r="P5" s="84" t="str">
        <f t="shared" si="4"/>
        <v>Chinese Taipei</v>
      </c>
      <c r="Q5" s="84" t="str">
        <f t="shared" si="5"/>
        <v>Charlie_Kaufmann_Charlie </v>
      </c>
      <c r="R5" s="84" t="str">
        <f t="shared" si="6"/>
        <v>OK</v>
      </c>
      <c r="S5" s="84" t="str">
        <f t="shared" si="7"/>
        <v>Valid</v>
      </c>
    </row>
    <row r="6">
      <c r="A6" s="81">
        <v>46051.41243818287</v>
      </c>
      <c r="B6" s="82" t="s">
        <v>270</v>
      </c>
      <c r="C6" s="82" t="s">
        <v>271</v>
      </c>
      <c r="D6" s="82" t="s">
        <v>272</v>
      </c>
      <c r="E6" s="82" t="s">
        <v>273</v>
      </c>
      <c r="F6" s="82" t="s">
        <v>47</v>
      </c>
      <c r="G6" s="82" t="s">
        <v>274</v>
      </c>
      <c r="H6" s="82" t="s">
        <v>53</v>
      </c>
      <c r="I6" s="82" t="s">
        <v>81</v>
      </c>
      <c r="J6" s="82" t="s">
        <v>57</v>
      </c>
      <c r="K6" s="82" t="s">
        <v>275</v>
      </c>
      <c r="L6" s="83">
        <v>25.0</v>
      </c>
      <c r="M6" s="84" t="str">
        <f t="shared" si="1"/>
        <v>Netherlands</v>
      </c>
      <c r="N6" s="84" t="str">
        <f t="shared" si="2"/>
        <v>Switzerland</v>
      </c>
      <c r="O6" s="84" t="str">
        <f t="shared" si="3"/>
        <v>Belgium</v>
      </c>
      <c r="P6" s="84" t="str">
        <f t="shared" si="4"/>
        <v>Spain</v>
      </c>
      <c r="Q6" s="84" t="str">
        <f t="shared" si="5"/>
        <v>John_Murphy_Murph</v>
      </c>
      <c r="R6" s="84" t="str">
        <f t="shared" si="6"/>
        <v>OK</v>
      </c>
      <c r="S6" s="84" t="str">
        <f t="shared" si="7"/>
        <v>Valid</v>
      </c>
    </row>
    <row r="7">
      <c r="A7" s="85">
        <v>46051.41880646991</v>
      </c>
      <c r="B7" s="86" t="s">
        <v>276</v>
      </c>
      <c r="C7" s="86" t="s">
        <v>277</v>
      </c>
      <c r="D7" s="86" t="s">
        <v>278</v>
      </c>
      <c r="E7" s="86" t="s">
        <v>279</v>
      </c>
      <c r="F7" s="86" t="s">
        <v>51</v>
      </c>
      <c r="G7" s="86" t="s">
        <v>280</v>
      </c>
      <c r="H7" s="86" t="s">
        <v>77</v>
      </c>
      <c r="I7" s="86" t="s">
        <v>81</v>
      </c>
      <c r="J7" s="86" t="s">
        <v>79</v>
      </c>
      <c r="K7" s="86" t="s">
        <v>281</v>
      </c>
      <c r="L7" s="87">
        <v>200.0</v>
      </c>
      <c r="M7" s="84" t="str">
        <f t="shared" si="1"/>
        <v>France</v>
      </c>
      <c r="N7" s="84" t="str">
        <f t="shared" si="2"/>
        <v>Sweden</v>
      </c>
      <c r="O7" s="84" t="str">
        <f t="shared" si="3"/>
        <v>Belgium</v>
      </c>
      <c r="P7" s="84" t="str">
        <f t="shared" si="4"/>
        <v>Ukraine</v>
      </c>
      <c r="Q7" s="84" t="str">
        <f t="shared" si="5"/>
        <v>Josh_Caputa_Josh’s Dawgs</v>
      </c>
      <c r="R7" s="84" t="str">
        <f t="shared" si="6"/>
        <v>OK</v>
      </c>
      <c r="S7" s="84" t="str">
        <f t="shared" si="7"/>
        <v>Valid</v>
      </c>
    </row>
    <row r="8">
      <c r="A8" s="81">
        <v>46055.6672403125</v>
      </c>
      <c r="B8" s="82" t="s">
        <v>282</v>
      </c>
      <c r="C8" s="82" t="s">
        <v>283</v>
      </c>
      <c r="D8" s="82" t="s">
        <v>284</v>
      </c>
      <c r="E8" s="82" t="s">
        <v>285</v>
      </c>
      <c r="F8" s="82" t="s">
        <v>47</v>
      </c>
      <c r="G8" s="82" t="s">
        <v>268</v>
      </c>
      <c r="H8" s="82" t="s">
        <v>46</v>
      </c>
      <c r="I8" s="82" t="s">
        <v>81</v>
      </c>
      <c r="J8" s="82" t="s">
        <v>57</v>
      </c>
      <c r="K8" s="82" t="s">
        <v>286</v>
      </c>
      <c r="L8" s="83">
        <v>29.0</v>
      </c>
      <c r="M8" s="84" t="str">
        <f t="shared" si="1"/>
        <v>Austria</v>
      </c>
      <c r="N8" s="84" t="str">
        <f t="shared" si="2"/>
        <v>Sweden</v>
      </c>
      <c r="O8" s="84" t="str">
        <f t="shared" si="3"/>
        <v>Estonia</v>
      </c>
      <c r="P8" s="84" t="str">
        <f t="shared" si="4"/>
        <v>Ukraine</v>
      </c>
      <c r="Q8" s="84" t="str">
        <f t="shared" si="5"/>
        <v>Ben_Greenblatt_bgreen</v>
      </c>
      <c r="R8" s="84" t="str">
        <f t="shared" si="6"/>
        <v>OK</v>
      </c>
      <c r="S8" s="84" t="str">
        <f t="shared" si="7"/>
        <v>Valid</v>
      </c>
    </row>
    <row r="9">
      <c r="A9" s="85">
        <v>46055.71885863426</v>
      </c>
      <c r="B9" s="86" t="s">
        <v>287</v>
      </c>
      <c r="C9" s="86" t="s">
        <v>288</v>
      </c>
      <c r="D9" s="86" t="s">
        <v>289</v>
      </c>
      <c r="E9" s="86" t="s">
        <v>290</v>
      </c>
      <c r="F9" s="86" t="s">
        <v>47</v>
      </c>
      <c r="G9" s="86" t="s">
        <v>252</v>
      </c>
      <c r="H9" s="86" t="s">
        <v>77</v>
      </c>
      <c r="I9" s="86" t="s">
        <v>81</v>
      </c>
      <c r="J9" s="86" t="s">
        <v>57</v>
      </c>
      <c r="K9" s="86" t="s">
        <v>291</v>
      </c>
      <c r="L9" s="87">
        <v>47.0</v>
      </c>
      <c r="M9" s="84" t="str">
        <f t="shared" si="1"/>
        <v>Austria</v>
      </c>
      <c r="N9" s="84" t="str">
        <f t="shared" si="2"/>
        <v>Netherlands</v>
      </c>
      <c r="O9" s="84" t="str">
        <f t="shared" si="3"/>
        <v>Belgium</v>
      </c>
      <c r="P9" s="84" t="str">
        <f t="shared" si="4"/>
        <v>Estonia</v>
      </c>
      <c r="Q9" s="84" t="str">
        <f t="shared" si="5"/>
        <v>Kyle_Borst_kborst13</v>
      </c>
      <c r="R9" s="84" t="str">
        <f t="shared" si="6"/>
        <v>OK</v>
      </c>
      <c r="S9" s="84" t="str">
        <f t="shared" si="7"/>
        <v>Valid</v>
      </c>
    </row>
    <row r="10">
      <c r="A10" s="81">
        <v>46055.74060981481</v>
      </c>
      <c r="B10" s="82" t="s">
        <v>292</v>
      </c>
      <c r="C10" s="82" t="s">
        <v>293</v>
      </c>
      <c r="D10" s="82" t="s">
        <v>294</v>
      </c>
      <c r="E10" s="82" t="s">
        <v>295</v>
      </c>
      <c r="F10" s="82" t="s">
        <v>47</v>
      </c>
      <c r="G10" s="82" t="s">
        <v>274</v>
      </c>
      <c r="H10" s="82" t="s">
        <v>46</v>
      </c>
      <c r="I10" s="82" t="s">
        <v>81</v>
      </c>
      <c r="J10" s="82" t="s">
        <v>79</v>
      </c>
      <c r="K10" s="82" t="s">
        <v>296</v>
      </c>
      <c r="L10" s="83">
        <v>27.0</v>
      </c>
      <c r="M10" s="84" t="str">
        <f t="shared" si="1"/>
        <v>Netherlands</v>
      </c>
      <c r="N10" s="84" t="str">
        <f t="shared" si="2"/>
        <v>Switzerland</v>
      </c>
      <c r="O10" s="84" t="str">
        <f t="shared" si="3"/>
        <v>Spain</v>
      </c>
      <c r="P10" s="84" t="str">
        <f t="shared" si="4"/>
        <v>Ukraine</v>
      </c>
      <c r="Q10" s="84" t="str">
        <f t="shared" si="5"/>
        <v>Sean_McAteer_SMAC</v>
      </c>
      <c r="R10" s="84" t="str">
        <f t="shared" si="6"/>
        <v>OK</v>
      </c>
      <c r="S10" s="84" t="str">
        <f t="shared" si="7"/>
        <v>Valid</v>
      </c>
    </row>
    <row r="11">
      <c r="A11" s="85">
        <v>46056.35304461805</v>
      </c>
      <c r="B11" s="86" t="s">
        <v>297</v>
      </c>
      <c r="C11" s="86" t="s">
        <v>298</v>
      </c>
      <c r="D11" s="86" t="s">
        <v>299</v>
      </c>
      <c r="E11" s="86" t="s">
        <v>300</v>
      </c>
      <c r="F11" s="86" t="s">
        <v>47</v>
      </c>
      <c r="G11" s="86" t="s">
        <v>274</v>
      </c>
      <c r="H11" s="86" t="s">
        <v>46</v>
      </c>
      <c r="I11" s="86" t="s">
        <v>81</v>
      </c>
      <c r="J11" s="86" t="s">
        <v>57</v>
      </c>
      <c r="K11" s="86" t="s">
        <v>301</v>
      </c>
      <c r="L11" s="87">
        <v>52.0</v>
      </c>
      <c r="M11" s="84" t="str">
        <f t="shared" si="1"/>
        <v>Netherlands</v>
      </c>
      <c r="N11" s="84" t="str">
        <f t="shared" si="2"/>
        <v>Switzerland</v>
      </c>
      <c r="O11" s="84" t="str">
        <f t="shared" si="3"/>
        <v>Belgium</v>
      </c>
      <c r="P11" s="84" t="str">
        <f t="shared" si="4"/>
        <v>Hungary</v>
      </c>
      <c r="Q11" s="84" t="str">
        <f t="shared" si="5"/>
        <v>Patrick_Doherty_Pat Doherty</v>
      </c>
      <c r="R11" s="84" t="str">
        <f t="shared" si="6"/>
        <v>OK</v>
      </c>
      <c r="S11" s="84" t="str">
        <f t="shared" si="7"/>
        <v>Valid</v>
      </c>
    </row>
    <row r="12">
      <c r="A12" s="81">
        <v>46056.43985273148</v>
      </c>
      <c r="B12" s="82" t="s">
        <v>302</v>
      </c>
      <c r="C12" s="82" t="s">
        <v>259</v>
      </c>
      <c r="D12" s="82" t="s">
        <v>303</v>
      </c>
      <c r="E12" s="82" t="s">
        <v>304</v>
      </c>
      <c r="F12" s="82" t="s">
        <v>55</v>
      </c>
      <c r="G12" s="82" t="s">
        <v>262</v>
      </c>
      <c r="H12" s="82" t="s">
        <v>46</v>
      </c>
      <c r="I12" s="82" t="s">
        <v>85</v>
      </c>
      <c r="J12" s="82" t="s">
        <v>57</v>
      </c>
      <c r="K12" s="82" t="s">
        <v>305</v>
      </c>
      <c r="L12" s="83">
        <v>65.0</v>
      </c>
      <c r="M12" s="84" t="str">
        <f t="shared" si="1"/>
        <v>Netherlands</v>
      </c>
      <c r="N12" s="84" t="str">
        <f t="shared" si="2"/>
        <v>Sweden</v>
      </c>
      <c r="O12" s="84" t="str">
        <f t="shared" si="3"/>
        <v>Denmark</v>
      </c>
      <c r="P12" s="84" t="str">
        <f t="shared" si="4"/>
        <v>Kazakhstan</v>
      </c>
      <c r="Q12" s="84" t="str">
        <f t="shared" si="5"/>
        <v>Jack_Rebman_Reb</v>
      </c>
      <c r="R12" s="84" t="str">
        <f t="shared" si="6"/>
        <v>OK</v>
      </c>
      <c r="S12" s="84" t="str">
        <f t="shared" si="7"/>
        <v>Valid</v>
      </c>
    </row>
    <row r="13">
      <c r="A13" s="85">
        <v>46056.95256399305</v>
      </c>
      <c r="B13" s="86" t="s">
        <v>306</v>
      </c>
      <c r="C13" s="86" t="s">
        <v>307</v>
      </c>
      <c r="D13" s="86" t="s">
        <v>308</v>
      </c>
      <c r="E13" s="86" t="s">
        <v>309</v>
      </c>
      <c r="F13" s="86" t="s">
        <v>51</v>
      </c>
      <c r="G13" s="86" t="s">
        <v>274</v>
      </c>
      <c r="H13" s="86" t="s">
        <v>77</v>
      </c>
      <c r="I13" s="86" t="s">
        <v>81</v>
      </c>
      <c r="J13" s="86" t="s">
        <v>79</v>
      </c>
      <c r="K13" s="86" t="s">
        <v>253</v>
      </c>
      <c r="L13" s="87">
        <v>67.0</v>
      </c>
      <c r="M13" s="84" t="str">
        <f t="shared" si="1"/>
        <v>Netherlands</v>
      </c>
      <c r="N13" s="84" t="str">
        <f t="shared" si="2"/>
        <v>Switzerland</v>
      </c>
      <c r="O13" s="84" t="str">
        <f t="shared" si="3"/>
        <v>New Zealand</v>
      </c>
      <c r="P13" s="84" t="str">
        <f t="shared" si="4"/>
        <v>Ukraine</v>
      </c>
      <c r="Q13" s="84" t="str">
        <f t="shared" si="5"/>
        <v>Max_Sirianni_Siri</v>
      </c>
      <c r="R13" s="84" t="str">
        <f t="shared" si="6"/>
        <v>OK</v>
      </c>
      <c r="S13" s="84" t="str">
        <f t="shared" si="7"/>
        <v>Valid</v>
      </c>
    </row>
    <row r="14">
      <c r="A14" s="81">
        <v>46057.60198065972</v>
      </c>
      <c r="B14" s="82" t="s">
        <v>310</v>
      </c>
      <c r="C14" s="82" t="s">
        <v>311</v>
      </c>
      <c r="D14" s="82" t="s">
        <v>312</v>
      </c>
      <c r="E14" s="82" t="s">
        <v>34</v>
      </c>
      <c r="F14" s="82" t="s">
        <v>47</v>
      </c>
      <c r="G14" s="82" t="s">
        <v>262</v>
      </c>
      <c r="H14" s="82" t="s">
        <v>46</v>
      </c>
      <c r="I14" s="82" t="s">
        <v>81</v>
      </c>
      <c r="J14" s="82" t="s">
        <v>79</v>
      </c>
      <c r="K14" s="82" t="s">
        <v>313</v>
      </c>
      <c r="L14" s="83">
        <v>45.0</v>
      </c>
      <c r="M14" s="84" t="str">
        <f t="shared" si="1"/>
        <v>Netherlands</v>
      </c>
      <c r="N14" s="84" t="str">
        <f t="shared" si="2"/>
        <v>Sweden</v>
      </c>
      <c r="O14" s="84" t="str">
        <f t="shared" si="3"/>
        <v>Bulgaria</v>
      </c>
      <c r="P14" s="84" t="str">
        <f t="shared" si="4"/>
        <v>Denmark</v>
      </c>
      <c r="Q14" s="84" t="str">
        <f t="shared" si="5"/>
        <v>Ellis_Johnson_SilkMaster420</v>
      </c>
      <c r="R14" s="84" t="str">
        <f t="shared" si="6"/>
        <v>OK</v>
      </c>
      <c r="S14" s="84" t="str">
        <f t="shared" si="7"/>
        <v>Valid</v>
      </c>
    </row>
    <row r="15">
      <c r="A15" s="85">
        <v>46057.80679287037</v>
      </c>
      <c r="B15" s="86" t="s">
        <v>314</v>
      </c>
      <c r="C15" s="86" t="s">
        <v>259</v>
      </c>
      <c r="D15" s="86" t="s">
        <v>315</v>
      </c>
      <c r="E15" s="86" t="s">
        <v>316</v>
      </c>
      <c r="F15" s="86" t="s">
        <v>51</v>
      </c>
      <c r="G15" s="86" t="s">
        <v>317</v>
      </c>
      <c r="H15" s="86" t="s">
        <v>77</v>
      </c>
      <c r="I15" s="86" t="s">
        <v>81</v>
      </c>
      <c r="J15" s="86" t="s">
        <v>49</v>
      </c>
      <c r="K15" s="86" t="s">
        <v>318</v>
      </c>
      <c r="L15" s="87">
        <v>27.0</v>
      </c>
      <c r="M15" s="84" t="str">
        <f t="shared" si="1"/>
        <v>Sweden</v>
      </c>
      <c r="N15" s="84" t="str">
        <f t="shared" si="2"/>
        <v>Switzerland</v>
      </c>
      <c r="O15" s="84" t="str">
        <f t="shared" si="3"/>
        <v>Estonia</v>
      </c>
      <c r="P15" s="84" t="str">
        <f t="shared" si="4"/>
        <v>New Zealand</v>
      </c>
      <c r="Q15" s="84" t="str">
        <f t="shared" si="5"/>
        <v>Jack_Bulthuis_A taco93</v>
      </c>
      <c r="R15" s="84" t="str">
        <f t="shared" si="6"/>
        <v>OK</v>
      </c>
      <c r="S15" s="84" t="str">
        <f t="shared" si="7"/>
        <v>Valid</v>
      </c>
    </row>
    <row r="16">
      <c r="A16" s="81">
        <v>46058.51958548611</v>
      </c>
      <c r="B16" s="82" t="s">
        <v>319</v>
      </c>
      <c r="C16" s="82" t="s">
        <v>320</v>
      </c>
      <c r="D16" s="82" t="s">
        <v>321</v>
      </c>
      <c r="E16" s="82" t="s">
        <v>322</v>
      </c>
      <c r="F16" s="82" t="s">
        <v>51</v>
      </c>
      <c r="G16" s="82" t="s">
        <v>262</v>
      </c>
      <c r="H16" s="82" t="s">
        <v>46</v>
      </c>
      <c r="I16" s="82" t="s">
        <v>85</v>
      </c>
      <c r="J16" s="82" t="s">
        <v>79</v>
      </c>
      <c r="K16" s="82" t="s">
        <v>323</v>
      </c>
      <c r="L16" s="83">
        <v>27.0</v>
      </c>
      <c r="M16" s="84" t="str">
        <f t="shared" si="1"/>
        <v>Netherlands</v>
      </c>
      <c r="N16" s="84" t="str">
        <f t="shared" si="2"/>
        <v>Sweden</v>
      </c>
      <c r="O16" s="84" t="str">
        <f t="shared" si="3"/>
        <v>Ireland</v>
      </c>
      <c r="P16" s="84" t="str">
        <f t="shared" si="4"/>
        <v>Spain</v>
      </c>
      <c r="Q16" s="84" t="str">
        <f t="shared" si="5"/>
        <v>Mark_Mattson_Mark Mattson</v>
      </c>
      <c r="R16" s="84" t="str">
        <f t="shared" si="6"/>
        <v>OK</v>
      </c>
      <c r="S16" s="84" t="str">
        <f t="shared" si="7"/>
        <v>Valid</v>
      </c>
    </row>
    <row r="17" ht="15.75" customHeight="1">
      <c r="A17" s="85">
        <v>46058.519625925925</v>
      </c>
      <c r="B17" s="86" t="s">
        <v>324</v>
      </c>
      <c r="C17" s="86" t="s">
        <v>325</v>
      </c>
      <c r="D17" s="86" t="s">
        <v>326</v>
      </c>
      <c r="E17" s="86" t="s">
        <v>327</v>
      </c>
      <c r="F17" s="86" t="s">
        <v>51</v>
      </c>
      <c r="G17" s="86" t="s">
        <v>280</v>
      </c>
      <c r="H17" s="86" t="s">
        <v>53</v>
      </c>
      <c r="I17" s="86" t="s">
        <v>81</v>
      </c>
      <c r="J17" s="86" t="s">
        <v>93</v>
      </c>
      <c r="K17" s="86" t="s">
        <v>328</v>
      </c>
      <c r="L17" s="87">
        <v>23.0</v>
      </c>
      <c r="M17" s="84" t="str">
        <f t="shared" si="1"/>
        <v>France</v>
      </c>
      <c r="N17" s="84" t="str">
        <f t="shared" si="2"/>
        <v>Sweden</v>
      </c>
      <c r="O17" s="84" t="str">
        <f t="shared" si="3"/>
        <v>Kazakhstan</v>
      </c>
      <c r="P17" s="84" t="str">
        <f t="shared" si="4"/>
        <v>Ukraine</v>
      </c>
      <c r="Q17" s="84" t="str">
        <f t="shared" si="5"/>
        <v>Alex_Kepple_Tate McRae </v>
      </c>
      <c r="R17" s="84" t="str">
        <f t="shared" si="6"/>
        <v>OK</v>
      </c>
      <c r="S17" s="84" t="str">
        <f t="shared" si="7"/>
        <v>Valid</v>
      </c>
    </row>
    <row r="18" ht="15.75" customHeight="1">
      <c r="A18" s="81">
        <v>46058.53185767361</v>
      </c>
      <c r="B18" s="82" t="s">
        <v>329</v>
      </c>
      <c r="C18" s="82" t="s">
        <v>330</v>
      </c>
      <c r="D18" s="82" t="s">
        <v>331</v>
      </c>
      <c r="E18" s="82" t="s">
        <v>332</v>
      </c>
      <c r="F18" s="82" t="s">
        <v>55</v>
      </c>
      <c r="G18" s="82" t="s">
        <v>333</v>
      </c>
      <c r="H18" s="82" t="s">
        <v>46</v>
      </c>
      <c r="I18" s="82" t="s">
        <v>81</v>
      </c>
      <c r="J18" s="82" t="s">
        <v>49</v>
      </c>
      <c r="K18" s="82" t="s">
        <v>334</v>
      </c>
      <c r="L18" s="83">
        <v>50.0</v>
      </c>
      <c r="M18" s="84" t="str">
        <f t="shared" si="1"/>
        <v>Austria</v>
      </c>
      <c r="N18" s="84" t="str">
        <f t="shared" si="2"/>
        <v>Switzerland</v>
      </c>
      <c r="O18" s="84" t="str">
        <f t="shared" si="3"/>
        <v>New Zealand</v>
      </c>
      <c r="P18" s="84" t="str">
        <f t="shared" si="4"/>
        <v>Spain</v>
      </c>
      <c r="Q18" s="84" t="str">
        <f t="shared" si="5"/>
        <v>Lucas_Flygare_LucasF</v>
      </c>
      <c r="R18" s="84" t="str">
        <f t="shared" si="6"/>
        <v>OK</v>
      </c>
      <c r="S18" s="84" t="str">
        <f t="shared" si="7"/>
        <v>Valid</v>
      </c>
    </row>
    <row r="19" ht="15.75" customHeight="1">
      <c r="A19" s="85">
        <v>46058.63311222222</v>
      </c>
      <c r="B19" s="86" t="s">
        <v>335</v>
      </c>
      <c r="C19" s="86" t="s">
        <v>336</v>
      </c>
      <c r="D19" s="86" t="s">
        <v>337</v>
      </c>
      <c r="E19" s="86" t="s">
        <v>338</v>
      </c>
      <c r="F19" s="86" t="s">
        <v>47</v>
      </c>
      <c r="G19" s="86" t="s">
        <v>339</v>
      </c>
      <c r="H19" s="86" t="s">
        <v>46</v>
      </c>
      <c r="I19" s="86" t="s">
        <v>81</v>
      </c>
      <c r="J19" s="86" t="s">
        <v>57</v>
      </c>
      <c r="K19" s="86" t="s">
        <v>328</v>
      </c>
      <c r="L19" s="87">
        <v>29.0</v>
      </c>
      <c r="M19" s="84" t="str">
        <f t="shared" si="1"/>
        <v>France</v>
      </c>
      <c r="N19" s="84" t="str">
        <f t="shared" si="2"/>
        <v>Netherlands</v>
      </c>
      <c r="O19" s="84" t="str">
        <f t="shared" si="3"/>
        <v>Kazakhstan</v>
      </c>
      <c r="P19" s="84" t="str">
        <f t="shared" si="4"/>
        <v>Ukraine</v>
      </c>
      <c r="Q19" s="84" t="str">
        <f t="shared" si="5"/>
        <v>Bryan_Jakobsze_Bryan Jakobsze🇵🇱</v>
      </c>
      <c r="R19" s="84" t="str">
        <f t="shared" si="6"/>
        <v>OK</v>
      </c>
      <c r="S19" s="84" t="str">
        <f t="shared" si="7"/>
        <v>Valid</v>
      </c>
    </row>
    <row r="20" ht="15.75" customHeight="1">
      <c r="A20" s="81">
        <v>46058.71622483796</v>
      </c>
      <c r="B20" s="82" t="s">
        <v>340</v>
      </c>
      <c r="C20" s="82" t="s">
        <v>341</v>
      </c>
      <c r="D20" s="82" t="s">
        <v>342</v>
      </c>
      <c r="E20" s="82" t="s">
        <v>342</v>
      </c>
      <c r="F20" s="82" t="s">
        <v>47</v>
      </c>
      <c r="G20" s="82" t="s">
        <v>343</v>
      </c>
      <c r="H20" s="82" t="s">
        <v>53</v>
      </c>
      <c r="I20" s="82" t="s">
        <v>81</v>
      </c>
      <c r="J20" s="82" t="s">
        <v>79</v>
      </c>
      <c r="K20" s="82" t="s">
        <v>344</v>
      </c>
      <c r="L20" s="83">
        <v>26.0</v>
      </c>
      <c r="M20" s="84" t="str">
        <f t="shared" si="1"/>
        <v>Netherlands</v>
      </c>
      <c r="N20" s="84" t="str">
        <f t="shared" si="2"/>
        <v>South Korea</v>
      </c>
      <c r="O20" s="84" t="str">
        <f t="shared" si="3"/>
        <v>Croatia</v>
      </c>
      <c r="P20" s="84" t="str">
        <f t="shared" si="4"/>
        <v>Israel</v>
      </c>
      <c r="Q20" s="84" t="str">
        <f t="shared" si="5"/>
        <v>Tyler_Wicks_Wicks</v>
      </c>
      <c r="R20" s="84" t="str">
        <f t="shared" si="6"/>
        <v>OK</v>
      </c>
      <c r="S20" s="84" t="str">
        <f t="shared" si="7"/>
        <v>Valid</v>
      </c>
    </row>
    <row r="21" ht="15.75" customHeight="1">
      <c r="A21" s="85">
        <v>46058.79633053241</v>
      </c>
      <c r="B21" s="86" t="s">
        <v>345</v>
      </c>
      <c r="C21" s="86" t="s">
        <v>346</v>
      </c>
      <c r="D21" s="86" t="s">
        <v>347</v>
      </c>
      <c r="E21" s="86" t="s">
        <v>348</v>
      </c>
      <c r="F21" s="86" t="s">
        <v>47</v>
      </c>
      <c r="G21" s="86" t="s">
        <v>274</v>
      </c>
      <c r="H21" s="86" t="s">
        <v>46</v>
      </c>
      <c r="I21" s="86" t="s">
        <v>81</v>
      </c>
      <c r="J21" s="86" t="s">
        <v>49</v>
      </c>
      <c r="K21" s="86" t="s">
        <v>349</v>
      </c>
      <c r="L21" s="87">
        <v>25.0</v>
      </c>
      <c r="M21" s="84" t="str">
        <f t="shared" si="1"/>
        <v>Netherlands</v>
      </c>
      <c r="N21" s="84" t="str">
        <f t="shared" si="2"/>
        <v>Switzerland</v>
      </c>
      <c r="O21" s="84" t="str">
        <f t="shared" si="3"/>
        <v>Belgium</v>
      </c>
      <c r="P21" s="84" t="str">
        <f t="shared" si="4"/>
        <v>New Zealand</v>
      </c>
      <c r="Q21" s="84" t="str">
        <f t="shared" si="5"/>
        <v>Shane_Supple_Brad’s Cousin’s Cousin</v>
      </c>
      <c r="R21" s="84" t="str">
        <f t="shared" si="6"/>
        <v>OK</v>
      </c>
      <c r="S21" s="84" t="str">
        <f t="shared" si="7"/>
        <v>Valid</v>
      </c>
    </row>
    <row r="22" ht="15.75" customHeight="1">
      <c r="A22" s="81">
        <v>46059.8112184375</v>
      </c>
      <c r="B22" s="82" t="s">
        <v>350</v>
      </c>
      <c r="C22" s="82" t="s">
        <v>351</v>
      </c>
      <c r="D22" s="82" t="s">
        <v>250</v>
      </c>
      <c r="E22" s="82" t="s">
        <v>351</v>
      </c>
      <c r="F22" s="82" t="s">
        <v>51</v>
      </c>
      <c r="G22" s="82" t="s">
        <v>268</v>
      </c>
      <c r="H22" s="82" t="s">
        <v>46</v>
      </c>
      <c r="I22" s="82" t="s">
        <v>81</v>
      </c>
      <c r="J22" s="82" t="s">
        <v>49</v>
      </c>
      <c r="K22" s="82" t="s">
        <v>257</v>
      </c>
      <c r="L22" s="83">
        <v>25.0</v>
      </c>
      <c r="M22" s="84" t="str">
        <f t="shared" si="1"/>
        <v>Austria</v>
      </c>
      <c r="N22" s="84" t="str">
        <f t="shared" si="2"/>
        <v>Sweden</v>
      </c>
      <c r="O22" s="84" t="str">
        <f t="shared" si="3"/>
        <v>Croatia</v>
      </c>
      <c r="P22" s="84" t="str">
        <f t="shared" si="4"/>
        <v>Ukraine</v>
      </c>
      <c r="Q22" s="84" t="str">
        <f t="shared" si="5"/>
        <v>Jennie_Hagstrom_Jennie</v>
      </c>
      <c r="R22" s="84" t="str">
        <f t="shared" si="6"/>
        <v>OK</v>
      </c>
      <c r="S22" s="84" t="str">
        <f t="shared" si="7"/>
        <v>Valid</v>
      </c>
    </row>
    <row r="23" ht="15.75" customHeight="1">
      <c r="A23" s="85">
        <v>46059.81812643519</v>
      </c>
      <c r="B23" s="86" t="s">
        <v>352</v>
      </c>
      <c r="C23" s="86" t="s">
        <v>353</v>
      </c>
      <c r="D23" s="86" t="s">
        <v>250</v>
      </c>
      <c r="E23" s="86" t="s">
        <v>354</v>
      </c>
      <c r="F23" s="86" t="s">
        <v>47</v>
      </c>
      <c r="G23" s="86" t="s">
        <v>252</v>
      </c>
      <c r="H23" s="86" t="s">
        <v>46</v>
      </c>
      <c r="I23" s="86" t="s">
        <v>81</v>
      </c>
      <c r="J23" s="86" t="s">
        <v>57</v>
      </c>
      <c r="K23" s="86" t="s">
        <v>328</v>
      </c>
      <c r="L23" s="87">
        <v>26.0</v>
      </c>
      <c r="M23" s="84" t="str">
        <f t="shared" si="1"/>
        <v>Austria</v>
      </c>
      <c r="N23" s="84" t="str">
        <f t="shared" si="2"/>
        <v>Netherlands</v>
      </c>
      <c r="O23" s="84" t="str">
        <f t="shared" si="3"/>
        <v>Kazakhstan</v>
      </c>
      <c r="P23" s="84" t="str">
        <f t="shared" si="4"/>
        <v>Ukraine</v>
      </c>
      <c r="Q23" s="84" t="str">
        <f t="shared" si="5"/>
        <v>Molly_Hagstrom_Molly </v>
      </c>
      <c r="R23" s="84" t="str">
        <f t="shared" si="6"/>
        <v>OK</v>
      </c>
      <c r="S23" s="84" t="str">
        <f t="shared" si="7"/>
        <v>Valid</v>
      </c>
    </row>
    <row r="24" ht="15.75" customHeight="1">
      <c r="A24" s="88">
        <v>46059.92265604167</v>
      </c>
      <c r="B24" s="89" t="s">
        <v>355</v>
      </c>
      <c r="C24" s="89" t="s">
        <v>259</v>
      </c>
      <c r="D24" s="89" t="s">
        <v>356</v>
      </c>
      <c r="E24" s="89" t="s">
        <v>357</v>
      </c>
      <c r="F24" s="89" t="s">
        <v>47</v>
      </c>
      <c r="G24" s="89" t="s">
        <v>358</v>
      </c>
      <c r="H24" s="89" t="s">
        <v>46</v>
      </c>
      <c r="I24" s="89" t="s">
        <v>83</v>
      </c>
      <c r="J24" s="89" t="s">
        <v>93</v>
      </c>
      <c r="K24" s="89" t="s">
        <v>281</v>
      </c>
      <c r="L24" s="90">
        <v>26.0</v>
      </c>
      <c r="M24" s="84" t="str">
        <f t="shared" si="1"/>
        <v>South Korea</v>
      </c>
      <c r="N24" s="84" t="str">
        <f t="shared" si="2"/>
        <v>Sweden</v>
      </c>
      <c r="O24" s="84" t="str">
        <f t="shared" si="3"/>
        <v>Belgium</v>
      </c>
      <c r="P24" s="84" t="str">
        <f t="shared" si="4"/>
        <v>Ukraine</v>
      </c>
      <c r="Q24" s="84" t="str">
        <f t="shared" si="5"/>
        <v>Jack_Drobny_Jdrobny</v>
      </c>
      <c r="R24" s="84" t="str">
        <f t="shared" si="6"/>
        <v>OK</v>
      </c>
      <c r="S24" s="84" t="str">
        <f t="shared" si="7"/>
        <v>Valid</v>
      </c>
    </row>
    <row r="25" ht="15.7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 t="str">
        <f t="shared" si="1"/>
        <v/>
      </c>
      <c r="N25" s="84" t="str">
        <f t="shared" si="2"/>
        <v/>
      </c>
      <c r="O25" s="84" t="str">
        <f t="shared" si="3"/>
        <v/>
      </c>
      <c r="P25" s="84" t="str">
        <f t="shared" si="4"/>
        <v/>
      </c>
      <c r="Q25" s="84" t="str">
        <f t="shared" si="5"/>
        <v/>
      </c>
      <c r="R25" s="84" t="str">
        <f t="shared" si="6"/>
        <v/>
      </c>
      <c r="S25" s="84" t="str">
        <f t="shared" si="7"/>
        <v/>
      </c>
    </row>
    <row r="26" ht="15.7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 t="str">
        <f t="shared" si="1"/>
        <v/>
      </c>
      <c r="N26" s="84" t="str">
        <f t="shared" si="2"/>
        <v/>
      </c>
      <c r="O26" s="84" t="str">
        <f t="shared" si="3"/>
        <v/>
      </c>
      <c r="P26" s="84" t="str">
        <f t="shared" si="4"/>
        <v/>
      </c>
      <c r="Q26" s="84" t="str">
        <f t="shared" si="5"/>
        <v/>
      </c>
      <c r="R26" s="84" t="str">
        <f t="shared" si="6"/>
        <v/>
      </c>
      <c r="S26" s="84" t="str">
        <f t="shared" si="7"/>
        <v/>
      </c>
    </row>
    <row r="27" ht="15.75" customHeight="1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 t="str">
        <f t="shared" si="1"/>
        <v/>
      </c>
      <c r="N27" s="84" t="str">
        <f t="shared" si="2"/>
        <v/>
      </c>
      <c r="O27" s="84" t="str">
        <f t="shared" si="3"/>
        <v/>
      </c>
      <c r="P27" s="84" t="str">
        <f t="shared" si="4"/>
        <v/>
      </c>
      <c r="Q27" s="84" t="str">
        <f t="shared" si="5"/>
        <v/>
      </c>
      <c r="R27" s="84" t="str">
        <f t="shared" si="6"/>
        <v/>
      </c>
      <c r="S27" s="84" t="str">
        <f t="shared" si="7"/>
        <v/>
      </c>
    </row>
    <row r="28" ht="15.75" customHeight="1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 t="str">
        <f t="shared" si="1"/>
        <v/>
      </c>
      <c r="N28" s="84" t="str">
        <f t="shared" si="2"/>
        <v/>
      </c>
      <c r="O28" s="84" t="str">
        <f t="shared" si="3"/>
        <v/>
      </c>
      <c r="P28" s="84" t="str">
        <f t="shared" si="4"/>
        <v/>
      </c>
      <c r="Q28" s="84" t="str">
        <f t="shared" si="5"/>
        <v/>
      </c>
      <c r="R28" s="84" t="str">
        <f t="shared" si="6"/>
        <v/>
      </c>
      <c r="S28" s="84" t="str">
        <f t="shared" si="7"/>
        <v/>
      </c>
    </row>
    <row r="29" ht="15.75" customHeight="1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 t="str">
        <f t="shared" si="1"/>
        <v/>
      </c>
      <c r="N29" s="84" t="str">
        <f t="shared" si="2"/>
        <v/>
      </c>
      <c r="O29" s="84" t="str">
        <f t="shared" si="3"/>
        <v/>
      </c>
      <c r="P29" s="84" t="str">
        <f t="shared" si="4"/>
        <v/>
      </c>
      <c r="Q29" s="84" t="str">
        <f t="shared" si="5"/>
        <v/>
      </c>
      <c r="R29" s="84" t="str">
        <f t="shared" si="6"/>
        <v/>
      </c>
      <c r="S29" s="84" t="str">
        <f t="shared" si="7"/>
        <v/>
      </c>
    </row>
    <row r="30" ht="15.75" customHeight="1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 t="str">
        <f t="shared" si="1"/>
        <v/>
      </c>
      <c r="N30" s="84" t="str">
        <f t="shared" si="2"/>
        <v/>
      </c>
      <c r="O30" s="84" t="str">
        <f t="shared" si="3"/>
        <v/>
      </c>
      <c r="P30" s="84" t="str">
        <f t="shared" si="4"/>
        <v/>
      </c>
      <c r="Q30" s="84" t="str">
        <f t="shared" si="5"/>
        <v/>
      </c>
      <c r="R30" s="84" t="str">
        <f t="shared" si="6"/>
        <v/>
      </c>
      <c r="S30" s="84" t="str">
        <f t="shared" si="7"/>
        <v/>
      </c>
    </row>
    <row r="31" ht="15.75" customHeight="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 t="str">
        <f t="shared" si="1"/>
        <v/>
      </c>
      <c r="N31" s="84" t="str">
        <f t="shared" si="2"/>
        <v/>
      </c>
      <c r="O31" s="84" t="str">
        <f t="shared" si="3"/>
        <v/>
      </c>
      <c r="P31" s="84" t="str">
        <f t="shared" si="4"/>
        <v/>
      </c>
      <c r="Q31" s="84" t="str">
        <f t="shared" si="5"/>
        <v/>
      </c>
      <c r="R31" s="84" t="str">
        <f t="shared" si="6"/>
        <v/>
      </c>
      <c r="S31" s="84" t="str">
        <f t="shared" si="7"/>
        <v/>
      </c>
    </row>
    <row r="32" ht="15.75" customHeight="1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 t="str">
        <f t="shared" si="1"/>
        <v/>
      </c>
      <c r="N32" s="84" t="str">
        <f t="shared" si="2"/>
        <v/>
      </c>
      <c r="O32" s="84" t="str">
        <f t="shared" si="3"/>
        <v/>
      </c>
      <c r="P32" s="84" t="str">
        <f t="shared" si="4"/>
        <v/>
      </c>
      <c r="Q32" s="84" t="str">
        <f t="shared" si="5"/>
        <v/>
      </c>
      <c r="R32" s="84" t="str">
        <f t="shared" si="6"/>
        <v/>
      </c>
      <c r="S32" s="84" t="str">
        <f t="shared" si="7"/>
        <v/>
      </c>
    </row>
    <row r="33" ht="15.75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 t="str">
        <f t="shared" si="1"/>
        <v/>
      </c>
      <c r="N33" s="84" t="str">
        <f t="shared" si="2"/>
        <v/>
      </c>
      <c r="O33" s="84" t="str">
        <f t="shared" si="3"/>
        <v/>
      </c>
      <c r="P33" s="84" t="str">
        <f t="shared" si="4"/>
        <v/>
      </c>
      <c r="Q33" s="84" t="str">
        <f t="shared" si="5"/>
        <v/>
      </c>
      <c r="R33" s="84" t="str">
        <f t="shared" si="6"/>
        <v/>
      </c>
      <c r="S33" s="84" t="str">
        <f t="shared" si="7"/>
        <v/>
      </c>
    </row>
    <row r="34" ht="15.7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 t="str">
        <f t="shared" si="1"/>
        <v/>
      </c>
      <c r="N34" s="84" t="str">
        <f t="shared" si="2"/>
        <v/>
      </c>
      <c r="O34" s="84" t="str">
        <f t="shared" si="3"/>
        <v/>
      </c>
      <c r="P34" s="84" t="str">
        <f t="shared" si="4"/>
        <v/>
      </c>
      <c r="Q34" s="84" t="str">
        <f t="shared" si="5"/>
        <v/>
      </c>
      <c r="R34" s="84" t="str">
        <f t="shared" si="6"/>
        <v/>
      </c>
      <c r="S34" s="84" t="str">
        <f t="shared" si="7"/>
        <v/>
      </c>
    </row>
    <row r="35" ht="15.75" customHeight="1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 t="str">
        <f t="shared" si="1"/>
        <v/>
      </c>
      <c r="N35" s="84" t="str">
        <f t="shared" si="2"/>
        <v/>
      </c>
      <c r="O35" s="84" t="str">
        <f t="shared" si="3"/>
        <v/>
      </c>
      <c r="P35" s="84" t="str">
        <f t="shared" si="4"/>
        <v/>
      </c>
      <c r="Q35" s="84" t="str">
        <f t="shared" si="5"/>
        <v/>
      </c>
      <c r="R35" s="84" t="str">
        <f t="shared" si="6"/>
        <v/>
      </c>
      <c r="S35" s="84" t="str">
        <f t="shared" si="7"/>
        <v/>
      </c>
    </row>
    <row r="36" ht="15.75" customHeight="1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 t="str">
        <f t="shared" si="1"/>
        <v/>
      </c>
      <c r="N36" s="84" t="str">
        <f t="shared" si="2"/>
        <v/>
      </c>
      <c r="O36" s="84" t="str">
        <f t="shared" si="3"/>
        <v/>
      </c>
      <c r="P36" s="84" t="str">
        <f t="shared" si="4"/>
        <v/>
      </c>
      <c r="Q36" s="84" t="str">
        <f t="shared" si="5"/>
        <v/>
      </c>
      <c r="R36" s="84" t="str">
        <f t="shared" si="6"/>
        <v/>
      </c>
      <c r="S36" s="84" t="str">
        <f t="shared" si="7"/>
        <v/>
      </c>
    </row>
    <row r="37" ht="15.75" customHeight="1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 t="str">
        <f t="shared" si="1"/>
        <v/>
      </c>
      <c r="N37" s="84" t="str">
        <f t="shared" si="2"/>
        <v/>
      </c>
      <c r="O37" s="84" t="str">
        <f t="shared" si="3"/>
        <v/>
      </c>
      <c r="P37" s="84" t="str">
        <f t="shared" si="4"/>
        <v/>
      </c>
      <c r="Q37" s="84" t="str">
        <f t="shared" si="5"/>
        <v/>
      </c>
      <c r="R37" s="84" t="str">
        <f t="shared" si="6"/>
        <v/>
      </c>
      <c r="S37" s="84" t="str">
        <f t="shared" si="7"/>
        <v/>
      </c>
    </row>
    <row r="38" ht="15.7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 t="str">
        <f t="shared" si="1"/>
        <v/>
      </c>
      <c r="N38" s="84" t="str">
        <f t="shared" si="2"/>
        <v/>
      </c>
      <c r="O38" s="84" t="str">
        <f t="shared" si="3"/>
        <v/>
      </c>
      <c r="P38" s="84" t="str">
        <f t="shared" si="4"/>
        <v/>
      </c>
      <c r="Q38" s="84" t="str">
        <f t="shared" si="5"/>
        <v/>
      </c>
      <c r="R38" s="84" t="str">
        <f t="shared" si="6"/>
        <v/>
      </c>
      <c r="S38" s="84" t="str">
        <f t="shared" si="7"/>
        <v/>
      </c>
    </row>
    <row r="39" ht="15.75" customHeight="1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 t="str">
        <f t="shared" si="1"/>
        <v/>
      </c>
      <c r="N39" s="84" t="str">
        <f t="shared" si="2"/>
        <v/>
      </c>
      <c r="O39" s="84" t="str">
        <f t="shared" si="3"/>
        <v/>
      </c>
      <c r="P39" s="84" t="str">
        <f t="shared" si="4"/>
        <v/>
      </c>
      <c r="Q39" s="84" t="str">
        <f t="shared" si="5"/>
        <v/>
      </c>
      <c r="R39" s="84" t="str">
        <f t="shared" si="6"/>
        <v/>
      </c>
      <c r="S39" s="84" t="str">
        <f t="shared" si="7"/>
        <v/>
      </c>
    </row>
    <row r="40" ht="15.7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 t="str">
        <f t="shared" si="1"/>
        <v/>
      </c>
      <c r="N40" s="84" t="str">
        <f t="shared" si="2"/>
        <v/>
      </c>
      <c r="O40" s="84" t="str">
        <f t="shared" si="3"/>
        <v/>
      </c>
      <c r="P40" s="84" t="str">
        <f t="shared" si="4"/>
        <v/>
      </c>
      <c r="Q40" s="84" t="str">
        <f t="shared" si="5"/>
        <v/>
      </c>
      <c r="R40" s="84" t="str">
        <f t="shared" si="6"/>
        <v/>
      </c>
      <c r="S40" s="84" t="str">
        <f t="shared" si="7"/>
        <v/>
      </c>
    </row>
    <row r="41" ht="15.75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 t="str">
        <f t="shared" si="1"/>
        <v/>
      </c>
      <c r="N41" s="84" t="str">
        <f t="shared" si="2"/>
        <v/>
      </c>
      <c r="O41" s="84" t="str">
        <f t="shared" si="3"/>
        <v/>
      </c>
      <c r="P41" s="84" t="str">
        <f t="shared" si="4"/>
        <v/>
      </c>
      <c r="Q41" s="84" t="str">
        <f t="shared" si="5"/>
        <v/>
      </c>
      <c r="R41" s="84" t="str">
        <f t="shared" si="6"/>
        <v/>
      </c>
      <c r="S41" s="84" t="str">
        <f t="shared" si="7"/>
        <v/>
      </c>
    </row>
    <row r="42" ht="15.75" customHeight="1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 t="str">
        <f t="shared" si="1"/>
        <v/>
      </c>
      <c r="N42" s="84" t="str">
        <f t="shared" si="2"/>
        <v/>
      </c>
      <c r="O42" s="84" t="str">
        <f t="shared" si="3"/>
        <v/>
      </c>
      <c r="P42" s="84" t="str">
        <f t="shared" si="4"/>
        <v/>
      </c>
      <c r="Q42" s="84" t="str">
        <f t="shared" si="5"/>
        <v/>
      </c>
      <c r="R42" s="84" t="str">
        <f t="shared" si="6"/>
        <v/>
      </c>
      <c r="S42" s="84" t="str">
        <f t="shared" si="7"/>
        <v/>
      </c>
    </row>
    <row r="43" ht="15.75" customHeight="1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 t="str">
        <f t="shared" si="1"/>
        <v/>
      </c>
      <c r="N43" s="84" t="str">
        <f t="shared" si="2"/>
        <v/>
      </c>
      <c r="O43" s="84" t="str">
        <f t="shared" si="3"/>
        <v/>
      </c>
      <c r="P43" s="84" t="str">
        <f t="shared" si="4"/>
        <v/>
      </c>
      <c r="Q43" s="84" t="str">
        <f t="shared" si="5"/>
        <v/>
      </c>
      <c r="R43" s="84" t="str">
        <f t="shared" si="6"/>
        <v/>
      </c>
      <c r="S43" s="84" t="str">
        <f t="shared" si="7"/>
        <v/>
      </c>
    </row>
    <row r="44" ht="15.75" customHeight="1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 t="str">
        <f t="shared" si="1"/>
        <v/>
      </c>
      <c r="N44" s="84" t="str">
        <f t="shared" si="2"/>
        <v/>
      </c>
      <c r="O44" s="84" t="str">
        <f t="shared" si="3"/>
        <v/>
      </c>
      <c r="P44" s="84" t="str">
        <f t="shared" si="4"/>
        <v/>
      </c>
      <c r="Q44" s="84" t="str">
        <f t="shared" si="5"/>
        <v/>
      </c>
      <c r="R44" s="84" t="str">
        <f t="shared" si="6"/>
        <v/>
      </c>
      <c r="S44" s="84" t="str">
        <f t="shared" si="7"/>
        <v/>
      </c>
    </row>
    <row r="45" ht="15.75" customHeight="1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 t="str">
        <f t="shared" si="1"/>
        <v/>
      </c>
      <c r="N45" s="84" t="str">
        <f t="shared" si="2"/>
        <v/>
      </c>
      <c r="O45" s="84" t="str">
        <f t="shared" si="3"/>
        <v/>
      </c>
      <c r="P45" s="84" t="str">
        <f t="shared" si="4"/>
        <v/>
      </c>
      <c r="Q45" s="84" t="str">
        <f t="shared" si="5"/>
        <v/>
      </c>
      <c r="R45" s="84" t="str">
        <f t="shared" si="6"/>
        <v/>
      </c>
      <c r="S45" s="84" t="str">
        <f t="shared" si="7"/>
        <v/>
      </c>
    </row>
    <row r="46" ht="15.75" customHeight="1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 t="str">
        <f t="shared" si="1"/>
        <v/>
      </c>
      <c r="N46" s="84" t="str">
        <f t="shared" si="2"/>
        <v/>
      </c>
      <c r="O46" s="84" t="str">
        <f t="shared" si="3"/>
        <v/>
      </c>
      <c r="P46" s="84" t="str">
        <f t="shared" si="4"/>
        <v/>
      </c>
      <c r="Q46" s="84" t="str">
        <f t="shared" si="5"/>
        <v/>
      </c>
      <c r="R46" s="84" t="str">
        <f t="shared" si="6"/>
        <v/>
      </c>
      <c r="S46" s="84" t="str">
        <f t="shared" si="7"/>
        <v/>
      </c>
    </row>
    <row r="47" ht="15.75" customHeight="1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 t="str">
        <f t="shared" si="1"/>
        <v/>
      </c>
      <c r="N47" s="84" t="str">
        <f t="shared" si="2"/>
        <v/>
      </c>
      <c r="O47" s="84" t="str">
        <f t="shared" si="3"/>
        <v/>
      </c>
      <c r="P47" s="84" t="str">
        <f t="shared" si="4"/>
        <v/>
      </c>
      <c r="Q47" s="84" t="str">
        <f t="shared" si="5"/>
        <v/>
      </c>
      <c r="R47" s="84" t="str">
        <f t="shared" si="6"/>
        <v/>
      </c>
      <c r="S47" s="84" t="str">
        <f t="shared" si="7"/>
        <v/>
      </c>
    </row>
    <row r="48" ht="15.75" customHeight="1">
      <c r="M48" s="25" t="str">
        <f t="shared" si="1"/>
        <v/>
      </c>
      <c r="N48" s="25" t="str">
        <f t="shared" si="2"/>
        <v/>
      </c>
      <c r="O48" s="25" t="str">
        <f t="shared" si="3"/>
        <v/>
      </c>
      <c r="P48" s="25" t="str">
        <f t="shared" si="4"/>
        <v/>
      </c>
      <c r="Q48" s="25" t="str">
        <f t="shared" si="5"/>
        <v/>
      </c>
      <c r="R48" s="25" t="str">
        <f t="shared" si="6"/>
        <v/>
      </c>
      <c r="S48" s="25" t="str">
        <f t="shared" si="7"/>
        <v/>
      </c>
    </row>
    <row r="49" ht="15.75" customHeight="1">
      <c r="M49" s="25" t="str">
        <f t="shared" si="1"/>
        <v/>
      </c>
      <c r="N49" s="25" t="str">
        <f t="shared" si="2"/>
        <v/>
      </c>
      <c r="O49" s="25" t="str">
        <f t="shared" si="3"/>
        <v/>
      </c>
      <c r="P49" s="25" t="str">
        <f t="shared" si="4"/>
        <v/>
      </c>
      <c r="Q49" s="25" t="str">
        <f t="shared" si="5"/>
        <v/>
      </c>
      <c r="R49" s="25" t="str">
        <f t="shared" si="6"/>
        <v/>
      </c>
      <c r="S49" s="25" t="str">
        <f t="shared" si="7"/>
        <v/>
      </c>
    </row>
    <row r="50" ht="15.75" customHeight="1">
      <c r="M50" s="25" t="str">
        <f t="shared" si="1"/>
        <v/>
      </c>
      <c r="N50" s="25" t="str">
        <f t="shared" si="2"/>
        <v/>
      </c>
      <c r="O50" s="25" t="str">
        <f t="shared" si="3"/>
        <v/>
      </c>
      <c r="P50" s="25" t="str">
        <f t="shared" si="4"/>
        <v/>
      </c>
      <c r="Q50" s="25" t="str">
        <f t="shared" si="5"/>
        <v/>
      </c>
      <c r="R50" s="25" t="str">
        <f t="shared" si="6"/>
        <v/>
      </c>
      <c r="S50" s="25" t="str">
        <f t="shared" si="7"/>
        <v/>
      </c>
    </row>
    <row r="51" ht="15.75" customHeight="1">
      <c r="M51" s="25" t="str">
        <f t="shared" si="1"/>
        <v/>
      </c>
      <c r="N51" s="25" t="str">
        <f t="shared" si="2"/>
        <v/>
      </c>
      <c r="O51" s="25" t="str">
        <f t="shared" si="3"/>
        <v/>
      </c>
      <c r="P51" s="25" t="str">
        <f t="shared" si="4"/>
        <v/>
      </c>
      <c r="Q51" s="25" t="str">
        <f t="shared" si="5"/>
        <v/>
      </c>
      <c r="R51" s="25" t="str">
        <f t="shared" si="6"/>
        <v/>
      </c>
      <c r="S51" s="25" t="str">
        <f t="shared" si="7"/>
        <v/>
      </c>
    </row>
    <row r="52" ht="15.75" customHeight="1">
      <c r="M52" s="25" t="str">
        <f t="shared" si="1"/>
        <v/>
      </c>
      <c r="N52" s="25" t="str">
        <f t="shared" si="2"/>
        <v/>
      </c>
      <c r="O52" s="25" t="str">
        <f t="shared" si="3"/>
        <v/>
      </c>
      <c r="P52" s="25" t="str">
        <f t="shared" si="4"/>
        <v/>
      </c>
      <c r="Q52" s="25" t="str">
        <f t="shared" si="5"/>
        <v/>
      </c>
      <c r="R52" s="25" t="str">
        <f t="shared" si="6"/>
        <v/>
      </c>
      <c r="S52" s="25" t="str">
        <f t="shared" si="7"/>
        <v/>
      </c>
    </row>
    <row r="53" ht="15.75" customHeight="1">
      <c r="M53" s="25" t="str">
        <f t="shared" si="1"/>
        <v/>
      </c>
      <c r="N53" s="25" t="str">
        <f t="shared" si="2"/>
        <v/>
      </c>
      <c r="O53" s="25" t="str">
        <f t="shared" si="3"/>
        <v/>
      </c>
      <c r="P53" s="25" t="str">
        <f t="shared" si="4"/>
        <v/>
      </c>
      <c r="Q53" s="25" t="str">
        <f t="shared" si="5"/>
        <v/>
      </c>
      <c r="R53" s="25" t="str">
        <f t="shared" si="6"/>
        <v/>
      </c>
      <c r="S53" s="25" t="str">
        <f t="shared" si="7"/>
        <v/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conditionalFormatting sqref="R2:R53">
    <cfRule type="cellIs" dxfId="10" priority="1" operator="notEqual">
      <formula>"OK"</formula>
    </cfRule>
  </conditionalFormatting>
  <conditionalFormatting sqref="R2:R53">
    <cfRule type="cellIs" dxfId="11" priority="2" operator="equal">
      <formula>"OK"</formula>
    </cfRule>
  </conditionalFormatting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6" width="10.0"/>
    <col customWidth="1" min="7" max="26" width="8.71"/>
  </cols>
  <sheetData>
    <row r="1">
      <c r="A1" s="91" t="s">
        <v>359</v>
      </c>
    </row>
    <row r="2">
      <c r="A2" s="92" t="str">
        <f>IFERROR(__xludf.DUMMYFUNCTION("IMPORTHTML(""https://en.wikipedia.org/wiki/2026_Winter_Olympics_medal_table"", ""table"", 3)"),"Rank")</f>
        <v>Rank</v>
      </c>
      <c r="B2" s="92" t="str">
        <f>IFERROR(__xludf.DUMMYFUNCTION("""COMPUTED_VALUE"""),"NOC")</f>
        <v>NOC</v>
      </c>
      <c r="C2" s="92" t="str">
        <f>IFERROR(__xludf.DUMMYFUNCTION("""COMPUTED_VALUE"""),"Gold")</f>
        <v>Gold</v>
      </c>
      <c r="D2" s="92" t="str">
        <f>IFERROR(__xludf.DUMMYFUNCTION("""COMPUTED_VALUE"""),"Silver")</f>
        <v>Silver</v>
      </c>
      <c r="E2" s="92" t="str">
        <f>IFERROR(__xludf.DUMMYFUNCTION("""COMPUTED_VALUE"""),"Bronze")</f>
        <v>Bronze</v>
      </c>
      <c r="F2" s="92" t="str">
        <f>IFERROR(__xludf.DUMMYFUNCTION("""COMPUTED_VALUE"""),"Total")</f>
        <v>Total</v>
      </c>
    </row>
    <row r="3">
      <c r="A3" s="25">
        <f>IFERROR(__xludf.DUMMYFUNCTION("""COMPUTED_VALUE"""),1.0)</f>
        <v>1</v>
      </c>
      <c r="B3" s="25" t="str">
        <f>IFERROR(__xludf.DUMMYFUNCTION("""COMPUTED_VALUE"""),"Norway")</f>
        <v>Norway</v>
      </c>
      <c r="C3" s="25">
        <f>IFERROR(__xludf.DUMMYFUNCTION("""COMPUTED_VALUE"""),18.0)</f>
        <v>18</v>
      </c>
      <c r="D3" s="25">
        <f>IFERROR(__xludf.DUMMYFUNCTION("""COMPUTED_VALUE"""),12.0)</f>
        <v>12</v>
      </c>
      <c r="E3" s="25">
        <f>IFERROR(__xludf.DUMMYFUNCTION("""COMPUTED_VALUE"""),11.0)</f>
        <v>11</v>
      </c>
      <c r="F3" s="25">
        <f>IFERROR(__xludf.DUMMYFUNCTION("""COMPUTED_VALUE"""),41.0)</f>
        <v>41</v>
      </c>
      <c r="G3" s="93" t="str">
        <f>IFERROR(__xludf.DUMMYFUNCTION("REGEXREPLACE(B3, ""[^a-zA-Z\s]"", """")"),"Norway")</f>
        <v>Norway</v>
      </c>
    </row>
    <row r="4">
      <c r="A4" s="25">
        <f>IFERROR(__xludf.DUMMYFUNCTION("""COMPUTED_VALUE"""),2.0)</f>
        <v>2</v>
      </c>
      <c r="B4" s="25" t="str">
        <f>IFERROR(__xludf.DUMMYFUNCTION("""COMPUTED_VALUE"""),"United States")</f>
        <v>United States</v>
      </c>
      <c r="C4" s="25">
        <f>IFERROR(__xludf.DUMMYFUNCTION("""COMPUTED_VALUE"""),12.0)</f>
        <v>12</v>
      </c>
      <c r="D4" s="25">
        <f>IFERROR(__xludf.DUMMYFUNCTION("""COMPUTED_VALUE"""),12.0)</f>
        <v>12</v>
      </c>
      <c r="E4" s="25">
        <f>IFERROR(__xludf.DUMMYFUNCTION("""COMPUTED_VALUE"""),9.0)</f>
        <v>9</v>
      </c>
      <c r="F4" s="25">
        <f>IFERROR(__xludf.DUMMYFUNCTION("""COMPUTED_VALUE"""),33.0)</f>
        <v>33</v>
      </c>
      <c r="G4" s="93" t="str">
        <f>IFERROR(__xludf.DUMMYFUNCTION("REGEXREPLACE(B4, ""[^a-zA-Z\s]"", """")"),"United States")</f>
        <v>United States</v>
      </c>
    </row>
    <row r="5">
      <c r="A5" s="25">
        <f>IFERROR(__xludf.DUMMYFUNCTION("""COMPUTED_VALUE"""),3.0)</f>
        <v>3</v>
      </c>
      <c r="B5" s="25" t="str">
        <f>IFERROR(__xludf.DUMMYFUNCTION("""COMPUTED_VALUE"""),"Netherlands")</f>
        <v>Netherlands</v>
      </c>
      <c r="C5" s="25">
        <f>IFERROR(__xludf.DUMMYFUNCTION("""COMPUTED_VALUE"""),10.0)</f>
        <v>10</v>
      </c>
      <c r="D5" s="25">
        <f>IFERROR(__xludf.DUMMYFUNCTION("""COMPUTED_VALUE"""),7.0)</f>
        <v>7</v>
      </c>
      <c r="E5" s="25">
        <f>IFERROR(__xludf.DUMMYFUNCTION("""COMPUTED_VALUE"""),3.0)</f>
        <v>3</v>
      </c>
      <c r="F5" s="25">
        <f>IFERROR(__xludf.DUMMYFUNCTION("""COMPUTED_VALUE"""),20.0)</f>
        <v>20</v>
      </c>
      <c r="G5" s="93" t="str">
        <f>IFERROR(__xludf.DUMMYFUNCTION("REGEXREPLACE(B5, ""[^a-zA-Z\s]"", """")"),"Netherlands")</f>
        <v>Netherlands</v>
      </c>
    </row>
    <row r="6">
      <c r="A6" s="25">
        <f>IFERROR(__xludf.DUMMYFUNCTION("""COMPUTED_VALUE"""),4.0)</f>
        <v>4</v>
      </c>
      <c r="B6" s="25" t="str">
        <f>IFERROR(__xludf.DUMMYFUNCTION("""COMPUTED_VALUE"""),"Italy*")</f>
        <v>Italy*</v>
      </c>
      <c r="C6" s="25">
        <f>IFERROR(__xludf.DUMMYFUNCTION("""COMPUTED_VALUE"""),10.0)</f>
        <v>10</v>
      </c>
      <c r="D6" s="25">
        <f>IFERROR(__xludf.DUMMYFUNCTION("""COMPUTED_VALUE"""),6.0)</f>
        <v>6</v>
      </c>
      <c r="E6" s="25">
        <f>IFERROR(__xludf.DUMMYFUNCTION("""COMPUTED_VALUE"""),14.0)</f>
        <v>14</v>
      </c>
      <c r="F6" s="25">
        <f>IFERROR(__xludf.DUMMYFUNCTION("""COMPUTED_VALUE"""),30.0)</f>
        <v>30</v>
      </c>
      <c r="G6" s="93" t="str">
        <f>IFERROR(__xludf.DUMMYFUNCTION("REGEXREPLACE(B6, ""[^a-zA-Z\s]"", """")"),"Italy")</f>
        <v>Italy</v>
      </c>
    </row>
    <row r="7">
      <c r="A7" s="25">
        <f>IFERROR(__xludf.DUMMYFUNCTION("""COMPUTED_VALUE"""),5.0)</f>
        <v>5</v>
      </c>
      <c r="B7" s="25" t="str">
        <f>IFERROR(__xludf.DUMMYFUNCTION("""COMPUTED_VALUE"""),"Germany")</f>
        <v>Germany</v>
      </c>
      <c r="C7" s="25">
        <f>IFERROR(__xludf.DUMMYFUNCTION("""COMPUTED_VALUE"""),8.0)</f>
        <v>8</v>
      </c>
      <c r="D7" s="25">
        <f>IFERROR(__xludf.DUMMYFUNCTION("""COMPUTED_VALUE"""),10.0)</f>
        <v>10</v>
      </c>
      <c r="E7" s="25">
        <f>IFERROR(__xludf.DUMMYFUNCTION("""COMPUTED_VALUE"""),8.0)</f>
        <v>8</v>
      </c>
      <c r="F7" s="25">
        <f>IFERROR(__xludf.DUMMYFUNCTION("""COMPUTED_VALUE"""),26.0)</f>
        <v>26</v>
      </c>
      <c r="G7" s="93" t="str">
        <f>IFERROR(__xludf.DUMMYFUNCTION("REGEXREPLACE(B7, ""[^a-zA-Z\s]"", """")"),"Germany")</f>
        <v>Germany</v>
      </c>
    </row>
    <row r="8">
      <c r="A8" s="25">
        <f>IFERROR(__xludf.DUMMYFUNCTION("""COMPUTED_VALUE"""),6.0)</f>
        <v>6</v>
      </c>
      <c r="B8" s="25" t="str">
        <f>IFERROR(__xludf.DUMMYFUNCTION("""COMPUTED_VALUE"""),"France")</f>
        <v>France</v>
      </c>
      <c r="C8" s="25">
        <f>IFERROR(__xludf.DUMMYFUNCTION("""COMPUTED_VALUE"""),8.0)</f>
        <v>8</v>
      </c>
      <c r="D8" s="25">
        <f>IFERROR(__xludf.DUMMYFUNCTION("""COMPUTED_VALUE"""),9.0)</f>
        <v>9</v>
      </c>
      <c r="E8" s="25">
        <f>IFERROR(__xludf.DUMMYFUNCTION("""COMPUTED_VALUE"""),6.0)</f>
        <v>6</v>
      </c>
      <c r="F8" s="25">
        <f>IFERROR(__xludf.DUMMYFUNCTION("""COMPUTED_VALUE"""),23.0)</f>
        <v>23</v>
      </c>
      <c r="G8" s="93" t="str">
        <f>IFERROR(__xludf.DUMMYFUNCTION("REGEXREPLACE(B8, ""[^a-zA-Z\s]"", """")"),"France")</f>
        <v>France</v>
      </c>
    </row>
    <row r="9">
      <c r="A9" s="25">
        <f>IFERROR(__xludf.DUMMYFUNCTION("""COMPUTED_VALUE"""),7.0)</f>
        <v>7</v>
      </c>
      <c r="B9" s="25" t="str">
        <f>IFERROR(__xludf.DUMMYFUNCTION("""COMPUTED_VALUE"""),"Sweden")</f>
        <v>Sweden</v>
      </c>
      <c r="C9" s="25">
        <f>IFERROR(__xludf.DUMMYFUNCTION("""COMPUTED_VALUE"""),8.0)</f>
        <v>8</v>
      </c>
      <c r="D9" s="25">
        <f>IFERROR(__xludf.DUMMYFUNCTION("""COMPUTED_VALUE"""),6.0)</f>
        <v>6</v>
      </c>
      <c r="E9" s="25">
        <f>IFERROR(__xludf.DUMMYFUNCTION("""COMPUTED_VALUE"""),4.0)</f>
        <v>4</v>
      </c>
      <c r="F9" s="25">
        <f>IFERROR(__xludf.DUMMYFUNCTION("""COMPUTED_VALUE"""),18.0)</f>
        <v>18</v>
      </c>
      <c r="G9" s="93" t="str">
        <f>IFERROR(__xludf.DUMMYFUNCTION("REGEXREPLACE(B9, ""[^a-zA-Z\s]"", """")"),"Sweden")</f>
        <v>Sweden</v>
      </c>
    </row>
    <row r="10">
      <c r="A10" s="25">
        <f>IFERROR(__xludf.DUMMYFUNCTION("""COMPUTED_VALUE"""),8.0)</f>
        <v>8</v>
      </c>
      <c r="B10" s="25" t="str">
        <f>IFERROR(__xludf.DUMMYFUNCTION("""COMPUTED_VALUE"""),"Switzerland")</f>
        <v>Switzerland</v>
      </c>
      <c r="C10" s="25">
        <f>IFERROR(__xludf.DUMMYFUNCTION("""COMPUTED_VALUE"""),6.0)</f>
        <v>6</v>
      </c>
      <c r="D10" s="25">
        <f>IFERROR(__xludf.DUMMYFUNCTION("""COMPUTED_VALUE"""),9.0)</f>
        <v>9</v>
      </c>
      <c r="E10" s="25">
        <f>IFERROR(__xludf.DUMMYFUNCTION("""COMPUTED_VALUE"""),8.0)</f>
        <v>8</v>
      </c>
      <c r="F10" s="25">
        <f>IFERROR(__xludf.DUMMYFUNCTION("""COMPUTED_VALUE"""),23.0)</f>
        <v>23</v>
      </c>
      <c r="G10" s="93" t="str">
        <f>IFERROR(__xludf.DUMMYFUNCTION("REGEXREPLACE(B10, ""[^a-zA-Z\s]"", """")"),"Switzerland")</f>
        <v>Switzerland</v>
      </c>
    </row>
    <row r="11">
      <c r="A11" s="25">
        <f>IFERROR(__xludf.DUMMYFUNCTION("""COMPUTED_VALUE"""),9.0)</f>
        <v>9</v>
      </c>
      <c r="B11" s="25" t="str">
        <f>IFERROR(__xludf.DUMMYFUNCTION("""COMPUTED_VALUE"""),"Austria")</f>
        <v>Austria</v>
      </c>
      <c r="C11" s="25">
        <f>IFERROR(__xludf.DUMMYFUNCTION("""COMPUTED_VALUE"""),5.0)</f>
        <v>5</v>
      </c>
      <c r="D11" s="25">
        <f>IFERROR(__xludf.DUMMYFUNCTION("""COMPUTED_VALUE"""),8.0)</f>
        <v>8</v>
      </c>
      <c r="E11" s="25">
        <f>IFERROR(__xludf.DUMMYFUNCTION("""COMPUTED_VALUE"""),5.0)</f>
        <v>5</v>
      </c>
      <c r="F11" s="25">
        <f>IFERROR(__xludf.DUMMYFUNCTION("""COMPUTED_VALUE"""),18.0)</f>
        <v>18</v>
      </c>
      <c r="G11" s="93" t="str">
        <f>IFERROR(__xludf.DUMMYFUNCTION("REGEXREPLACE(B11, ""[^a-zA-Z\s]"", """")"),"Austria")</f>
        <v>Austria</v>
      </c>
    </row>
    <row r="12">
      <c r="A12" s="25">
        <f>IFERROR(__xludf.DUMMYFUNCTION("""COMPUTED_VALUE"""),10.0)</f>
        <v>10</v>
      </c>
      <c r="B12" s="25" t="str">
        <f>IFERROR(__xludf.DUMMYFUNCTION("""COMPUTED_VALUE"""),"Japan")</f>
        <v>Japan</v>
      </c>
      <c r="C12" s="25">
        <f>IFERROR(__xludf.DUMMYFUNCTION("""COMPUTED_VALUE"""),5.0)</f>
        <v>5</v>
      </c>
      <c r="D12" s="25">
        <f>IFERROR(__xludf.DUMMYFUNCTION("""COMPUTED_VALUE"""),7.0)</f>
        <v>7</v>
      </c>
      <c r="E12" s="25">
        <f>IFERROR(__xludf.DUMMYFUNCTION("""COMPUTED_VALUE"""),12.0)</f>
        <v>12</v>
      </c>
      <c r="F12" s="25">
        <f>IFERROR(__xludf.DUMMYFUNCTION("""COMPUTED_VALUE"""),24.0)</f>
        <v>24</v>
      </c>
      <c r="G12" s="93" t="str">
        <f>IFERROR(__xludf.DUMMYFUNCTION("REGEXREPLACE(B12, ""[^a-zA-Z\s]"", """")"),"Japan")</f>
        <v>Japan</v>
      </c>
    </row>
    <row r="13">
      <c r="A13" s="25">
        <f>IFERROR(__xludf.DUMMYFUNCTION("""COMPUTED_VALUE"""),11.0)</f>
        <v>11</v>
      </c>
      <c r="B13" s="25" t="str">
        <f>IFERROR(__xludf.DUMMYFUNCTION("""COMPUTED_VALUE"""),"Canada")</f>
        <v>Canada</v>
      </c>
      <c r="C13" s="25">
        <f>IFERROR(__xludf.DUMMYFUNCTION("""COMPUTED_VALUE"""),5.0)</f>
        <v>5</v>
      </c>
      <c r="D13" s="25">
        <f>IFERROR(__xludf.DUMMYFUNCTION("""COMPUTED_VALUE"""),7.0)</f>
        <v>7</v>
      </c>
      <c r="E13" s="25">
        <f>IFERROR(__xludf.DUMMYFUNCTION("""COMPUTED_VALUE"""),9.0)</f>
        <v>9</v>
      </c>
      <c r="F13" s="25">
        <f>IFERROR(__xludf.DUMMYFUNCTION("""COMPUTED_VALUE"""),21.0)</f>
        <v>21</v>
      </c>
      <c r="G13" s="93" t="str">
        <f>IFERROR(__xludf.DUMMYFUNCTION("REGEXREPLACE(B13, ""[^a-zA-Z\s]"", """")"),"Canada")</f>
        <v>Canada</v>
      </c>
    </row>
    <row r="14">
      <c r="A14" s="25">
        <f>IFERROR(__xludf.DUMMYFUNCTION("""COMPUTED_VALUE"""),12.0)</f>
        <v>12</v>
      </c>
      <c r="B14" s="25" t="str">
        <f>IFERROR(__xludf.DUMMYFUNCTION("""COMPUTED_VALUE"""),"China")</f>
        <v>China</v>
      </c>
      <c r="C14" s="25">
        <f>IFERROR(__xludf.DUMMYFUNCTION("""COMPUTED_VALUE"""),5.0)</f>
        <v>5</v>
      </c>
      <c r="D14" s="25">
        <f>IFERROR(__xludf.DUMMYFUNCTION("""COMPUTED_VALUE"""),4.0)</f>
        <v>4</v>
      </c>
      <c r="E14" s="25">
        <f>IFERROR(__xludf.DUMMYFUNCTION("""COMPUTED_VALUE"""),6.0)</f>
        <v>6</v>
      </c>
      <c r="F14" s="25">
        <f>IFERROR(__xludf.DUMMYFUNCTION("""COMPUTED_VALUE"""),15.0)</f>
        <v>15</v>
      </c>
      <c r="G14" s="93" t="str">
        <f>IFERROR(__xludf.DUMMYFUNCTION("REGEXREPLACE(B14, ""[^a-zA-Z\s]"", """")"),"China")</f>
        <v>China</v>
      </c>
    </row>
    <row r="15">
      <c r="A15" s="25">
        <f>IFERROR(__xludf.DUMMYFUNCTION("""COMPUTED_VALUE"""),13.0)</f>
        <v>13</v>
      </c>
      <c r="B15" s="25" t="str">
        <f>IFERROR(__xludf.DUMMYFUNCTION("""COMPUTED_VALUE"""),"South Korea")</f>
        <v>South Korea</v>
      </c>
      <c r="C15" s="25">
        <f>IFERROR(__xludf.DUMMYFUNCTION("""COMPUTED_VALUE"""),3.0)</f>
        <v>3</v>
      </c>
      <c r="D15" s="25">
        <f>IFERROR(__xludf.DUMMYFUNCTION("""COMPUTED_VALUE"""),4.0)</f>
        <v>4</v>
      </c>
      <c r="E15" s="25">
        <f>IFERROR(__xludf.DUMMYFUNCTION("""COMPUTED_VALUE"""),3.0)</f>
        <v>3</v>
      </c>
      <c r="F15" s="25">
        <f>IFERROR(__xludf.DUMMYFUNCTION("""COMPUTED_VALUE"""),10.0)</f>
        <v>10</v>
      </c>
      <c r="G15" s="93" t="str">
        <f>IFERROR(__xludf.DUMMYFUNCTION("REGEXREPLACE(B15, ""[^a-zA-Z\s]"", """")"),"South Korea")</f>
        <v>South Korea</v>
      </c>
    </row>
    <row r="16">
      <c r="A16" s="25">
        <f>IFERROR(__xludf.DUMMYFUNCTION("""COMPUTED_VALUE"""),14.0)</f>
        <v>14</v>
      </c>
      <c r="B16" s="25" t="str">
        <f>IFERROR(__xludf.DUMMYFUNCTION("""COMPUTED_VALUE"""),"Australia")</f>
        <v>Australia</v>
      </c>
      <c r="C16" s="25">
        <f>IFERROR(__xludf.DUMMYFUNCTION("""COMPUTED_VALUE"""),3.0)</f>
        <v>3</v>
      </c>
      <c r="D16" s="25">
        <f>IFERROR(__xludf.DUMMYFUNCTION("""COMPUTED_VALUE"""),2.0)</f>
        <v>2</v>
      </c>
      <c r="E16" s="25">
        <f>IFERROR(__xludf.DUMMYFUNCTION("""COMPUTED_VALUE"""),1.0)</f>
        <v>1</v>
      </c>
      <c r="F16" s="25">
        <f>IFERROR(__xludf.DUMMYFUNCTION("""COMPUTED_VALUE"""),6.0)</f>
        <v>6</v>
      </c>
      <c r="G16" s="93" t="str">
        <f>IFERROR(__xludf.DUMMYFUNCTION("REGEXREPLACE(B16, ""[^a-zA-Z\s]"", """")"),"Australia")</f>
        <v>Australia</v>
      </c>
    </row>
    <row r="17">
      <c r="A17" s="25">
        <f>IFERROR(__xludf.DUMMYFUNCTION("""COMPUTED_VALUE"""),15.0)</f>
        <v>15</v>
      </c>
      <c r="B17" s="25" t="str">
        <f>IFERROR(__xludf.DUMMYFUNCTION("""COMPUTED_VALUE"""),"Great Britain")</f>
        <v>Great Britain</v>
      </c>
      <c r="C17" s="25">
        <f>IFERROR(__xludf.DUMMYFUNCTION("""COMPUTED_VALUE"""),3.0)</f>
        <v>3</v>
      </c>
      <c r="D17" s="25">
        <f>IFERROR(__xludf.DUMMYFUNCTION("""COMPUTED_VALUE"""),1.0)</f>
        <v>1</v>
      </c>
      <c r="E17" s="25">
        <f>IFERROR(__xludf.DUMMYFUNCTION("""COMPUTED_VALUE"""),1.0)</f>
        <v>1</v>
      </c>
      <c r="F17" s="25">
        <f>IFERROR(__xludf.DUMMYFUNCTION("""COMPUTED_VALUE"""),5.0)</f>
        <v>5</v>
      </c>
      <c r="G17" s="93" t="str">
        <f>IFERROR(__xludf.DUMMYFUNCTION("REGEXREPLACE(B17, ""[^a-zA-Z\s]"", """")"),"Great Britain")</f>
        <v>Great Britain</v>
      </c>
    </row>
    <row r="18">
      <c r="A18" s="25">
        <f>IFERROR(__xludf.DUMMYFUNCTION("""COMPUTED_VALUE"""),16.0)</f>
        <v>16</v>
      </c>
      <c r="B18" s="25" t="str">
        <f>IFERROR(__xludf.DUMMYFUNCTION("""COMPUTED_VALUE"""),"Czech Republic")</f>
        <v>Czech Republic</v>
      </c>
      <c r="C18" s="25">
        <f>IFERROR(__xludf.DUMMYFUNCTION("""COMPUTED_VALUE"""),2.0)</f>
        <v>2</v>
      </c>
      <c r="D18" s="25">
        <f>IFERROR(__xludf.DUMMYFUNCTION("""COMPUTED_VALUE"""),2.0)</f>
        <v>2</v>
      </c>
      <c r="E18" s="25">
        <f>IFERROR(__xludf.DUMMYFUNCTION("""COMPUTED_VALUE"""),1.0)</f>
        <v>1</v>
      </c>
      <c r="F18" s="25">
        <f>IFERROR(__xludf.DUMMYFUNCTION("""COMPUTED_VALUE"""),5.0)</f>
        <v>5</v>
      </c>
      <c r="G18" s="93" t="str">
        <f>IFERROR(__xludf.DUMMYFUNCTION("REGEXREPLACE(B18, ""[^a-zA-Z\s]"", """")"),"Czech Republic")</f>
        <v>Czech Republic</v>
      </c>
    </row>
    <row r="19">
      <c r="A19" s="25">
        <f>IFERROR(__xludf.DUMMYFUNCTION("""COMPUTED_VALUE"""),17.0)</f>
        <v>17</v>
      </c>
      <c r="B19" s="25" t="str">
        <f>IFERROR(__xludf.DUMMYFUNCTION("""COMPUTED_VALUE"""),"Slovenia")</f>
        <v>Slovenia</v>
      </c>
      <c r="C19" s="25">
        <f>IFERROR(__xludf.DUMMYFUNCTION("""COMPUTED_VALUE"""),2.0)</f>
        <v>2</v>
      </c>
      <c r="D19" s="25">
        <f>IFERROR(__xludf.DUMMYFUNCTION("""COMPUTED_VALUE"""),1.0)</f>
        <v>1</v>
      </c>
      <c r="E19" s="25">
        <f>IFERROR(__xludf.DUMMYFUNCTION("""COMPUTED_VALUE"""),1.0)</f>
        <v>1</v>
      </c>
      <c r="F19" s="25">
        <f>IFERROR(__xludf.DUMMYFUNCTION("""COMPUTED_VALUE"""),4.0)</f>
        <v>4</v>
      </c>
      <c r="G19" s="93" t="str">
        <f>IFERROR(__xludf.DUMMYFUNCTION("REGEXREPLACE(B19, ""[^a-zA-Z\s]"", """")"),"Slovenia")</f>
        <v>Slovenia</v>
      </c>
    </row>
    <row r="20">
      <c r="A20" s="25">
        <f>IFERROR(__xludf.DUMMYFUNCTION("""COMPUTED_VALUE"""),18.0)</f>
        <v>18</v>
      </c>
      <c r="B20" s="25" t="str">
        <f>IFERROR(__xludf.DUMMYFUNCTION("""COMPUTED_VALUE"""),"Spain")</f>
        <v>Spain</v>
      </c>
      <c r="C20" s="25">
        <f>IFERROR(__xludf.DUMMYFUNCTION("""COMPUTED_VALUE"""),1.0)</f>
        <v>1</v>
      </c>
      <c r="D20" s="25">
        <f>IFERROR(__xludf.DUMMYFUNCTION("""COMPUTED_VALUE"""),0.0)</f>
        <v>0</v>
      </c>
      <c r="E20" s="25">
        <f>IFERROR(__xludf.DUMMYFUNCTION("""COMPUTED_VALUE"""),2.0)</f>
        <v>2</v>
      </c>
      <c r="F20" s="25">
        <f>IFERROR(__xludf.DUMMYFUNCTION("""COMPUTED_VALUE"""),3.0)</f>
        <v>3</v>
      </c>
      <c r="G20" s="93" t="str">
        <f>IFERROR(__xludf.DUMMYFUNCTION("REGEXREPLACE(B20, ""[^a-zA-Z\s]"", """")"),"Spain")</f>
        <v>Spain</v>
      </c>
    </row>
    <row r="21" ht="15.75" customHeight="1">
      <c r="A21" s="25">
        <f>IFERROR(__xludf.DUMMYFUNCTION("""COMPUTED_VALUE"""),19.0)</f>
        <v>19</v>
      </c>
      <c r="B21" s="25" t="str">
        <f>IFERROR(__xludf.DUMMYFUNCTION("""COMPUTED_VALUE"""),"Brazil")</f>
        <v>Brazil</v>
      </c>
      <c r="C21" s="25">
        <f>IFERROR(__xludf.DUMMYFUNCTION("""COMPUTED_VALUE"""),1.0)</f>
        <v>1</v>
      </c>
      <c r="D21" s="25">
        <f>IFERROR(__xludf.DUMMYFUNCTION("""COMPUTED_VALUE"""),0.0)</f>
        <v>0</v>
      </c>
      <c r="E21" s="25">
        <f>IFERROR(__xludf.DUMMYFUNCTION("""COMPUTED_VALUE"""),0.0)</f>
        <v>0</v>
      </c>
      <c r="F21" s="25">
        <f>IFERROR(__xludf.DUMMYFUNCTION("""COMPUTED_VALUE"""),1.0)</f>
        <v>1</v>
      </c>
      <c r="G21" s="93" t="str">
        <f>IFERROR(__xludf.DUMMYFUNCTION("REGEXREPLACE(B21, ""[^a-zA-Z\s]"", """")"),"Brazil")</f>
        <v>Brazil</v>
      </c>
    </row>
    <row r="22" ht="15.75" customHeight="1">
      <c r="A22" s="25"/>
      <c r="B22" s="25" t="str">
        <f>IFERROR(__xludf.DUMMYFUNCTION("""COMPUTED_VALUE"""),"Kazakhstan")</f>
        <v>Kazakhstan</v>
      </c>
      <c r="C22" s="25">
        <f>IFERROR(__xludf.DUMMYFUNCTION("""COMPUTED_VALUE"""),1.0)</f>
        <v>1</v>
      </c>
      <c r="D22" s="25">
        <f>IFERROR(__xludf.DUMMYFUNCTION("""COMPUTED_VALUE"""),0.0)</f>
        <v>0</v>
      </c>
      <c r="E22" s="25">
        <f>IFERROR(__xludf.DUMMYFUNCTION("""COMPUTED_VALUE"""),0.0)</f>
        <v>0</v>
      </c>
      <c r="F22" s="25">
        <f>IFERROR(__xludf.DUMMYFUNCTION("""COMPUTED_VALUE"""),1.0)</f>
        <v>1</v>
      </c>
      <c r="G22" s="93" t="str">
        <f>IFERROR(__xludf.DUMMYFUNCTION("REGEXREPLACE(B22, ""[^a-zA-Z\s]"", """")"),"Kazakhstan")</f>
        <v>Kazakhstan</v>
      </c>
    </row>
    <row r="23" ht="15.75" customHeight="1">
      <c r="A23" s="25">
        <f>IFERROR(__xludf.DUMMYFUNCTION("""COMPUTED_VALUE"""),21.0)</f>
        <v>21</v>
      </c>
      <c r="B23" s="25" t="str">
        <f>IFERROR(__xludf.DUMMYFUNCTION("""COMPUTED_VALUE"""),"Poland")</f>
        <v>Poland</v>
      </c>
      <c r="C23" s="25">
        <f>IFERROR(__xludf.DUMMYFUNCTION("""COMPUTED_VALUE"""),0.0)</f>
        <v>0</v>
      </c>
      <c r="D23" s="25">
        <f>IFERROR(__xludf.DUMMYFUNCTION("""COMPUTED_VALUE"""),3.0)</f>
        <v>3</v>
      </c>
      <c r="E23" s="25">
        <f>IFERROR(__xludf.DUMMYFUNCTION("""COMPUTED_VALUE"""),1.0)</f>
        <v>1</v>
      </c>
      <c r="F23" s="25">
        <f>IFERROR(__xludf.DUMMYFUNCTION("""COMPUTED_VALUE"""),4.0)</f>
        <v>4</v>
      </c>
      <c r="G23" s="93" t="str">
        <f>IFERROR(__xludf.DUMMYFUNCTION("REGEXREPLACE(B23, ""[^a-zA-Z\s]"", """")"),"Poland")</f>
        <v>Poland</v>
      </c>
    </row>
    <row r="24" ht="15.75" customHeight="1">
      <c r="A24" s="93">
        <f>IFERROR(__xludf.DUMMYFUNCTION("""COMPUTED_VALUE"""),22.0)</f>
        <v>22</v>
      </c>
      <c r="B24" s="93" t="str">
        <f>IFERROR(__xludf.DUMMYFUNCTION("""COMPUTED_VALUE"""),"New Zealand")</f>
        <v>New Zealand</v>
      </c>
      <c r="C24" s="93">
        <f>IFERROR(__xludf.DUMMYFUNCTION("""COMPUTED_VALUE"""),0.0)</f>
        <v>0</v>
      </c>
      <c r="D24" s="93">
        <f>IFERROR(__xludf.DUMMYFUNCTION("""COMPUTED_VALUE"""),2.0)</f>
        <v>2</v>
      </c>
      <c r="E24" s="93">
        <f>IFERROR(__xludf.DUMMYFUNCTION("""COMPUTED_VALUE"""),1.0)</f>
        <v>1</v>
      </c>
      <c r="F24" s="93">
        <f>IFERROR(__xludf.DUMMYFUNCTION("""COMPUTED_VALUE"""),3.0)</f>
        <v>3</v>
      </c>
      <c r="G24" s="93" t="str">
        <f>IFERROR(__xludf.DUMMYFUNCTION("REGEXREPLACE(B24, ""[^a-zA-Z\s]"", """")"),"New Zealand")</f>
        <v>New Zealand</v>
      </c>
    </row>
    <row r="25" ht="15.75" customHeight="1">
      <c r="A25" s="93">
        <f>IFERROR(__xludf.DUMMYFUNCTION("""COMPUTED_VALUE"""),23.0)</f>
        <v>23</v>
      </c>
      <c r="B25" s="93" t="str">
        <f>IFERROR(__xludf.DUMMYFUNCTION("""COMPUTED_VALUE"""),"Finland")</f>
        <v>Finland</v>
      </c>
      <c r="C25" s="93">
        <f>IFERROR(__xludf.DUMMYFUNCTION("""COMPUTED_VALUE"""),0.0)</f>
        <v>0</v>
      </c>
      <c r="D25" s="93">
        <f>IFERROR(__xludf.DUMMYFUNCTION("""COMPUTED_VALUE"""),1.0)</f>
        <v>1</v>
      </c>
      <c r="E25" s="93">
        <f>IFERROR(__xludf.DUMMYFUNCTION("""COMPUTED_VALUE"""),5.0)</f>
        <v>5</v>
      </c>
      <c r="F25" s="93">
        <f>IFERROR(__xludf.DUMMYFUNCTION("""COMPUTED_VALUE"""),6.0)</f>
        <v>6</v>
      </c>
      <c r="G25" s="93" t="str">
        <f>IFERROR(__xludf.DUMMYFUNCTION("REGEXREPLACE(B25, ""[^a-zA-Z\s]"", """")"),"Finland")</f>
        <v>Finland</v>
      </c>
    </row>
    <row r="26" ht="15.75" customHeight="1">
      <c r="A26" s="93">
        <f>IFERROR(__xludf.DUMMYFUNCTION("""COMPUTED_VALUE"""),24.0)</f>
        <v>24</v>
      </c>
      <c r="B26" s="93" t="str">
        <f>IFERROR(__xludf.DUMMYFUNCTION("""COMPUTED_VALUE"""),"Latvia")</f>
        <v>Latvia</v>
      </c>
      <c r="C26" s="93">
        <f>IFERROR(__xludf.DUMMYFUNCTION("""COMPUTED_VALUE"""),0.0)</f>
        <v>0</v>
      </c>
      <c r="D26" s="93">
        <f>IFERROR(__xludf.DUMMYFUNCTION("""COMPUTED_VALUE"""),1.0)</f>
        <v>1</v>
      </c>
      <c r="E26" s="93">
        <f>IFERROR(__xludf.DUMMYFUNCTION("""COMPUTED_VALUE"""),1.0)</f>
        <v>1</v>
      </c>
      <c r="F26" s="93">
        <f>IFERROR(__xludf.DUMMYFUNCTION("""COMPUTED_VALUE"""),2.0)</f>
        <v>2</v>
      </c>
      <c r="G26" s="93" t="str">
        <f>IFERROR(__xludf.DUMMYFUNCTION("REGEXREPLACE(B26, ""[^a-zA-Z\s]"", """")"),"Latvia")</f>
        <v>Latvia</v>
      </c>
    </row>
    <row r="27" ht="15.75" customHeight="1">
      <c r="A27" s="93">
        <f>IFERROR(__xludf.DUMMYFUNCTION("""COMPUTED_VALUE"""),25.0)</f>
        <v>25</v>
      </c>
      <c r="B27" s="93" t="str">
        <f>IFERROR(__xludf.DUMMYFUNCTION("""COMPUTED_VALUE"""),"Denmark")</f>
        <v>Denmark</v>
      </c>
      <c r="C27" s="93">
        <f>IFERROR(__xludf.DUMMYFUNCTION("""COMPUTED_VALUE"""),0.0)</f>
        <v>0</v>
      </c>
      <c r="D27" s="93">
        <f>IFERROR(__xludf.DUMMYFUNCTION("""COMPUTED_VALUE"""),1.0)</f>
        <v>1</v>
      </c>
      <c r="E27" s="93">
        <f>IFERROR(__xludf.DUMMYFUNCTION("""COMPUTED_VALUE"""),0.0)</f>
        <v>0</v>
      </c>
      <c r="F27" s="93">
        <f>IFERROR(__xludf.DUMMYFUNCTION("""COMPUTED_VALUE"""),1.0)</f>
        <v>1</v>
      </c>
      <c r="G27" s="93" t="str">
        <f>IFERROR(__xludf.DUMMYFUNCTION("REGEXREPLACE(B27, ""[^a-zA-Z\s]"", """")"),"Denmark")</f>
        <v>Denmark</v>
      </c>
    </row>
    <row r="28" ht="15.75" customHeight="1">
      <c r="A28" s="93"/>
      <c r="B28" s="93" t="str">
        <f>IFERROR(__xludf.DUMMYFUNCTION("""COMPUTED_VALUE"""),"Estonia")</f>
        <v>Estonia</v>
      </c>
      <c r="C28" s="93">
        <f>IFERROR(__xludf.DUMMYFUNCTION("""COMPUTED_VALUE"""),0.0)</f>
        <v>0</v>
      </c>
      <c r="D28" s="93">
        <f>IFERROR(__xludf.DUMMYFUNCTION("""COMPUTED_VALUE"""),1.0)</f>
        <v>1</v>
      </c>
      <c r="E28" s="93">
        <f>IFERROR(__xludf.DUMMYFUNCTION("""COMPUTED_VALUE"""),0.0)</f>
        <v>0</v>
      </c>
      <c r="F28" s="93">
        <f>IFERROR(__xludf.DUMMYFUNCTION("""COMPUTED_VALUE"""),1.0)</f>
        <v>1</v>
      </c>
      <c r="G28" s="93" t="str">
        <f>IFERROR(__xludf.DUMMYFUNCTION("REGEXREPLACE(B28, ""[^a-zA-Z\s]"", """")"),"Estonia")</f>
        <v>Estonia</v>
      </c>
    </row>
    <row r="29" ht="15.75" customHeight="1">
      <c r="A29" s="93"/>
      <c r="B29" s="93" t="str">
        <f>IFERROR(__xludf.DUMMYFUNCTION("""COMPUTED_VALUE"""),"Georgia")</f>
        <v>Georgia</v>
      </c>
      <c r="C29" s="93">
        <f>IFERROR(__xludf.DUMMYFUNCTION("""COMPUTED_VALUE"""),0.0)</f>
        <v>0</v>
      </c>
      <c r="D29" s="93">
        <f>IFERROR(__xludf.DUMMYFUNCTION("""COMPUTED_VALUE"""),1.0)</f>
        <v>1</v>
      </c>
      <c r="E29" s="93">
        <f>IFERROR(__xludf.DUMMYFUNCTION("""COMPUTED_VALUE"""),0.0)</f>
        <v>0</v>
      </c>
      <c r="F29" s="93">
        <f>IFERROR(__xludf.DUMMYFUNCTION("""COMPUTED_VALUE"""),1.0)</f>
        <v>1</v>
      </c>
      <c r="G29" s="93" t="str">
        <f>IFERROR(__xludf.DUMMYFUNCTION("REGEXREPLACE(B29, ""[^a-zA-Z\s]"", """")"),"Georgia")</f>
        <v>Georgia</v>
      </c>
    </row>
    <row r="30" ht="15.75" customHeight="1">
      <c r="A30" s="93" t="str">
        <f>IFERROR(__xludf.DUMMYFUNCTION("""COMPUTED_VALUE"""),"–")</f>
        <v>–</v>
      </c>
      <c r="B30" s="93" t="str">
        <f>IFERROR(__xludf.DUMMYFUNCTION("""COMPUTED_VALUE"""),"Individual Neutral Athletes[A][B]")</f>
        <v>Individual Neutral Athletes[A][B]</v>
      </c>
      <c r="C30" s="93">
        <f>IFERROR(__xludf.DUMMYFUNCTION("""COMPUTED_VALUE"""),0.0)</f>
        <v>0</v>
      </c>
      <c r="D30" s="93">
        <f>IFERROR(__xludf.DUMMYFUNCTION("""COMPUTED_VALUE"""),1.0)</f>
        <v>1</v>
      </c>
      <c r="E30" s="93">
        <f>IFERROR(__xludf.DUMMYFUNCTION("""COMPUTED_VALUE"""),0.0)</f>
        <v>0</v>
      </c>
      <c r="F30" s="93">
        <f>IFERROR(__xludf.DUMMYFUNCTION("""COMPUTED_VALUE"""),1.0)</f>
        <v>1</v>
      </c>
      <c r="G30" s="93" t="str">
        <f>IFERROR(__xludf.DUMMYFUNCTION("REGEXREPLACE(B30, ""[^a-zA-Z\s]"", """")"),"Individual Neutral AthletesAB")</f>
        <v>Individual Neutral AthletesAB</v>
      </c>
    </row>
    <row r="31" ht="15.75" customHeight="1">
      <c r="A31" s="93">
        <f>IFERROR(__xludf.DUMMYFUNCTION("""COMPUTED_VALUE"""),28.0)</f>
        <v>28</v>
      </c>
      <c r="B31" s="93" t="str">
        <f>IFERROR(__xludf.DUMMYFUNCTION("""COMPUTED_VALUE"""),"Bulgaria")</f>
        <v>Bulgaria</v>
      </c>
      <c r="C31" s="93">
        <f>IFERROR(__xludf.DUMMYFUNCTION("""COMPUTED_VALUE"""),0.0)</f>
        <v>0</v>
      </c>
      <c r="D31" s="93">
        <f>IFERROR(__xludf.DUMMYFUNCTION("""COMPUTED_VALUE"""),0.0)</f>
        <v>0</v>
      </c>
      <c r="E31" s="93">
        <f>IFERROR(__xludf.DUMMYFUNCTION("""COMPUTED_VALUE"""),2.0)</f>
        <v>2</v>
      </c>
      <c r="F31" s="93">
        <f>IFERROR(__xludf.DUMMYFUNCTION("""COMPUTED_VALUE"""),2.0)</f>
        <v>2</v>
      </c>
      <c r="G31" s="93" t="str">
        <f>IFERROR(__xludf.DUMMYFUNCTION("REGEXREPLACE(B31, ""[^a-zA-Z\s]"", """")"),"Bulgaria")</f>
        <v>Bulgaria</v>
      </c>
    </row>
    <row r="32" ht="15.75" customHeight="1">
      <c r="A32" s="93">
        <f>IFERROR(__xludf.DUMMYFUNCTION("""COMPUTED_VALUE"""),29.0)</f>
        <v>29</v>
      </c>
      <c r="B32" s="93" t="str">
        <f>IFERROR(__xludf.DUMMYFUNCTION("""COMPUTED_VALUE"""),"Belgium")</f>
        <v>Belgium</v>
      </c>
      <c r="C32" s="93">
        <f>IFERROR(__xludf.DUMMYFUNCTION("""COMPUTED_VALUE"""),0.0)</f>
        <v>0</v>
      </c>
      <c r="D32" s="93">
        <f>IFERROR(__xludf.DUMMYFUNCTION("""COMPUTED_VALUE"""),0.0)</f>
        <v>0</v>
      </c>
      <c r="E32" s="93">
        <f>IFERROR(__xludf.DUMMYFUNCTION("""COMPUTED_VALUE"""),1.0)</f>
        <v>1</v>
      </c>
      <c r="F32" s="93">
        <f>IFERROR(__xludf.DUMMYFUNCTION("""COMPUTED_VALUE"""),1.0)</f>
        <v>1</v>
      </c>
      <c r="G32" s="93" t="str">
        <f>IFERROR(__xludf.DUMMYFUNCTION("REGEXREPLACE(B32, ""[^a-zA-Z\s]"", """")"),"Belgium")</f>
        <v>Belgium</v>
      </c>
    </row>
    <row r="33" ht="15.75" customHeight="1">
      <c r="A33" s="93" t="str">
        <f>IFERROR(__xludf.DUMMYFUNCTION("""COMPUTED_VALUE"""),"Totals (29 entries)")</f>
        <v>Totals (29 entries)</v>
      </c>
      <c r="B33" s="93"/>
      <c r="C33" s="93">
        <f>IFERROR(__xludf.DUMMYFUNCTION("""COMPUTED_VALUE"""),116.0)</f>
        <v>116</v>
      </c>
      <c r="D33" s="93">
        <f>IFERROR(__xludf.DUMMYFUNCTION("""COMPUTED_VALUE"""),118.0)</f>
        <v>118</v>
      </c>
      <c r="E33" s="93">
        <f>IFERROR(__xludf.DUMMYFUNCTION("""COMPUTED_VALUE"""),115.0)</f>
        <v>115</v>
      </c>
      <c r="F33" s="93">
        <f>IFERROR(__xludf.DUMMYFUNCTION("""COMPUTED_VALUE"""),349.0)</f>
        <v>349</v>
      </c>
      <c r="G33" s="93" t="str">
        <f>IFERROR(__xludf.DUMMYFUNCTION("REGEXREPLACE(B33, ""[^a-zA-Z\s]"", """")"),"")</f>
        <v/>
      </c>
    </row>
    <row r="34" ht="15.75" customHeight="1">
      <c r="G34" s="93" t="str">
        <f>IFERROR(__xludf.DUMMYFUNCTION("REGEXREPLACE(B34, ""[^a-zA-Z\s]"", """")"),"")</f>
        <v/>
      </c>
    </row>
    <row r="35" ht="15.75" customHeight="1">
      <c r="G35" s="93" t="str">
        <f>IFERROR(__xludf.DUMMYFUNCTION("REGEXREPLACE(B35, ""[^a-zA-Z\s]"", """")"),"")</f>
        <v/>
      </c>
    </row>
    <row r="36" ht="15.75" customHeight="1">
      <c r="G36" s="93" t="str">
        <f>IFERROR(__xludf.DUMMYFUNCTION("REGEXREPLACE(B36, ""[^a-zA-Z\s]"", """")"),"")</f>
        <v/>
      </c>
    </row>
    <row r="37" ht="15.75" customHeight="1">
      <c r="G37" s="93" t="str">
        <f>IFERROR(__xludf.DUMMYFUNCTION("REGEXREPLACE(B37, ""[^a-zA-Z\s]"", """")"),"")</f>
        <v/>
      </c>
    </row>
    <row r="38" ht="15.75" customHeight="1">
      <c r="G38" s="93" t="str">
        <f>IFERROR(__xludf.DUMMYFUNCTION("REGEXREPLACE(B38, ""[^a-zA-Z\s]"", """")"),"")</f>
        <v/>
      </c>
    </row>
    <row r="39" ht="15.75" customHeight="1">
      <c r="G39" s="93" t="str">
        <f>IFERROR(__xludf.DUMMYFUNCTION("REGEXREPLACE(B39, ""[^a-zA-Z\s]"", """")"),"")</f>
        <v/>
      </c>
    </row>
    <row r="40" ht="15.75" customHeight="1">
      <c r="G40" s="93" t="str">
        <f>IFERROR(__xludf.DUMMYFUNCTION("REGEXREPLACE(B40, ""[^a-zA-Z\s]"", """")"),"")</f>
        <v/>
      </c>
    </row>
    <row r="41" ht="15.75" customHeight="1">
      <c r="G41" s="93" t="str">
        <f>IFERROR(__xludf.DUMMYFUNCTION("REGEXREPLACE(B41, ""[^a-zA-Z\s]"", """")"),"")</f>
        <v/>
      </c>
    </row>
    <row r="42" ht="15.75" customHeight="1">
      <c r="G42" s="93" t="str">
        <f>IFERROR(__xludf.DUMMYFUNCTION("REGEXREPLACE(B42, ""[^a-zA-Z\s]"", """")"),"")</f>
        <v/>
      </c>
    </row>
    <row r="43" ht="15.75" customHeight="1">
      <c r="G43" s="93" t="str">
        <f>IFERROR(__xludf.DUMMYFUNCTION("REGEXREPLACE(B43, ""[^a-zA-Z\s]"", """")"),"")</f>
        <v/>
      </c>
    </row>
    <row r="44" ht="15.75" customHeight="1">
      <c r="G44" s="93" t="str">
        <f>IFERROR(__xludf.DUMMYFUNCTION("REGEXREPLACE(B44, ""[^a-zA-Z\s]"", """")"),"")</f>
        <v/>
      </c>
    </row>
    <row r="45" ht="15.75" customHeight="1">
      <c r="G45" s="93" t="str">
        <f>IFERROR(__xludf.DUMMYFUNCTION("REGEXREPLACE(B45, ""[^a-zA-Z\s]"", """")"),"")</f>
        <v/>
      </c>
    </row>
    <row r="46" ht="15.75" customHeight="1">
      <c r="G46" s="93" t="str">
        <f>IFERROR(__xludf.DUMMYFUNCTION("REGEXREPLACE(B46, ""[^a-zA-Z\s]"", """")"),"")</f>
        <v/>
      </c>
    </row>
    <row r="47" ht="15.75" customHeight="1">
      <c r="G47" s="93" t="str">
        <f>IFERROR(__xludf.DUMMYFUNCTION("REGEXREPLACE(B47, ""[^a-zA-Z\s]"", """")"),"")</f>
        <v/>
      </c>
    </row>
    <row r="48" ht="15.75" customHeight="1">
      <c r="G48" s="93" t="str">
        <f>IFERROR(__xludf.DUMMYFUNCTION("REGEXREPLACE(B48, ""[^a-zA-Z\s]"", """")"),"")</f>
        <v/>
      </c>
    </row>
    <row r="49" ht="15.75" customHeight="1">
      <c r="G49" s="93" t="str">
        <f>IFERROR(__xludf.DUMMYFUNCTION("REGEXREPLACE(B49, ""[^a-zA-Z\s]"", """")"),"")</f>
        <v/>
      </c>
    </row>
    <row r="50" ht="15.75" customHeight="1">
      <c r="G50" s="93" t="str">
        <f>IFERROR(__xludf.DUMMYFUNCTION("REGEXREPLACE(B50, ""[^a-zA-Z\s]"", """")"),"")</f>
        <v/>
      </c>
    </row>
    <row r="51" ht="15.75" customHeight="1">
      <c r="G51" s="93" t="str">
        <f>IFERROR(__xludf.DUMMYFUNCTION("REGEXREPLACE(B51, ""[^a-zA-Z\s]"", """")"),"")</f>
        <v/>
      </c>
    </row>
    <row r="52" ht="15.75" customHeight="1">
      <c r="G52" s="93" t="str">
        <f>IFERROR(__xludf.DUMMYFUNCTION("REGEXREPLACE(B52, ""[^a-zA-Z\s]"", """")"),"")</f>
        <v/>
      </c>
    </row>
    <row r="53" ht="15.75" customHeight="1">
      <c r="G53" s="93" t="str">
        <f>IFERROR(__xludf.DUMMYFUNCTION("REGEXREPLACE(B53, ""[^a-zA-Z\s]"", """")"),"")</f>
        <v/>
      </c>
    </row>
    <row r="54" ht="15.75" customHeight="1">
      <c r="G54" s="93" t="str">
        <f>IFERROR(__xludf.DUMMYFUNCTION("REGEXREPLACE(B54, ""[^a-zA-Z\s]"", """")"),"")</f>
        <v/>
      </c>
    </row>
    <row r="55" ht="15.75" customHeight="1">
      <c r="G55" s="93" t="str">
        <f>IFERROR(__xludf.DUMMYFUNCTION("REGEXREPLACE(B55, ""[^a-zA-Z\s]"", """")"),"")</f>
        <v/>
      </c>
    </row>
    <row r="56" ht="15.75" customHeight="1">
      <c r="G56" s="93" t="str">
        <f>IFERROR(__xludf.DUMMYFUNCTION("REGEXREPLACE(B56, ""[^a-zA-Z\s]"", """")"),"")</f>
        <v/>
      </c>
    </row>
    <row r="57" ht="15.75" customHeight="1">
      <c r="G57" s="93" t="str">
        <f>IFERROR(__xludf.DUMMYFUNCTION("REGEXREPLACE(B57, ""[^a-zA-Z\s]"", """")"),"")</f>
        <v/>
      </c>
    </row>
    <row r="58" ht="15.75" customHeight="1">
      <c r="G58" s="93" t="str">
        <f>IFERROR(__xludf.DUMMYFUNCTION("REGEXREPLACE(B58, ""[^a-zA-Z\s]"", """")"),"")</f>
        <v/>
      </c>
    </row>
    <row r="59" ht="15.75" customHeight="1">
      <c r="G59" s="93" t="str">
        <f>IFERROR(__xludf.DUMMYFUNCTION("REGEXREPLACE(B59, ""[^a-zA-Z\s]"", """")"),"")</f>
        <v/>
      </c>
    </row>
    <row r="60" ht="15.75" customHeight="1">
      <c r="G60" s="93" t="str">
        <f>IFERROR(__xludf.DUMMYFUNCTION("REGEXREPLACE(B60, ""[^a-zA-Z\s]"", """")"),"")</f>
        <v/>
      </c>
    </row>
    <row r="61" ht="15.75" customHeight="1">
      <c r="G61" s="93" t="str">
        <f>IFERROR(__xludf.DUMMYFUNCTION("REGEXREPLACE(B61, ""[^a-zA-Z\s]"", """")"),"")</f>
        <v/>
      </c>
    </row>
    <row r="62" ht="15.75" customHeight="1">
      <c r="G62" s="93" t="str">
        <f>IFERROR(__xludf.DUMMYFUNCTION("REGEXREPLACE(B62, ""[^a-zA-Z\s]"", """")"),"")</f>
        <v/>
      </c>
    </row>
    <row r="63" ht="15.75" customHeight="1">
      <c r="G63" s="93" t="str">
        <f>IFERROR(__xludf.DUMMYFUNCTION("REGEXREPLACE(B63, ""[^a-zA-Z\s]"", """")"),"")</f>
        <v/>
      </c>
    </row>
    <row r="64" ht="15.75" customHeight="1">
      <c r="G64" s="93" t="str">
        <f>IFERROR(__xludf.DUMMYFUNCTION("REGEXREPLACE(B64, ""[^a-zA-Z\s]"", """")"),"")</f>
        <v/>
      </c>
    </row>
    <row r="65" ht="15.75" customHeight="1">
      <c r="G65" s="93" t="str">
        <f>IFERROR(__xludf.DUMMYFUNCTION("REGEXREPLACE(B65, ""[^a-zA-Z\s]"", """")"),"")</f>
        <v/>
      </c>
    </row>
    <row r="66" ht="15.75" customHeight="1">
      <c r="G66" s="93" t="str">
        <f>IFERROR(__xludf.DUMMYFUNCTION("REGEXREPLACE(B66, ""[^a-zA-Z\s]"", """")"),"")</f>
        <v/>
      </c>
    </row>
    <row r="67" ht="15.75" customHeight="1">
      <c r="G67" s="93" t="str">
        <f>IFERROR(__xludf.DUMMYFUNCTION("REGEXREPLACE(B67, ""[^a-zA-Z\s]"", """")"),"")</f>
        <v/>
      </c>
    </row>
    <row r="68" ht="15.75" customHeight="1">
      <c r="G68" s="93" t="str">
        <f>IFERROR(__xludf.DUMMYFUNCTION("REGEXREPLACE(B68, ""[^a-zA-Z\s]"", """")"),"")</f>
        <v/>
      </c>
    </row>
    <row r="69" ht="15.75" customHeight="1">
      <c r="G69" s="93" t="str">
        <f>IFERROR(__xludf.DUMMYFUNCTION("REGEXREPLACE(B69, ""[^a-zA-Z\s]"", """")"),"")</f>
        <v/>
      </c>
    </row>
    <row r="70" ht="15.75" customHeight="1">
      <c r="G70" s="93" t="str">
        <f>IFERROR(__xludf.DUMMYFUNCTION("REGEXREPLACE(B70, ""[^a-zA-Z\s]"", """")"),"")</f>
        <v/>
      </c>
    </row>
    <row r="71" ht="15.75" customHeight="1">
      <c r="G71" s="93" t="str">
        <f>IFERROR(__xludf.DUMMYFUNCTION("REGEXREPLACE(B71, ""[^a-zA-Z\s]"", """")"),"")</f>
        <v/>
      </c>
    </row>
    <row r="72" ht="15.75" customHeight="1">
      <c r="G72" s="93" t="str">
        <f>IFERROR(__xludf.DUMMYFUNCTION("REGEXREPLACE(B72, ""[^a-zA-Z\s]"", """")"),"")</f>
        <v/>
      </c>
    </row>
    <row r="73" ht="15.75" customHeight="1">
      <c r="G73" s="93" t="str">
        <f>IFERROR(__xludf.DUMMYFUNCTION("REGEXREPLACE(B73, ""[^a-zA-Z\s]"", """")"),"")</f>
        <v/>
      </c>
    </row>
    <row r="74" ht="15.75" customHeight="1">
      <c r="G74" s="93" t="str">
        <f>IFERROR(__xludf.DUMMYFUNCTION("REGEXREPLACE(B74, ""[^a-zA-Z\s]"", """")"),"")</f>
        <v/>
      </c>
    </row>
    <row r="75" ht="15.75" customHeight="1">
      <c r="G75" s="93" t="str">
        <f>IFERROR(__xludf.DUMMYFUNCTION("REGEXREPLACE(B75, ""[^a-zA-Z\s]"", """")"),"")</f>
        <v/>
      </c>
    </row>
    <row r="76" ht="15.75" customHeight="1">
      <c r="G76" s="93" t="str">
        <f>IFERROR(__xludf.DUMMYFUNCTION("REGEXREPLACE(B76, ""[^a-zA-Z\s]"", """")"),"")</f>
        <v/>
      </c>
    </row>
    <row r="77" ht="15.75" customHeight="1">
      <c r="G77" s="93" t="str">
        <f>IFERROR(__xludf.DUMMYFUNCTION("REGEXREPLACE(B77, ""[^a-zA-Z\s]"", """")"),"")</f>
        <v/>
      </c>
    </row>
    <row r="78" ht="15.75" customHeight="1">
      <c r="G78" s="93" t="str">
        <f>IFERROR(__xludf.DUMMYFUNCTION("REGEXREPLACE(B78, ""[^a-zA-Z\s]"", """")"),"")</f>
        <v/>
      </c>
    </row>
    <row r="79" ht="15.75" customHeight="1">
      <c r="G79" s="93" t="str">
        <f>IFERROR(__xludf.DUMMYFUNCTION("REGEXREPLACE(B79, ""[^a-zA-Z\s]"", """")"),"")</f>
        <v/>
      </c>
    </row>
    <row r="80" ht="15.75" customHeight="1">
      <c r="G80" s="93" t="str">
        <f>IFERROR(__xludf.DUMMYFUNCTION("REGEXREPLACE(B80, ""[^a-zA-Z\s]"", """")"),"")</f>
        <v/>
      </c>
    </row>
    <row r="81" ht="15.75" customHeight="1">
      <c r="G81" s="93" t="str">
        <f>IFERROR(__xludf.DUMMYFUNCTION("REGEXREPLACE(B81, ""[^a-zA-Z\s]"", """")"),"")</f>
        <v/>
      </c>
    </row>
    <row r="82" ht="15.75" customHeight="1">
      <c r="G82" s="93" t="str">
        <f>IFERROR(__xludf.DUMMYFUNCTION("REGEXREPLACE(B82, ""[^a-zA-Z\s]"", """")"),"")</f>
        <v/>
      </c>
    </row>
    <row r="83" ht="15.75" customHeight="1">
      <c r="G83" s="93" t="str">
        <f>IFERROR(__xludf.DUMMYFUNCTION("REGEXREPLACE(B83, ""[^a-zA-Z\s]"", """")"),"")</f>
        <v/>
      </c>
    </row>
    <row r="84" ht="15.75" customHeight="1">
      <c r="G84" s="93" t="str">
        <f>IFERROR(__xludf.DUMMYFUNCTION("REGEXREPLACE(B84, ""[^a-zA-Z\s]"", """")"),"")</f>
        <v/>
      </c>
    </row>
    <row r="85" ht="15.75" customHeight="1">
      <c r="G85" s="93" t="str">
        <f>IFERROR(__xludf.DUMMYFUNCTION("REGEXREPLACE(B85, ""[^a-zA-Z\s]"", """")"),"")</f>
        <v/>
      </c>
    </row>
    <row r="86" ht="15.75" customHeight="1">
      <c r="G86" s="93" t="str">
        <f>IFERROR(__xludf.DUMMYFUNCTION("REGEXREPLACE(B86, ""[^a-zA-Z\s]"", """")"),"")</f>
        <v/>
      </c>
    </row>
    <row r="87" ht="15.75" customHeight="1">
      <c r="G87" s="93" t="str">
        <f>IFERROR(__xludf.DUMMYFUNCTION("REGEXREPLACE(B87, ""[^a-zA-Z\s]"", """")"),"")</f>
        <v/>
      </c>
    </row>
    <row r="88" ht="15.75" customHeight="1">
      <c r="G88" s="93" t="str">
        <f>IFERROR(__xludf.DUMMYFUNCTION("REGEXREPLACE(B88, ""[^a-zA-Z\s]"", """")"),"")</f>
        <v/>
      </c>
    </row>
    <row r="89" ht="15.75" customHeight="1">
      <c r="G89" s="93" t="str">
        <f>IFERROR(__xludf.DUMMYFUNCTION("REGEXREPLACE(B89, ""[^a-zA-Z\s]"", """")"),"")</f>
        <v/>
      </c>
    </row>
    <row r="90" ht="15.75" customHeight="1">
      <c r="G90" s="93" t="str">
        <f>IFERROR(__xludf.DUMMYFUNCTION("REGEXREPLACE(B90, ""[^a-zA-Z\s]"", """")"),"")</f>
        <v/>
      </c>
    </row>
    <row r="91" ht="15.75" customHeight="1">
      <c r="G91" s="93" t="str">
        <f>IFERROR(__xludf.DUMMYFUNCTION("REGEXREPLACE(B91, ""[^a-zA-Z\s]"", """")"),"")</f>
        <v/>
      </c>
    </row>
    <row r="92" ht="15.75" customHeight="1">
      <c r="G92" s="93" t="str">
        <f>IFERROR(__xludf.DUMMYFUNCTION("REGEXREPLACE(B92, ""[^a-zA-Z\s]"", """")"),"")</f>
        <v/>
      </c>
    </row>
    <row r="93" ht="15.75" customHeight="1">
      <c r="G93" s="93" t="str">
        <f>IFERROR(__xludf.DUMMYFUNCTION("REGEXREPLACE(B93, ""[^a-zA-Z\s]"", """")"),"")</f>
        <v/>
      </c>
    </row>
    <row r="94" ht="15.75" customHeight="1">
      <c r="G94" s="93" t="str">
        <f>IFERROR(__xludf.DUMMYFUNCTION("REGEXREPLACE(B94, ""[^a-zA-Z\s]"", """")"),"")</f>
        <v/>
      </c>
    </row>
    <row r="95" ht="15.75" customHeight="1">
      <c r="G95" s="93" t="str">
        <f>IFERROR(__xludf.DUMMYFUNCTION("REGEXREPLACE(B95, ""[^a-zA-Z\s]"", """")"),"")</f>
        <v/>
      </c>
    </row>
    <row r="96" ht="15.75" customHeight="1">
      <c r="G96" s="93" t="str">
        <f>IFERROR(__xludf.DUMMYFUNCTION("REGEXREPLACE(B96, ""[^a-zA-Z\s]"", """")"),"")</f>
        <v/>
      </c>
    </row>
    <row r="97" ht="15.75" customHeight="1">
      <c r="G97" s="93" t="str">
        <f>IFERROR(__xludf.DUMMYFUNCTION("REGEXREPLACE(B97, ""[^a-zA-Z\s]"", """")"),"")</f>
        <v/>
      </c>
    </row>
    <row r="98" ht="15.75" customHeight="1">
      <c r="G98" s="93" t="str">
        <f>IFERROR(__xludf.DUMMYFUNCTION("REGEXREPLACE(B98, ""[^a-zA-Z\s]"", """")"),"")</f>
        <v/>
      </c>
    </row>
    <row r="99" ht="15.75" customHeight="1">
      <c r="G99" s="93" t="str">
        <f>IFERROR(__xludf.DUMMYFUNCTION("REGEXREPLACE(B99, ""[^a-zA-Z\s]"", """")"),"")</f>
        <v/>
      </c>
    </row>
    <row r="100" ht="15.75" customHeight="1">
      <c r="G100" s="93" t="str">
        <f>IFERROR(__xludf.DUMMYFUNCTION("REGEXREPLACE(B100, ""[^a-zA-Z\s]"", """")"),"")</f>
        <v/>
      </c>
    </row>
    <row r="101" ht="15.75" customHeight="1">
      <c r="G101" s="93" t="str">
        <f>IFERROR(__xludf.DUMMYFUNCTION("REGEXREPLACE(B101, ""[^a-zA-Z\s]"", """")"),"")</f>
        <v/>
      </c>
    </row>
    <row r="102" ht="15.75" customHeight="1">
      <c r="G102" s="93" t="str">
        <f>IFERROR(__xludf.DUMMYFUNCTION("REGEXREPLACE(B102, ""[^a-zA-Z\s]"", """")"),"")</f>
        <v/>
      </c>
    </row>
    <row r="103" ht="15.75" customHeight="1">
      <c r="G103" s="93" t="str">
        <f>IFERROR(__xludf.DUMMYFUNCTION("REGEXREPLACE(B103, ""[^a-zA-Z\s]"", """")"),"")</f>
        <v/>
      </c>
    </row>
    <row r="104" ht="15.75" customHeight="1">
      <c r="G104" s="93" t="str">
        <f>IFERROR(__xludf.DUMMYFUNCTION("REGEXREPLACE(B104, ""[^a-zA-Z\s]"", """")"),"")</f>
        <v/>
      </c>
    </row>
    <row r="105" ht="15.75" customHeight="1">
      <c r="G105" s="93" t="str">
        <f>IFERROR(__xludf.DUMMYFUNCTION("REGEXREPLACE(B105, ""[^a-zA-Z\s]"", """")"),"")</f>
        <v/>
      </c>
    </row>
    <row r="106" ht="15.75" customHeight="1">
      <c r="G106" s="93" t="str">
        <f>IFERROR(__xludf.DUMMYFUNCTION("REGEXREPLACE(B106, ""[^a-zA-Z\s]"", """")"),"")</f>
        <v/>
      </c>
    </row>
    <row r="107" ht="15.75" customHeight="1">
      <c r="G107" s="93" t="str">
        <f>IFERROR(__xludf.DUMMYFUNCTION("REGEXREPLACE(B107, ""[^a-zA-Z\s]"", """")"),"")</f>
        <v/>
      </c>
    </row>
    <row r="108" ht="15.75" customHeight="1">
      <c r="G108" s="93" t="str">
        <f>IFERROR(__xludf.DUMMYFUNCTION("REGEXREPLACE(B108, ""[^a-zA-Z\s]"", """")"),"")</f>
        <v/>
      </c>
    </row>
    <row r="109" ht="15.75" customHeight="1">
      <c r="G109" s="93" t="str">
        <f>IFERROR(__xludf.DUMMYFUNCTION("REGEXREPLACE(B109, ""[^a-zA-Z\s]"", """")"),"")</f>
        <v/>
      </c>
    </row>
    <row r="110" ht="15.75" customHeight="1">
      <c r="G110" s="93" t="str">
        <f>IFERROR(__xludf.DUMMYFUNCTION("REGEXREPLACE(B110, ""[^a-zA-Z\s]"", """")"),"")</f>
        <v/>
      </c>
    </row>
    <row r="111" ht="15.75" customHeight="1">
      <c r="G111" s="93" t="str">
        <f>IFERROR(__xludf.DUMMYFUNCTION("REGEXREPLACE(B111, ""[^a-zA-Z\s]"", """")"),"")</f>
        <v/>
      </c>
    </row>
    <row r="112" ht="15.75" customHeight="1">
      <c r="G112" s="93" t="str">
        <f>IFERROR(__xludf.DUMMYFUNCTION("REGEXREPLACE(B112, ""[^a-zA-Z\s]"", """")"),"")</f>
        <v/>
      </c>
    </row>
    <row r="113" ht="15.75" customHeight="1">
      <c r="G113" s="93" t="str">
        <f>IFERROR(__xludf.DUMMYFUNCTION("REGEXREPLACE(B113, ""[^a-zA-Z\s]"", """")"),"")</f>
        <v/>
      </c>
    </row>
    <row r="114" ht="15.75" customHeight="1">
      <c r="G114" s="93" t="str">
        <f>IFERROR(__xludf.DUMMYFUNCTION("REGEXREPLACE(B114, ""[^a-zA-Z\s]"", """")"),"")</f>
        <v/>
      </c>
    </row>
    <row r="115" ht="15.75" customHeight="1">
      <c r="G115" s="93" t="str">
        <f>IFERROR(__xludf.DUMMYFUNCTION("REGEXREPLACE(B115, ""[^a-zA-Z\s]"", """")"),"")</f>
        <v/>
      </c>
    </row>
    <row r="116" ht="15.75" customHeight="1">
      <c r="G116" s="93" t="str">
        <f>IFERROR(__xludf.DUMMYFUNCTION("REGEXREPLACE(B116, ""[^a-zA-Z\s]"", """")"),"")</f>
        <v/>
      </c>
    </row>
    <row r="117" ht="15.75" customHeight="1">
      <c r="G117" s="93" t="str">
        <f>IFERROR(__xludf.DUMMYFUNCTION("REGEXREPLACE(B117, ""[^a-zA-Z\s]"", """")"),"")</f>
        <v/>
      </c>
    </row>
    <row r="118" ht="15.75" customHeight="1">
      <c r="G118" s="93" t="str">
        <f>IFERROR(__xludf.DUMMYFUNCTION("REGEXREPLACE(B118, ""[^a-zA-Z\s]"", """")"),"")</f>
        <v/>
      </c>
    </row>
    <row r="119" ht="15.75" customHeight="1">
      <c r="G119" s="93" t="str">
        <f>IFERROR(__xludf.DUMMYFUNCTION("REGEXREPLACE(B119, ""[^a-zA-Z\s]"", """")"),"")</f>
        <v/>
      </c>
    </row>
    <row r="120" ht="15.75" customHeight="1">
      <c r="G120" s="93" t="str">
        <f>IFERROR(__xludf.DUMMYFUNCTION("REGEXREPLACE(B120, ""[^a-zA-Z\s]"", """")"),"")</f>
        <v/>
      </c>
    </row>
    <row r="121" ht="15.75" customHeight="1">
      <c r="G121" s="93" t="str">
        <f>IFERROR(__xludf.DUMMYFUNCTION("REGEXREPLACE(B121, ""[^a-zA-Z\s]"", """")"),"")</f>
        <v/>
      </c>
    </row>
    <row r="122" ht="15.75" customHeight="1">
      <c r="G122" s="93" t="str">
        <f>IFERROR(__xludf.DUMMYFUNCTION("REGEXREPLACE(B122, ""[^a-zA-Z\s]"", """")"),"")</f>
        <v/>
      </c>
    </row>
    <row r="123" ht="15.75" customHeight="1">
      <c r="G123" s="93" t="str">
        <f>IFERROR(__xludf.DUMMYFUNCTION("REGEXREPLACE(B123, ""[^a-zA-Z\s]"", """")"),"")</f>
        <v/>
      </c>
    </row>
    <row r="124" ht="15.75" customHeight="1">
      <c r="G124" s="93" t="str">
        <f>IFERROR(__xludf.DUMMYFUNCTION("REGEXREPLACE(B124, ""[^a-zA-Z\s]"", """")"),"")</f>
        <v/>
      </c>
    </row>
    <row r="125" ht="15.75" customHeight="1">
      <c r="G125" s="93" t="str">
        <f>IFERROR(__xludf.DUMMYFUNCTION("REGEXREPLACE(B125, ""[^a-zA-Z\s]"", """")"),"")</f>
        <v/>
      </c>
    </row>
    <row r="126" ht="15.75" customHeight="1">
      <c r="G126" s="93" t="str">
        <f>IFERROR(__xludf.DUMMYFUNCTION("REGEXREPLACE(B126, ""[^a-zA-Z\s]"", """")"),"")</f>
        <v/>
      </c>
    </row>
    <row r="127" ht="15.75" customHeight="1">
      <c r="G127" s="93" t="str">
        <f>IFERROR(__xludf.DUMMYFUNCTION("REGEXREPLACE(B127, ""[^a-zA-Z\s]"", """")"),"")</f>
        <v/>
      </c>
    </row>
    <row r="128" ht="15.75" customHeight="1">
      <c r="G128" s="93" t="str">
        <f>IFERROR(__xludf.DUMMYFUNCTION("REGEXREPLACE(B128, ""[^a-zA-Z\s]"", """")"),"")</f>
        <v/>
      </c>
    </row>
    <row r="129" ht="15.75" customHeight="1">
      <c r="G129" s="93" t="str">
        <f>IFERROR(__xludf.DUMMYFUNCTION("REGEXREPLACE(B129, ""[^a-zA-Z\s]"", """")"),"")</f>
        <v/>
      </c>
    </row>
    <row r="130" ht="15.75" customHeight="1">
      <c r="G130" s="93" t="str">
        <f>IFERROR(__xludf.DUMMYFUNCTION("REGEXREPLACE(B130, ""[^a-zA-Z\s]"", """")"),"")</f>
        <v/>
      </c>
    </row>
    <row r="131" ht="15.75" customHeight="1">
      <c r="G131" s="93" t="str">
        <f>IFERROR(__xludf.DUMMYFUNCTION("REGEXREPLACE(B131, ""[^a-zA-Z\s]"", """")"),"")</f>
        <v/>
      </c>
    </row>
    <row r="132" ht="15.75" customHeight="1">
      <c r="G132" s="93" t="str">
        <f>IFERROR(__xludf.DUMMYFUNCTION("REGEXREPLACE(B132, ""[^a-zA-Z\s]"", """")"),"")</f>
        <v/>
      </c>
    </row>
    <row r="133" ht="15.75" customHeight="1">
      <c r="G133" s="93" t="str">
        <f>IFERROR(__xludf.DUMMYFUNCTION("REGEXREPLACE(B133, ""[^a-zA-Z\s]"", """")"),"")</f>
        <v/>
      </c>
    </row>
    <row r="134" ht="15.75" customHeight="1">
      <c r="G134" s="93" t="str">
        <f>IFERROR(__xludf.DUMMYFUNCTION("REGEXREPLACE(B134, ""[^a-zA-Z\s]"", """")"),"")</f>
        <v/>
      </c>
    </row>
    <row r="135" ht="15.75" customHeight="1">
      <c r="G135" s="93" t="str">
        <f>IFERROR(__xludf.DUMMYFUNCTION("REGEXREPLACE(B135, ""[^a-zA-Z\s]"", """")"),"")</f>
        <v/>
      </c>
    </row>
    <row r="136" ht="15.75" customHeight="1">
      <c r="G136" s="93" t="str">
        <f>IFERROR(__xludf.DUMMYFUNCTION("REGEXREPLACE(B136, ""[^a-zA-Z\s]"", """")"),"")</f>
        <v/>
      </c>
    </row>
    <row r="137" ht="15.75" customHeight="1">
      <c r="G137" s="93" t="str">
        <f>IFERROR(__xludf.DUMMYFUNCTION("REGEXREPLACE(B137, ""[^a-zA-Z\s]"", """")"),"")</f>
        <v/>
      </c>
    </row>
    <row r="138" ht="15.75" customHeight="1">
      <c r="G138" s="93" t="str">
        <f>IFERROR(__xludf.DUMMYFUNCTION("REGEXREPLACE(B138, ""[^a-zA-Z\s]"", """")"),"")</f>
        <v/>
      </c>
    </row>
    <row r="139" ht="15.75" customHeight="1">
      <c r="G139" s="93" t="str">
        <f>IFERROR(__xludf.DUMMYFUNCTION("REGEXREPLACE(B139, ""[^a-zA-Z\s]"", """")"),"")</f>
        <v/>
      </c>
    </row>
    <row r="140" ht="15.75" customHeight="1">
      <c r="G140" s="93" t="str">
        <f>IFERROR(__xludf.DUMMYFUNCTION("REGEXREPLACE(B140, ""[^a-zA-Z\s]"", """")"),"")</f>
        <v/>
      </c>
    </row>
    <row r="141" ht="15.75" customHeight="1">
      <c r="G141" s="93" t="str">
        <f>IFERROR(__xludf.DUMMYFUNCTION("REGEXREPLACE(B141, ""[^a-zA-Z\s]"", """")"),"")</f>
        <v/>
      </c>
    </row>
    <row r="142" ht="15.75" customHeight="1">
      <c r="G142" s="93" t="str">
        <f>IFERROR(__xludf.DUMMYFUNCTION("REGEXREPLACE(B142, ""[^a-zA-Z\s]"", """")"),"")</f>
        <v/>
      </c>
    </row>
    <row r="143" ht="15.75" customHeight="1">
      <c r="G143" s="93" t="str">
        <f>IFERROR(__xludf.DUMMYFUNCTION("REGEXREPLACE(B143, ""[^a-zA-Z\s]"", """")"),"")</f>
        <v/>
      </c>
    </row>
    <row r="144" ht="15.75" customHeight="1">
      <c r="G144" s="93" t="str">
        <f>IFERROR(__xludf.DUMMYFUNCTION("REGEXREPLACE(B144, ""[^a-zA-Z\s]"", """")"),"")</f>
        <v/>
      </c>
    </row>
    <row r="145" ht="15.75" customHeight="1">
      <c r="G145" s="93" t="str">
        <f>IFERROR(__xludf.DUMMYFUNCTION("REGEXREPLACE(B145, ""[^a-zA-Z\s]"", """")"),"")</f>
        <v/>
      </c>
    </row>
    <row r="146" ht="15.75" customHeight="1">
      <c r="G146" s="93" t="str">
        <f>IFERROR(__xludf.DUMMYFUNCTION("REGEXREPLACE(B146, ""[^a-zA-Z\s]"", """")"),"")</f>
        <v/>
      </c>
    </row>
    <row r="147" ht="15.75" customHeight="1">
      <c r="G147" s="93" t="str">
        <f>IFERROR(__xludf.DUMMYFUNCTION("REGEXREPLACE(B147, ""[^a-zA-Z\s]"", """")"),"")</f>
        <v/>
      </c>
    </row>
    <row r="148" ht="15.75" customHeight="1">
      <c r="G148" s="93" t="str">
        <f>IFERROR(__xludf.DUMMYFUNCTION("REGEXREPLACE(B148, ""[^a-zA-Z\s]"", """")"),"")</f>
        <v/>
      </c>
    </row>
    <row r="149" ht="15.75" customHeight="1">
      <c r="G149" s="93" t="str">
        <f>IFERROR(__xludf.DUMMYFUNCTION("REGEXREPLACE(B149, ""[^a-zA-Z\s]"", """")"),"")</f>
        <v/>
      </c>
    </row>
    <row r="150" ht="15.75" customHeight="1">
      <c r="G150" s="93" t="str">
        <f>IFERROR(__xludf.DUMMYFUNCTION("REGEXREPLACE(B150, ""[^a-zA-Z\s]"", """")"),"")</f>
        <v/>
      </c>
    </row>
    <row r="151" ht="15.75" customHeight="1">
      <c r="G151" s="93" t="str">
        <f>IFERROR(__xludf.DUMMYFUNCTION("REGEXREPLACE(B151, ""[^a-zA-Z\s]"", """")"),"")</f>
        <v/>
      </c>
    </row>
    <row r="152" ht="15.75" customHeight="1">
      <c r="G152" s="93" t="str">
        <f>IFERROR(__xludf.DUMMYFUNCTION("REGEXREPLACE(B152, ""[^a-zA-Z\s]"", """")"),"")</f>
        <v/>
      </c>
    </row>
    <row r="153" ht="15.75" customHeight="1">
      <c r="G153" s="93" t="str">
        <f>IFERROR(__xludf.DUMMYFUNCTION("REGEXREPLACE(B153, ""[^a-zA-Z\s]"", """")"),"")</f>
        <v/>
      </c>
    </row>
    <row r="154" ht="15.75" customHeight="1">
      <c r="G154" s="93" t="str">
        <f>IFERROR(__xludf.DUMMYFUNCTION("REGEXREPLACE(B154, ""[^a-zA-Z\s]"", """")"),"")</f>
        <v/>
      </c>
    </row>
    <row r="155" ht="15.75" customHeight="1">
      <c r="G155" s="93" t="str">
        <f>IFERROR(__xludf.DUMMYFUNCTION("REGEXREPLACE(B155, ""[^a-zA-Z\s]"", """")"),"")</f>
        <v/>
      </c>
    </row>
    <row r="156" ht="15.75" customHeight="1">
      <c r="G156" s="93" t="str">
        <f>IFERROR(__xludf.DUMMYFUNCTION("REGEXREPLACE(B156, ""[^a-zA-Z\s]"", """")"),"")</f>
        <v/>
      </c>
    </row>
    <row r="157" ht="15.75" customHeight="1">
      <c r="G157" s="93" t="str">
        <f>IFERROR(__xludf.DUMMYFUNCTION("REGEXREPLACE(B157, ""[^a-zA-Z\s]"", """")"),"")</f>
        <v/>
      </c>
    </row>
    <row r="158" ht="15.75" customHeight="1">
      <c r="G158" s="93" t="str">
        <f>IFERROR(__xludf.DUMMYFUNCTION("REGEXREPLACE(B158, ""[^a-zA-Z\s]"", """")"),"")</f>
        <v/>
      </c>
    </row>
    <row r="159" ht="15.75" customHeight="1">
      <c r="G159" s="93" t="str">
        <f>IFERROR(__xludf.DUMMYFUNCTION("REGEXREPLACE(B159, ""[^a-zA-Z\s]"", """")"),"")</f>
        <v/>
      </c>
    </row>
    <row r="160" ht="15.75" customHeight="1">
      <c r="G160" s="93" t="str">
        <f>IFERROR(__xludf.DUMMYFUNCTION("REGEXREPLACE(B160, ""[^a-zA-Z\s]"", """")"),"")</f>
        <v/>
      </c>
    </row>
    <row r="161" ht="15.75" customHeight="1">
      <c r="G161" s="93" t="str">
        <f>IFERROR(__xludf.DUMMYFUNCTION("REGEXREPLACE(B161, ""[^a-zA-Z\s]"", """")"),"")</f>
        <v/>
      </c>
    </row>
    <row r="162" ht="15.75" customHeight="1">
      <c r="G162" s="93" t="str">
        <f>IFERROR(__xludf.DUMMYFUNCTION("REGEXREPLACE(B162, ""[^a-zA-Z\s]"", """")"),"")</f>
        <v/>
      </c>
    </row>
    <row r="163" ht="15.75" customHeight="1">
      <c r="G163" s="93" t="str">
        <f>IFERROR(__xludf.DUMMYFUNCTION("REGEXREPLACE(B163, ""[^a-zA-Z\s]"", """")"),"")</f>
        <v/>
      </c>
    </row>
    <row r="164" ht="15.75" customHeight="1">
      <c r="G164" s="93" t="str">
        <f>IFERROR(__xludf.DUMMYFUNCTION("REGEXREPLACE(B164, ""[^a-zA-Z\s]"", """")"),"")</f>
        <v/>
      </c>
    </row>
    <row r="165" ht="15.75" customHeight="1">
      <c r="G165" s="93" t="str">
        <f>IFERROR(__xludf.DUMMYFUNCTION("REGEXREPLACE(B165, ""[^a-zA-Z\s]"", """")"),"")</f>
        <v/>
      </c>
    </row>
    <row r="166" ht="15.75" customHeight="1">
      <c r="G166" s="93" t="str">
        <f>IFERROR(__xludf.DUMMYFUNCTION("REGEXREPLACE(B166, ""[^a-zA-Z\s]"", """")"),"")</f>
        <v/>
      </c>
    </row>
    <row r="167" ht="15.75" customHeight="1">
      <c r="G167" s="93" t="str">
        <f>IFERROR(__xludf.DUMMYFUNCTION("REGEXREPLACE(B167, ""[^a-zA-Z\s]"", """")"),"")</f>
        <v/>
      </c>
    </row>
    <row r="168" ht="15.75" customHeight="1">
      <c r="G168" s="93" t="str">
        <f>IFERROR(__xludf.DUMMYFUNCTION("REGEXREPLACE(B168, ""[^a-zA-Z\s]"", """")"),"")</f>
        <v/>
      </c>
    </row>
    <row r="169" ht="15.75" customHeight="1">
      <c r="G169" s="93" t="str">
        <f>IFERROR(__xludf.DUMMYFUNCTION("REGEXREPLACE(B169, ""[^a-zA-Z\s]"", """")"),"")</f>
        <v/>
      </c>
    </row>
    <row r="170" ht="15.75" customHeight="1">
      <c r="G170" s="93" t="str">
        <f>IFERROR(__xludf.DUMMYFUNCTION("REGEXREPLACE(B170, ""[^a-zA-Z\s]"", """")"),"")</f>
        <v/>
      </c>
    </row>
    <row r="171" ht="15.75" customHeight="1">
      <c r="G171" s="93" t="str">
        <f>IFERROR(__xludf.DUMMYFUNCTION("REGEXREPLACE(B171, ""[^a-zA-Z\s]"", """")"),"")</f>
        <v/>
      </c>
    </row>
    <row r="172" ht="15.75" customHeight="1">
      <c r="G172" s="93" t="str">
        <f>IFERROR(__xludf.DUMMYFUNCTION("REGEXREPLACE(B172, ""[^a-zA-Z\s]"", """")"),"")</f>
        <v/>
      </c>
    </row>
    <row r="173" ht="15.75" customHeight="1">
      <c r="G173" s="93" t="str">
        <f>IFERROR(__xludf.DUMMYFUNCTION("REGEXREPLACE(B173, ""[^a-zA-Z\s]"", """")"),"")</f>
        <v/>
      </c>
    </row>
    <row r="174" ht="15.75" customHeight="1">
      <c r="G174" s="93" t="str">
        <f>IFERROR(__xludf.DUMMYFUNCTION("REGEXREPLACE(B174, ""[^a-zA-Z\s]"", """")"),"")</f>
        <v/>
      </c>
    </row>
    <row r="175" ht="15.75" customHeight="1">
      <c r="G175" s="93" t="str">
        <f>IFERROR(__xludf.DUMMYFUNCTION("REGEXREPLACE(B175, ""[^a-zA-Z\s]"", """")"),"")</f>
        <v/>
      </c>
    </row>
    <row r="176" ht="15.75" customHeight="1">
      <c r="G176" s="93" t="str">
        <f>IFERROR(__xludf.DUMMYFUNCTION("REGEXREPLACE(B176, ""[^a-zA-Z\s]"", """")"),"")</f>
        <v/>
      </c>
    </row>
    <row r="177" ht="15.75" customHeight="1">
      <c r="G177" s="93" t="str">
        <f>IFERROR(__xludf.DUMMYFUNCTION("REGEXREPLACE(B177, ""[^a-zA-Z\s]"", """")"),"")</f>
        <v/>
      </c>
    </row>
    <row r="178" ht="15.75" customHeight="1">
      <c r="G178" s="93" t="str">
        <f>IFERROR(__xludf.DUMMYFUNCTION("REGEXREPLACE(B178, ""[^a-zA-Z\s]"", """")"),"")</f>
        <v/>
      </c>
    </row>
    <row r="179" ht="15.75" customHeight="1">
      <c r="G179" s="93" t="str">
        <f>IFERROR(__xludf.DUMMYFUNCTION("REGEXREPLACE(B179, ""[^a-zA-Z\s]"", """")"),"")</f>
        <v/>
      </c>
    </row>
    <row r="180" ht="15.75" customHeight="1">
      <c r="G180" s="93" t="str">
        <f>IFERROR(__xludf.DUMMYFUNCTION("REGEXREPLACE(B180, ""[^a-zA-Z\s]"", """")"),"")</f>
        <v/>
      </c>
    </row>
    <row r="181" ht="15.75" customHeight="1">
      <c r="G181" s="93" t="str">
        <f>IFERROR(__xludf.DUMMYFUNCTION("REGEXREPLACE(B181, ""[^a-zA-Z\s]"", """")"),"")</f>
        <v/>
      </c>
    </row>
    <row r="182" ht="15.75" customHeight="1">
      <c r="G182" s="93" t="str">
        <f>IFERROR(__xludf.DUMMYFUNCTION("REGEXREPLACE(B182, ""[^a-zA-Z\s]"", """")"),"")</f>
        <v/>
      </c>
    </row>
    <row r="183" ht="15.75" customHeight="1">
      <c r="G183" s="93" t="str">
        <f>IFERROR(__xludf.DUMMYFUNCTION("REGEXREPLACE(B183, ""[^a-zA-Z\s]"", """")"),"")</f>
        <v/>
      </c>
    </row>
    <row r="184" ht="15.75" customHeight="1">
      <c r="G184" s="93" t="str">
        <f>IFERROR(__xludf.DUMMYFUNCTION("REGEXREPLACE(B184, ""[^a-zA-Z\s]"", """")"),"")</f>
        <v/>
      </c>
    </row>
    <row r="185" ht="15.75" customHeight="1">
      <c r="G185" s="93" t="str">
        <f>IFERROR(__xludf.DUMMYFUNCTION("REGEXREPLACE(B185, ""[^a-zA-Z\s]"", """")"),"")</f>
        <v/>
      </c>
    </row>
    <row r="186" ht="15.75" customHeight="1">
      <c r="G186" s="93" t="str">
        <f>IFERROR(__xludf.DUMMYFUNCTION("REGEXREPLACE(B186, ""[^a-zA-Z\s]"", """")"),"")</f>
        <v/>
      </c>
    </row>
    <row r="187" ht="15.75" customHeight="1">
      <c r="G187" s="93" t="str">
        <f>IFERROR(__xludf.DUMMYFUNCTION("REGEXREPLACE(B187, ""[^a-zA-Z\s]"", """")"),"")</f>
        <v/>
      </c>
    </row>
    <row r="188" ht="15.75" customHeight="1">
      <c r="G188" s="93" t="str">
        <f>IFERROR(__xludf.DUMMYFUNCTION("REGEXREPLACE(B188, ""[^a-zA-Z\s]"", """")"),"")</f>
        <v/>
      </c>
    </row>
    <row r="189" ht="15.75" customHeight="1">
      <c r="G189" s="93" t="str">
        <f>IFERROR(__xludf.DUMMYFUNCTION("REGEXREPLACE(B189, ""[^a-zA-Z\s]"", """")"),"")</f>
        <v/>
      </c>
    </row>
    <row r="190" ht="15.75" customHeight="1">
      <c r="G190" s="93" t="str">
        <f>IFERROR(__xludf.DUMMYFUNCTION("REGEXREPLACE(B190, ""[^a-zA-Z\s]"", """")"),"")</f>
        <v/>
      </c>
    </row>
    <row r="191" ht="15.75" customHeight="1">
      <c r="G191" s="93" t="str">
        <f>IFERROR(__xludf.DUMMYFUNCTION("REGEXREPLACE(B191, ""[^a-zA-Z\s]"", """")"),"")</f>
        <v/>
      </c>
    </row>
    <row r="192" ht="15.75" customHeight="1">
      <c r="G192" s="93" t="str">
        <f>IFERROR(__xludf.DUMMYFUNCTION("REGEXREPLACE(B192, ""[^a-zA-Z\s]"", """")"),"")</f>
        <v/>
      </c>
    </row>
    <row r="193" ht="15.75" customHeight="1">
      <c r="G193" s="93" t="str">
        <f>IFERROR(__xludf.DUMMYFUNCTION("REGEXREPLACE(B193, ""[^a-zA-Z\s]"", """")"),"")</f>
        <v/>
      </c>
    </row>
    <row r="194" ht="15.75" customHeight="1">
      <c r="G194" s="93" t="str">
        <f>IFERROR(__xludf.DUMMYFUNCTION("REGEXREPLACE(B194, ""[^a-zA-Z\s]"", """")"),"")</f>
        <v/>
      </c>
    </row>
    <row r="195" ht="15.75" customHeight="1">
      <c r="G195" s="93" t="str">
        <f>IFERROR(__xludf.DUMMYFUNCTION("REGEXREPLACE(B195, ""[^a-zA-Z\s]"", """")"),"")</f>
        <v/>
      </c>
    </row>
    <row r="196" ht="15.75" customHeight="1">
      <c r="G196" s="93" t="str">
        <f>IFERROR(__xludf.DUMMYFUNCTION("REGEXREPLACE(B196, ""[^a-zA-Z\s]"", """")"),"")</f>
        <v/>
      </c>
    </row>
    <row r="197" ht="15.75" customHeight="1">
      <c r="G197" s="93" t="str">
        <f>IFERROR(__xludf.DUMMYFUNCTION("REGEXREPLACE(B197, ""[^a-zA-Z\s]"", """")"),"")</f>
        <v/>
      </c>
    </row>
    <row r="198" ht="15.75" customHeight="1">
      <c r="G198" s="93" t="str">
        <f>IFERROR(__xludf.DUMMYFUNCTION("REGEXREPLACE(B198, ""[^a-zA-Z\s]"", """")"),"")</f>
        <v/>
      </c>
    </row>
    <row r="199" ht="15.75" customHeight="1">
      <c r="G199" s="93" t="str">
        <f>IFERROR(__xludf.DUMMYFUNCTION("REGEXREPLACE(B199, ""[^a-zA-Z\s]"", """")"),"")</f>
        <v/>
      </c>
    </row>
    <row r="200" ht="15.75" customHeight="1">
      <c r="G200" s="93" t="str">
        <f>IFERROR(__xludf.DUMMYFUNCTION("REGEXREPLACE(B200, ""[^a-zA-Z\s]"", """")"),"")</f>
        <v/>
      </c>
    </row>
    <row r="201" ht="15.75" customHeight="1">
      <c r="G201" s="93" t="str">
        <f>IFERROR(__xludf.DUMMYFUNCTION("REGEXREPLACE(B201, ""[^a-zA-Z\s]"", """")"),"")</f>
        <v/>
      </c>
    </row>
    <row r="202" ht="15.75" customHeight="1">
      <c r="G202" s="93" t="str">
        <f>IFERROR(__xludf.DUMMYFUNCTION("REGEXREPLACE(B202, ""[^a-zA-Z\s]"", """")"),"")</f>
        <v/>
      </c>
    </row>
    <row r="203" ht="15.75" customHeight="1">
      <c r="G203" s="93" t="str">
        <f>IFERROR(__xludf.DUMMYFUNCTION("REGEXREPLACE(B203, ""[^a-zA-Z\s]"", """")"),"")</f>
        <v/>
      </c>
    </row>
    <row r="204" ht="15.75" customHeight="1">
      <c r="G204" s="93" t="str">
        <f>IFERROR(__xludf.DUMMYFUNCTION("REGEXREPLACE(B204, ""[^a-zA-Z\s]"", """")"),"")</f>
        <v/>
      </c>
    </row>
    <row r="205" ht="15.75" customHeight="1">
      <c r="G205" s="93" t="str">
        <f>IFERROR(__xludf.DUMMYFUNCTION("REGEXREPLACE(B205, ""[^a-zA-Z\s]"", """")"),"")</f>
        <v/>
      </c>
    </row>
    <row r="206" ht="15.75" customHeight="1">
      <c r="G206" s="93" t="str">
        <f>IFERROR(__xludf.DUMMYFUNCTION("REGEXREPLACE(B206, ""[^a-zA-Z\s]"", """")"),"")</f>
        <v/>
      </c>
    </row>
    <row r="207" ht="15.75" customHeight="1">
      <c r="G207" s="93" t="str">
        <f>IFERROR(__xludf.DUMMYFUNCTION("REGEXREPLACE(B207, ""[^a-zA-Z\s]"", """")"),"")</f>
        <v/>
      </c>
    </row>
    <row r="208" ht="15.75" customHeight="1">
      <c r="G208" s="93" t="str">
        <f>IFERROR(__xludf.DUMMYFUNCTION("REGEXREPLACE(B208, ""[^a-zA-Z\s]"", """")"),"")</f>
        <v/>
      </c>
    </row>
    <row r="209" ht="15.75" customHeight="1">
      <c r="G209" s="93" t="str">
        <f>IFERROR(__xludf.DUMMYFUNCTION("REGEXREPLACE(B209, ""[^a-zA-Z\s]"", """")"),"")</f>
        <v/>
      </c>
    </row>
    <row r="210" ht="15.75" customHeight="1">
      <c r="G210" s="93" t="str">
        <f>IFERROR(__xludf.DUMMYFUNCTION("REGEXREPLACE(B210, ""[^a-zA-Z\s]"", """")"),"")</f>
        <v/>
      </c>
    </row>
    <row r="211" ht="15.75" customHeight="1">
      <c r="G211" s="93" t="str">
        <f>IFERROR(__xludf.DUMMYFUNCTION("REGEXREPLACE(B211, ""[^a-zA-Z\s]"", """")"),"")</f>
        <v/>
      </c>
    </row>
    <row r="212" ht="15.75" customHeight="1">
      <c r="G212" s="93" t="str">
        <f>IFERROR(__xludf.DUMMYFUNCTION("REGEXREPLACE(B212, ""[^a-zA-Z\s]"", """")"),"")</f>
        <v/>
      </c>
    </row>
    <row r="213" ht="15.75" customHeight="1">
      <c r="G213" s="93" t="str">
        <f>IFERROR(__xludf.DUMMYFUNCTION("REGEXREPLACE(B213, ""[^a-zA-Z\s]"", """")"),"")</f>
        <v/>
      </c>
    </row>
    <row r="214" ht="15.75" customHeight="1">
      <c r="G214" s="93" t="str">
        <f>IFERROR(__xludf.DUMMYFUNCTION("REGEXREPLACE(B214, ""[^a-zA-Z\s]"", """")"),"")</f>
        <v/>
      </c>
    </row>
    <row r="215" ht="15.75" customHeight="1">
      <c r="G215" s="93" t="str">
        <f>IFERROR(__xludf.DUMMYFUNCTION("REGEXREPLACE(B215, ""[^a-zA-Z\s]"", """")"),"")</f>
        <v/>
      </c>
    </row>
    <row r="216" ht="15.75" customHeight="1">
      <c r="G216" s="93" t="str">
        <f>IFERROR(__xludf.DUMMYFUNCTION("REGEXREPLACE(B216, ""[^a-zA-Z\s]"", """")"),"")</f>
        <v/>
      </c>
    </row>
    <row r="217" ht="15.75" customHeight="1">
      <c r="G217" s="93" t="str">
        <f>IFERROR(__xludf.DUMMYFUNCTION("REGEXREPLACE(B217, ""[^a-zA-Z\s]"", """")"),"")</f>
        <v/>
      </c>
    </row>
    <row r="218" ht="15.75" customHeight="1">
      <c r="G218" s="93" t="str">
        <f>IFERROR(__xludf.DUMMYFUNCTION("REGEXREPLACE(B218, ""[^a-zA-Z\s]"", """")"),"")</f>
        <v/>
      </c>
    </row>
    <row r="219" ht="15.75" customHeight="1">
      <c r="G219" s="93" t="str">
        <f>IFERROR(__xludf.DUMMYFUNCTION("REGEXREPLACE(B219, ""[^a-zA-Z\s]"", """")"),"")</f>
        <v/>
      </c>
    </row>
    <row r="220" ht="15.75" customHeight="1">
      <c r="G220" s="93" t="str">
        <f>IFERROR(__xludf.DUMMYFUNCTION("REGEXREPLACE(B220, ""[^a-zA-Z\s]"", """")"),"")</f>
        <v/>
      </c>
    </row>
    <row r="221" ht="15.75" customHeight="1">
      <c r="G221" s="93" t="str">
        <f>IFERROR(__xludf.DUMMYFUNCTION("REGEXREPLACE(B221, ""[^a-zA-Z\s]"", """")"),"")</f>
        <v/>
      </c>
    </row>
    <row r="222" ht="15.75" customHeight="1">
      <c r="G222" s="93" t="str">
        <f>IFERROR(__xludf.DUMMYFUNCTION("REGEXREPLACE(B222, ""[^a-zA-Z\s]"", """")"),"")</f>
        <v/>
      </c>
    </row>
    <row r="223" ht="15.75" customHeight="1">
      <c r="G223" s="93" t="str">
        <f>IFERROR(__xludf.DUMMYFUNCTION("REGEXREPLACE(B223, ""[^a-zA-Z\s]"", """")"),"")</f>
        <v/>
      </c>
    </row>
    <row r="224" ht="15.75" customHeight="1">
      <c r="G224" s="93" t="str">
        <f>IFERROR(__xludf.DUMMYFUNCTION("REGEXREPLACE(B224, ""[^a-zA-Z\s]"", """")"),"")</f>
        <v/>
      </c>
    </row>
    <row r="225" ht="15.75" customHeight="1">
      <c r="G225" s="93" t="str">
        <f>IFERROR(__xludf.DUMMYFUNCTION("REGEXREPLACE(B225, ""[^a-zA-Z\s]"", """")"),"")</f>
        <v/>
      </c>
    </row>
    <row r="226" ht="15.75" customHeight="1">
      <c r="G226" s="93" t="str">
        <f>IFERROR(__xludf.DUMMYFUNCTION("REGEXREPLACE(B226, ""[^a-zA-Z\s]"", """")"),"")</f>
        <v/>
      </c>
    </row>
    <row r="227" ht="15.75" customHeight="1">
      <c r="G227" s="93" t="str">
        <f>IFERROR(__xludf.DUMMYFUNCTION("REGEXREPLACE(B227, ""[^a-zA-Z\s]"", """")"),"")</f>
        <v/>
      </c>
    </row>
    <row r="228" ht="15.75" customHeight="1">
      <c r="G228" s="93" t="str">
        <f>IFERROR(__xludf.DUMMYFUNCTION("REGEXREPLACE(B228, ""[^a-zA-Z\s]"", """")"),"")</f>
        <v/>
      </c>
    </row>
    <row r="229" ht="15.75" customHeight="1">
      <c r="G229" s="93" t="str">
        <f>IFERROR(__xludf.DUMMYFUNCTION("REGEXREPLACE(B229, ""[^a-zA-Z\s]"", """")"),"")</f>
        <v/>
      </c>
    </row>
    <row r="230" ht="15.75" customHeight="1">
      <c r="G230" s="93" t="str">
        <f>IFERROR(__xludf.DUMMYFUNCTION("REGEXREPLACE(B230, ""[^a-zA-Z\s]"", """")"),"")</f>
        <v/>
      </c>
    </row>
    <row r="231" ht="15.75" customHeight="1">
      <c r="G231" s="93" t="str">
        <f>IFERROR(__xludf.DUMMYFUNCTION("REGEXREPLACE(B231, ""[^a-zA-Z\s]"", """")"),"")</f>
        <v/>
      </c>
    </row>
    <row r="232" ht="15.75" customHeight="1">
      <c r="G232" s="93" t="str">
        <f>IFERROR(__xludf.DUMMYFUNCTION("REGEXREPLACE(B232, ""[^a-zA-Z\s]"", """")"),"")</f>
        <v/>
      </c>
    </row>
    <row r="233" ht="15.75" customHeight="1">
      <c r="G233" s="93" t="str">
        <f>IFERROR(__xludf.DUMMYFUNCTION("REGEXREPLACE(B233, ""[^a-zA-Z\s]"", """")"),"")</f>
        <v/>
      </c>
    </row>
    <row r="234" ht="15.75" customHeight="1">
      <c r="G234" s="93" t="str">
        <f>IFERROR(__xludf.DUMMYFUNCTION("REGEXREPLACE(B234, ""[^a-zA-Z\s]"", """")"),"")</f>
        <v/>
      </c>
    </row>
    <row r="235" ht="15.75" customHeight="1">
      <c r="G235" s="93" t="str">
        <f>IFERROR(__xludf.DUMMYFUNCTION("REGEXREPLACE(B235, ""[^a-zA-Z\s]"", """")"),"")</f>
        <v/>
      </c>
    </row>
    <row r="236" ht="15.75" customHeight="1">
      <c r="G236" s="93" t="str">
        <f>IFERROR(__xludf.DUMMYFUNCTION("REGEXREPLACE(B236, ""[^a-zA-Z\s]"", """")"),"")</f>
        <v/>
      </c>
    </row>
    <row r="237" ht="15.75" customHeight="1">
      <c r="G237" s="93" t="str">
        <f>IFERROR(__xludf.DUMMYFUNCTION("REGEXREPLACE(B237, ""[^a-zA-Z\s]"", """")"),"")</f>
        <v/>
      </c>
    </row>
    <row r="238" ht="15.75" customHeight="1">
      <c r="G238" s="93" t="str">
        <f>IFERROR(__xludf.DUMMYFUNCTION("REGEXREPLACE(B238, ""[^a-zA-Z\s]"", """")"),"")</f>
        <v/>
      </c>
    </row>
    <row r="239" ht="15.75" customHeight="1">
      <c r="G239" s="93" t="str">
        <f>IFERROR(__xludf.DUMMYFUNCTION("REGEXREPLACE(B239, ""[^a-zA-Z\s]"", """")"),"")</f>
        <v/>
      </c>
    </row>
    <row r="240" ht="15.75" customHeight="1">
      <c r="G240" s="93" t="str">
        <f>IFERROR(__xludf.DUMMYFUNCTION("REGEXREPLACE(B240, ""[^a-zA-Z\s]"", """")"),"")</f>
        <v/>
      </c>
    </row>
    <row r="241" ht="15.75" customHeight="1">
      <c r="G241" s="93" t="str">
        <f>IFERROR(__xludf.DUMMYFUNCTION("REGEXREPLACE(B241, ""[^a-zA-Z\s]"", """")"),"")</f>
        <v/>
      </c>
    </row>
    <row r="242" ht="15.75" customHeight="1">
      <c r="G242" s="93" t="str">
        <f>IFERROR(__xludf.DUMMYFUNCTION("REGEXREPLACE(B242, ""[^a-zA-Z\s]"", """")"),"")</f>
        <v/>
      </c>
    </row>
    <row r="243" ht="15.75" customHeight="1">
      <c r="G243" s="93" t="str">
        <f>IFERROR(__xludf.DUMMYFUNCTION("REGEXREPLACE(B243, ""[^a-zA-Z\s]"", """")"),"")</f>
        <v/>
      </c>
    </row>
    <row r="244" ht="15.75" customHeight="1">
      <c r="G244" s="93" t="str">
        <f>IFERROR(__xludf.DUMMYFUNCTION("REGEXREPLACE(B244, ""[^a-zA-Z\s]"", """")"),"")</f>
        <v/>
      </c>
    </row>
    <row r="245" ht="15.75" customHeight="1">
      <c r="G245" s="93" t="str">
        <f>IFERROR(__xludf.DUMMYFUNCTION("REGEXREPLACE(B245, ""[^a-zA-Z\s]"", """")"),"")</f>
        <v/>
      </c>
    </row>
    <row r="246" ht="15.75" customHeight="1">
      <c r="G246" s="93" t="str">
        <f>IFERROR(__xludf.DUMMYFUNCTION("REGEXREPLACE(B246, ""[^a-zA-Z\s]"", """")"),"")</f>
        <v/>
      </c>
    </row>
    <row r="247" ht="15.75" customHeight="1">
      <c r="G247" s="93" t="str">
        <f>IFERROR(__xludf.DUMMYFUNCTION("REGEXREPLACE(B247, ""[^a-zA-Z\s]"", """")"),"")</f>
        <v/>
      </c>
    </row>
    <row r="248" ht="15.75" customHeight="1">
      <c r="G248" s="93" t="str">
        <f>IFERROR(__xludf.DUMMYFUNCTION("REGEXREPLACE(B248, ""[^a-zA-Z\s]"", """")"),"")</f>
        <v/>
      </c>
    </row>
    <row r="249" ht="15.75" customHeight="1">
      <c r="G249" s="93" t="str">
        <f>IFERROR(__xludf.DUMMYFUNCTION("REGEXREPLACE(B249, ""[^a-zA-Z\s]"", """")"),"")</f>
        <v/>
      </c>
    </row>
    <row r="250" ht="15.75" customHeight="1">
      <c r="G250" s="93" t="str">
        <f>IFERROR(__xludf.DUMMYFUNCTION("REGEXREPLACE(B250, ""[^a-zA-Z\s]"", """")"),"")</f>
        <v/>
      </c>
    </row>
    <row r="251" ht="15.75" customHeight="1">
      <c r="G251" s="93" t="str">
        <f>IFERROR(__xludf.DUMMYFUNCTION("REGEXREPLACE(B251, ""[^a-zA-Z\s]"", """")"),"")</f>
        <v/>
      </c>
    </row>
    <row r="252" ht="15.75" customHeight="1">
      <c r="G252" s="93" t="str">
        <f>IFERROR(__xludf.DUMMYFUNCTION("REGEXREPLACE(B252, ""[^a-zA-Z\s]"", """")"),"")</f>
        <v/>
      </c>
    </row>
    <row r="253" ht="15.75" customHeight="1">
      <c r="G253" s="93" t="str">
        <f>IFERROR(__xludf.DUMMYFUNCTION("REGEXREPLACE(B253, ""[^a-zA-Z\s]"", """")"),"")</f>
        <v/>
      </c>
    </row>
    <row r="254" ht="15.75" customHeight="1">
      <c r="G254" s="93" t="str">
        <f>IFERROR(__xludf.DUMMYFUNCTION("REGEXREPLACE(B254, ""[^a-zA-Z\s]"", """")"),"")</f>
        <v/>
      </c>
    </row>
    <row r="255" ht="15.75" customHeight="1">
      <c r="G255" s="93" t="str">
        <f>IFERROR(__xludf.DUMMYFUNCTION("REGEXREPLACE(B255, ""[^a-zA-Z\s]"", """")"),"")</f>
        <v/>
      </c>
    </row>
    <row r="256" ht="15.75" customHeight="1">
      <c r="G256" s="93" t="str">
        <f>IFERROR(__xludf.DUMMYFUNCTION("REGEXREPLACE(B256, ""[^a-zA-Z\s]"", """")"),"")</f>
        <v/>
      </c>
    </row>
    <row r="257" ht="15.75" customHeight="1">
      <c r="G257" s="93" t="str">
        <f>IFERROR(__xludf.DUMMYFUNCTION("REGEXREPLACE(B257, ""[^a-zA-Z\s]"", """")"),"")</f>
        <v/>
      </c>
    </row>
    <row r="258" ht="15.75" customHeight="1">
      <c r="G258" s="93" t="str">
        <f>IFERROR(__xludf.DUMMYFUNCTION("REGEXREPLACE(B258, ""[^a-zA-Z\s]"", """")"),"")</f>
        <v/>
      </c>
    </row>
    <row r="259" ht="15.75" customHeight="1">
      <c r="G259" s="93" t="str">
        <f>IFERROR(__xludf.DUMMYFUNCTION("REGEXREPLACE(B259, ""[^a-zA-Z\s]"", """")"),"")</f>
        <v/>
      </c>
    </row>
    <row r="260" ht="15.75" customHeight="1">
      <c r="G260" s="93" t="str">
        <f>IFERROR(__xludf.DUMMYFUNCTION("REGEXREPLACE(B260, ""[^a-zA-Z\s]"", """")"),"")</f>
        <v/>
      </c>
    </row>
    <row r="261" ht="15.75" customHeight="1">
      <c r="G261" s="93" t="str">
        <f>IFERROR(__xludf.DUMMYFUNCTION("REGEXREPLACE(B261, ""[^a-zA-Z\s]"", """")"),"")</f>
        <v/>
      </c>
    </row>
    <row r="262" ht="15.75" customHeight="1">
      <c r="G262" s="93" t="str">
        <f>IFERROR(__xludf.DUMMYFUNCTION("REGEXREPLACE(B262, ""[^a-zA-Z\s]"", """")"),"")</f>
        <v/>
      </c>
    </row>
    <row r="263" ht="15.75" customHeight="1">
      <c r="G263" s="93" t="str">
        <f>IFERROR(__xludf.DUMMYFUNCTION("REGEXREPLACE(B263, ""[^a-zA-Z\s]"", """")"),"")</f>
        <v/>
      </c>
    </row>
    <row r="264" ht="15.75" customHeight="1">
      <c r="G264" s="93" t="str">
        <f>IFERROR(__xludf.DUMMYFUNCTION("REGEXREPLACE(B264, ""[^a-zA-Z\s]"", """")"),"")</f>
        <v/>
      </c>
    </row>
    <row r="265" ht="15.75" customHeight="1">
      <c r="G265" s="93" t="str">
        <f>IFERROR(__xludf.DUMMYFUNCTION("REGEXREPLACE(B265, ""[^a-zA-Z\s]"", """")"),"")</f>
        <v/>
      </c>
    </row>
    <row r="266" ht="15.75" customHeight="1">
      <c r="G266" s="93" t="str">
        <f>IFERROR(__xludf.DUMMYFUNCTION("REGEXREPLACE(B266, ""[^a-zA-Z\s]"", """")"),"")</f>
        <v/>
      </c>
    </row>
    <row r="267" ht="15.75" customHeight="1">
      <c r="G267" s="93" t="str">
        <f>IFERROR(__xludf.DUMMYFUNCTION("REGEXREPLACE(B267, ""[^a-zA-Z\s]"", """")"),"")</f>
        <v/>
      </c>
    </row>
    <row r="268" ht="15.75" customHeight="1">
      <c r="G268" s="93" t="str">
        <f>IFERROR(__xludf.DUMMYFUNCTION("REGEXREPLACE(B268, ""[^a-zA-Z\s]"", """")"),"")</f>
        <v/>
      </c>
    </row>
    <row r="269" ht="15.75" customHeight="1">
      <c r="G269" s="93" t="str">
        <f>IFERROR(__xludf.DUMMYFUNCTION("REGEXREPLACE(B269, ""[^a-zA-Z\s]"", """")"),"")</f>
        <v/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